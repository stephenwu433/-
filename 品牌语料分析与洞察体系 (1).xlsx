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表0：项目配置表" sheetId="2" r:id="rId4"/>
    <sheet name="表1：原始语料库" sheetId="3" r:id="rId5"/>
    <sheet name="表1B：品牌与竞品公开证据库" sheetId="4" r:id="rId6"/>
    <sheet name="表2：数据清洗与初筛表" sheetId="5" r:id="rId7"/>
    <sheet name="表3：标签字典与判断标准表" sheetId="6" r:id="rId8"/>
    <sheet name="表4：单条评论结构化分析表" sheetId="7" r:id="rId9"/>
    <sheet name="表5：核心洞察聚类表" sheetId="8" r:id="rId10"/>
    <sheet name="表6：候选品牌叙事机会表" sheetId="9" r:id="rId11"/>
    <sheet name="表7：五道压力测试表" sheetId="10" r:id="rId12"/>
    <sheet name="表8：反模板检查表" sheetId="11" r:id="rId13"/>
    <sheet name="表9：运行与决策日志" sheetId="12" r:id="rId1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M-dd HH:mm"/>
    <numFmt numFmtId="165" formatCode="yyyy-MM-dd"/>
    <numFmt numFmtId="166"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项目编号</t>
        </is>
      </c>
      <c r="B1" s="1" t="inlineStr">
        <is>
          <t>项目名称</t>
        </is>
      </c>
      <c r="C1" s="1" t="inlineStr">
        <is>
          <t>目标品牌</t>
        </is>
      </c>
      <c r="D1" s="1" t="inlineStr">
        <is>
          <t>所属行业</t>
        </is>
      </c>
      <c r="E1" s="1" t="inlineStr">
        <is>
          <t>研究问题</t>
        </is>
      </c>
      <c r="F1" s="1" t="inlineStr">
        <is>
          <t>目标人群</t>
        </is>
      </c>
      <c r="G1" s="1" t="inlineStr">
        <is>
          <t>主要竞品</t>
        </is>
      </c>
      <c r="H1" s="1" t="inlineStr">
        <is>
          <t>分析时间范围</t>
        </is>
      </c>
      <c r="I1" s="1" t="inlineStr">
        <is>
          <t>数据目标数量</t>
        </is>
      </c>
      <c r="J1" s="1" t="inlineStr">
        <is>
          <t>当前规则版本</t>
        </is>
      </c>
      <c r="K1" s="1" t="inlineStr">
        <is>
          <t>当前Prompt版本</t>
        </is>
      </c>
      <c r="L1" s="1" t="inlineStr">
        <is>
          <t>项目负责人</t>
        </is>
      </c>
      <c r="M1" s="1" t="inlineStr">
        <is>
          <t>项目状态</t>
        </is>
      </c>
      <c r="N1" s="1" t="inlineStr">
        <is>
          <t>备注</t>
        </is>
      </c>
      <c r="O1" s="1" t="inlineStr">
        <is>
          <t>关联语料</t>
        </is>
      </c>
    </row>
    <row r="2" ht="25.5" customHeight="1">
      <c r="A2" t="inlineStr">
        <is>
          <t>PRJ001</t>
        </is>
      </c>
      <c r="B2" t="inlineStr">
        <is>
          <t>梅见Z世代品牌叙事研究</t>
        </is>
      </c>
      <c r="C2" t="inlineStr">
        <is>
          <t>梅见</t>
        </is>
      </c>
      <c r="D2" t="inlineStr">
        <is>
          <t>低度酒/青梅酒</t>
        </is>
      </c>
      <c r="E2" t="inlineStr">
        <is>
          <t>从真实语料中发现情绪冲突和品牌叙事机会</t>
        </is>
      </c>
      <c r="F2" t="inlineStr">
        <is>
          <t>Z世代低度酒用户</t>
        </is>
      </c>
      <c r="G2" t="inlineStr">
        <is>
          <t>RIO、CHOYA、十七光年、MissBerry</t>
        </is>
      </c>
      <c r="H2" t="inlineStr">
        <is>
          <t>2025-01-01 至 2026-08-05</t>
        </is>
      </c>
      <c r="I2">
        <v>419</v>
      </c>
      <c r="J2" t="inlineStr">
        <is>
          <t>FROZEN_419_V2</t>
        </is>
      </c>
      <c r="K2" t="inlineStr">
        <is>
          <t>v2</t>
        </is>
      </c>
      <c r="L2"/>
      <c r="M2" t="inlineStr">
        <is>
          <t>分析进行中</t>
        </is>
      </c>
      <c r="N2" t="inlineStr">
        <is>
          <t>冻结数据口径：FROZEN_419_V2。数据集构成：ANALYSIS_BASELINE 229条、ANALYSIS_DEMO_DELTA 20条、GOLD 50条、CHALLENGE_POOL 60条、HOLDOUT 60条，合计419条KEEP有效语料。另有65条EXCLUDE无效语料保留在表1用于审计。标注模型：gpt-5.6-luna，运行版本：formal-attempt-0001（Baseline/DemoDelta/Challenge/Holdout）、attempt-0002（Gold矫正前）、attempt-0006（Gold矫正后）。</t>
        </is>
      </c>
      <c r="O2" t="inlineStr">
        <is>
          <t>MJ-RAW-0001,MJ-RAW-0002,MJ-RAW-0003,MJ-RAW-0004,MJ-RAW-0005,MJ-RAW-0006,MJ-RAW-0007,MJ-RAW-0008,MJ-RAW-0009,MJ-RAW-0010,MJ-RAW-0011,MJ-RAW-0012,MJ-RAW-0013,MJ-RAW-0014,MJ-RAW-0015,MJ-RAW-0016,MJ-RAW-0017,MJ-RAW-0018,MJ-RAW-0019,MJ-RAW-0020,MJ-RAW-0021,MJ-RAW-0022,MJ-RAW-0023,MJ-RAW-0024,MJ-RAW-0025,MJ-RAW-0026,MJ-RAW-0027,MJ-RAW-0028,TB-20260809-036,MJ-RAW-0032,MJ-RAW-0033,MJ-RAW-0034,MJ-RAW-0035,MJ-RAW-0036,MJ-RAW-0037,MJ-RAW-0038,MJ-RAW-0039,MJ-RAW-0040,MJ-RAW-0041,MJ-RAW-0042,MJ-RAW-0043,MJ-RAW-0044,MJ-RAW-0045,MJ-RAW-0046,MJ-RAW-0047,XHS-SOC-0020,XHS-SOC-0021,XHS-SOC-0025,XHS-SOC-0026,XHS-SOC-0027,XHS-SOC-0030,XHS-SOC-0036,XHS-SOC-0037,XHS-SOC-0038,XHS-SOC-0039,XHS-SOC-0040,XHS-SOC-0041,XHS-SOC-0042,DY-SOC-0048,DY-SOC-0049,DY-SOC-0050,DY-SOC-0051,DY-SOC-0052,DY-SOC-0053,DY-SOC-0054,DY-SOC-0055,DY-SOC-0056,DY-SOC-0057,DY-SOC-0058,DY-SOC-0059,DY-SOC-0060,DY-SOC-0061,DY-SOC-0062,DY-SOC-0063,DY-SOC-0064,DY-SOC-0065,DY-SOC-0066,DY-SOC-0067,DY-SOC-0139,DY-SOC-0141,DY-SOC-0142,DY-SOC-0146,DY-SOC-0147,DY-SOC-0148,DY-SOC-0149,DY-SOC-0150,DY-SOC-0151,DY-SOC-0152,DY-SOC-0153,DY-SOC-0154,DY-SOC-0155,DY-SOC-0156,DY-SOC-0157,DY-SOC-0158,DY-SOC-0159,DY-SOC-0160,DY-SOC-0161,DY-SOC-0162,DY-SOC-0163,DY-SOC-0164,DY-SOC-0165,DY-SOC-0166,DY-SOC-0167,DY-SOC-0170,DY-SOC-0171,DY-SOC-0172,DY-SOC-0173,DY-SOC-0174,DY-SOC-0175,XHS-SOC-0195,XHS-SOC-0200,XHS-SOC-0249,XHS-SOC-0250,XHS-SOC-0257,XHS-SOC-0258,XHS-SOC-0259,DY-SOC-0261,DY-SOC-0262,DY-SOC-0263,DY-SOC-0264,DY-SOC-0265,DY-SOC-0274,DY-SOC-0276,JD-20260809-051,JD-20260809-052,JD-20260809-056,JD-20260809-060,JD-20260809-061,JD-20260809-062,JD-20260809-063,JD-20260809-068,TB-20260809-032,JD-RAW-0105,TB-20260809-039,TB-20260809-041,TB-20260809-043,TB-20260809-044,TB-20260809-048,TB-20260809-049,TB-20260809-050,MJ-RAW-0061,MJ-RAW-0062,MJ-RAW-0063,MJ-RAW-0064,XHS-SOC-0024,XHS-SOC-0029,XHS-SOC-0043,DY-SOC-0068,DY-SOC-0069,DY-SOC-0070,DY-SOC-0071,DY-SOC-0072,DY-SOC-0073,DY-SOC-0074,DY-SOC-0075,DY-SOC-0076,DY-SOC-0077,DY-SOC-0078,DY-SOC-0079,DY-SOC-0140,DY-SOC-0143,DY-SOC-0144,DY-SOC-0145,DY-SOC-0168,DY-SOC-0169,XHS-SOC-0176,XHS-SOC-0191,XHS-SOC-0196,XHS-SOC-0201,XHS-SOC-0207,XHS-SOC-0220,XHS-SOC-0221,XHS-SOC-0222,JD-20260809-053,JD-20260809-059,JD-20260809-064,TB-20260809-037,TB-20260809-038,TB-20260809-046,MJ-RAW-0094,MJ-RAW-0095,MJ-RAW-0096,MJ-RAW-0097,MJ-RAW-0098,MJ-RAW-0099,MJ-RAW-0100,MJ-RAW-0101,MJ-RAW-0102,MJ-RAW-0103,JD-20260809-027,XHS-SOC-0044,XHS-SOC-0045,DY-SOC-0080,DY-SOC-0081,DY-SOC-0082,DY-SOC-0083,DY-SOC-0084,DY-SOC-0085,DY-SOC-0086,DY-SOC-0087,DY-SOC-0088,DY-SOC-0089,XHS-SOC-0178,XHS-SOC-0185,XHS-SOC-0192,XHS-SOC-0197,XHS-SOC-0202,XHS-SOC-0208,XHS-SOC-0209,XHS-SOC-0219,XHS-SOC-0223,XHS-SOC-0224,XHS-SOC-0225,XHS-SOC-0226,XHS-SOC-0227,XHS-SOC-0228,XHS-SOC-0255,XHS-SOC-0256,JD-20260809-001,JD-20260809-002,JD-20260809-006,JD-20260809-009,JD-20260809-010,JD-20260809-012,JD-20260809-013,JD-20260809-014,JD-20260809-017,JD-20260809-018,JD-20260809-019,JD-20260809-020,JD-20260809-022,JD-20260809-023,JD-20260809-025,JD-20260809-026,JD-RAW-0027,JD-20260809-028,JD-20260809-030,JD-20260809-031,JD-20260809-034,JD-20260809-036,JD-20260809-039,JD-20260809-044,JD-20260809-048,TB-20260809-001,TB-20260809-006,TB-20260809-009,TB-20260809-011,TB-20260809-012,TB-20260809-013,TB-20260809-014,TB-20260809-015,TB-20260809-017,TB-20260809-019,TB-20260809-020,TB-20260809-021,TB-20260809-022,TB-20260809-025,TB-20260809-027,TB-20260809-028,TB-20260809-029,TB-20260809-030,JD-20260809-032,JD-20260809-042,JD-20260809-045,JD-20260809-050,TB-20260809-005,XHS-SOC-0017,XHS-SOC-0046,XHS-SOC-0229,XHS-SOC-0230,JD-20260809-041,TB-20260809-007,XHS-SOC-0001,XHS-SOC-0002,XHS-SOC-0003,XHS-SOC-0004,XHS-SOC-0005,XHS-SOC-0006,XHS-SOC-0007,XHS-SOC-0008,XHS-SOC-0015,XHS-SOC-0022,XHS-SOC-0023,XHS-SOC-0028,XHS-SOC-0031,XHS-SOC-0032,XHS-SOC-0033,XHS-SOC-0035,DY-SOC-0090,DY-SOC-0091,DY-SOC-0092,DY-SOC-0093,DY-SOC-0094,DY-SOC-0095,DY-SOC-0096,DY-SOC-0097,DY-SOC-0098,DY-SOC-0099,DY-SOC-0100,DY-SOC-0101,XHS-SOC-0177,XHS-SOC-0180,XHS-SOC-0181,XHS-SOC-0182,XHS-SOC-0183,XHS-SOC-0187,XHS-SOC-0188,XHS-SOC-0189,XHS-SOC-0190,XHS-SOC-0203,XHS-SOC-0204,XHS-SOC-0218,XHS-SOC-0248,XHS-SOC-0251,XHS-SOC-0252,XHS-SOC-0253,XHS-SOC-0254,DY-SOC-0266,DY-SOC-0267,DY-SOC-0268,DY-SOC-0269,DY-SOC-0270,DY-SOC-0271,DY-SOC-0272,DY-SOC-0273,DY-SOC-0275,DY-SOC-0277,DY-SOC-0278,DY-SOC-0279,DY-SOC-0280,MJ-RAW-0220,MJ-RAW-0221,MJ-RAW-0222,MJ-RAW-0223,MJ-RAW-0224,MJ-RAW-0225,MJ-RAW-0226,MJ-RAW-0227,MJ-RAW-0228,MJ-RAW-0229,XHS-SOC-0009,DY-SOC-0102,DY-SOC-0103,DY-SOC-0104,DY-SOC-0105,DY-SOC-0106,DY-SOC-0107,DY-SOC-0108,DY-SOC-0109,DY-SOC-0110,DY-SOC-0111,DY-SOC-0112,DY-SOC-0113,DY-SOC-0114,DY-SOC-0115,DY-SOC-0116,XHS-SOC-0193,XHS-SOC-0198,XHS-SOC-0199,XHS-SOC-0210,XHS-SOC-0211,XHS-SOC-0212,XHS-SOC-0231,XHS-SOC-0232,XHS-SOC-0233,XHS-SOC-0234,XHS-SOC-0235,XHS-SOC-0236,XHS-SOC-0237,XHS-SOC-0260,XHS-SOC-0010,XHS-SOC-0011,XHS-SOC-0012,XHS-SOC-0013,XHS-SOC-0014,XHS-SOC-0016,XHS-SOC-0018,DY-SOC-0117,DY-SOC-0118,DY-SOC-0119,DY-SOC-0120,DY-SOC-0121,MJ-RAW-0314,MJ-RAW-0315,MJ-RAW-0316,MJ-RAW-0317,MJ-RAW-0318,MJ-RAW-0319,MJ-RAW-0320,MJ-RAW-0321,MJ-RAW-0322,MJ-RAW-0323,DY-SOC-0122,DY-SOC-0123,DY-SOC-0124,DY-SOC-0125,DY-SOC-0126,DY-SOC-0127,DY-SOC-0128,DY-SOC-0129,XHS-SOC-0194,XHS-SOC-0213,XHS-SOC-0214,XHS-SOC-0215,XHS-SOC-0238,XHS-SOC-0239,XHS-SOC-0240,XHS-SOC-0241,XHS-SOC-0242,TB-20260809-040,MJ-RAW-0361,MJ-RAW-0362,XHS-SOC-0047,DY-SOC-0130,DY-SOC-0131,DY-SOC-0132,DY-SOC-0133,DY-SOC-0134,XHS-SOC-0179,DY-SOC-0205,XHS-SOC-0216,XHS-SOC-0217,XHS-SOC-0243,JD-20260809-003,JD-20260809-004,JD-20260809-007,JD-20260809-015,JD-20260809-021,JD-20260809-024,JD-20260809-029,JD-20260809-033,JD-20260809-035,JD-20260809-038,JD-20260809-040,JD-20260809-043,JD-20260809-046,JD-20260809-047,JD-20260809-049,JD-20260809-054,JD-20260809-055,JD-20260809-057,JD-20260809-058,JD-20260809-065,JD-20260809-066,JD-20260809-067,JD-20260809-069,TB-20260809-003,TB-20260809-016,TB-20260809-018,TB-20260809-023,TB-20260809-026,TB-20260809-031,TB-20260809-034,TB-20260809-035,JD-RAW-0109,TB-20260809-042,TB-20260809-045,TB-20260809-047,TB-20260809-033,XHS-SOC-0019,XHS-SOC-0034,DY-SOC-0135,DY-SOC-0136,DY-SOC-0137,DY-SOC-0138,XHS-SOC-0184,XHS-SOC-0186,DY-SOC-0206,XHS-SOC-0244,XHS-SOC-0245,XHS-SOC-0246,XHS-SOC-0247,JD-20260809-005,JD-20260809-008,JD-20260809-011,JD-20260809-016,JD-20260809-037,TB-20260809-002,TB-20260809-004,TB-20260809-008,TB-20260809-010,TB-20260809-024,JD-RAW-0102,TB-20260809-051</t>
        </is>
      </c>
    </row>
  </sheetData>
  <dataValidations count="1">
    <dataValidation allowBlank="false" sqref="M2:M1" type="list">
      <formula1>"筹备中,数据采集中,分析进行中,验证阶段,已完成,已暂停"</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语料编号</t>
        </is>
      </c>
      <c r="B1" s="1" t="inlineStr">
        <is>
          <t>原始样本类型</t>
        </is>
      </c>
      <c r="C1" s="1" t="inlineStr">
        <is>
          <t>项目编号</t>
        </is>
      </c>
      <c r="D1" s="1" t="inlineStr">
        <is>
          <t>评论对象</t>
        </is>
      </c>
      <c r="E1" s="1" t="inlineStr">
        <is>
          <t>原始内容</t>
        </is>
      </c>
      <c r="F1" s="1" t="inlineStr">
        <is>
          <t>上下文内容</t>
        </is>
      </c>
      <c r="G1" s="1" t="inlineStr">
        <is>
          <t>来源平台</t>
        </is>
      </c>
      <c r="H1" s="1" t="inlineStr">
        <is>
          <t>来源链接</t>
        </is>
      </c>
      <c r="I1" s="1" t="inlineStr">
        <is>
          <t>发布时间</t>
        </is>
      </c>
      <c r="J1" s="1" t="inlineStr">
        <is>
          <t>采集日期</t>
        </is>
      </c>
      <c r="K1" s="1" t="inlineStr">
        <is>
          <t>搜索关键词</t>
        </is>
      </c>
      <c r="L1" s="1" t="inlineStr">
        <is>
          <t>点赞数</t>
        </is>
      </c>
      <c r="M1" s="1" t="inlineStr">
        <is>
          <t>作者匿名编号</t>
        </is>
      </c>
      <c r="N1" s="1" t="inlineStr">
        <is>
          <t>真实性类型</t>
        </is>
      </c>
      <c r="O1" s="1" t="inlineStr">
        <is>
          <t>采集人员</t>
        </is>
      </c>
      <c r="P1" s="1" t="inlineStr">
        <is>
          <t>备注</t>
        </is>
      </c>
      <c r="Q1" s="1" t="inlineStr">
        <is>
          <t>对象类型</t>
        </is>
      </c>
      <c r="R1" s="1" t="inlineStr">
        <is>
          <t>关联清洗记录</t>
        </is>
      </c>
      <c r="S1" s="1" t="inlineStr">
        <is>
          <t>关联分析记录</t>
        </is>
      </c>
      <c r="T1" s="1" t="inlineStr">
        <is>
          <t>一级样本类型</t>
        </is>
      </c>
      <c r="U1" s="1" t="inlineStr">
        <is>
          <t>清洗结论</t>
        </is>
      </c>
      <c r="V1" s="1" t="inlineStr">
        <is>
          <t>数据集归属</t>
        </is>
      </c>
      <c r="W1" s="1" t="inlineStr">
        <is>
          <t>链接可用性</t>
        </is>
      </c>
      <c r="X1" s="1" t="inlineStr">
        <is>
          <t>源记录定位</t>
        </is>
      </c>
      <c r="Y1" s="1" t="inlineStr">
        <is>
          <t>数据版本</t>
        </is>
      </c>
    </row>
    <row r="2" ht="25.5" customHeight="1">
      <c r="A2" t="inlineStr">
        <is>
          <t>MJ-RAW-0001</t>
        </is>
      </c>
      <c r="B2" t="inlineStr">
        <is>
          <t>梅见产品体验反馈</t>
        </is>
      </c>
      <c r="C2" t="inlineStr">
        <is>
          <t>PRJ001</t>
        </is>
      </c>
      <c r="D2" t="inlineStr">
        <is>
          <t>梅见</t>
        </is>
      </c>
      <c r="E2" t="inlineStr">
        <is>
          <t>“单喝梅见真的很难喝”“这个也要调吗，可能，我单喝也不好喝”“强烈推荐+水溶C”</t>
        </is>
      </c>
      <c r="F2" t="inlineStr">
        <is>
          <t>来源：小红书平台用户评论</t>
        </is>
      </c>
      <c r="G2" t="inlineStr">
        <is>
          <t>小红书</t>
        </is>
      </c>
      <c r="H2" s="2" t="str">
        <f>=HYPERLINK("http://数据未收集", "数据未收集")</f>
        <v>数据未收集</v>
      </c>
      <c r="I2" s="3"/>
      <c r="J2" s="4">
        <v>46243</v>
      </c>
      <c r="K2" t="inlineStr">
        <is>
          <t>梅见 青梅酒 口感 评价</t>
        </is>
      </c>
      <c r="L2"/>
      <c r="M2" t="inlineStr">
        <is>
          <t>MJ-XHS-U-001</t>
        </is>
      </c>
      <c r="N2" t="inlineStr">
        <is>
          <t>公开评论</t>
        </is>
      </c>
      <c r="O2"/>
      <c r="P2" t="inlineStr">
        <is>
          <t>【用户场景】下班独饮, 女生局, 聚餐
【情绪关键词】轻松, 审美, 怕失控
【表层需求】想要好入口、想兑饮料、想喝低度酒
【深层情绪】想参与微醺氛围，但不想被酒味压力劝退
【身份需求】我是会自己调配、有审美、不硬喝的人
【饮酒态度】接受低度, 喜欢微醺
【品牌反馈】单喝有门槛，兑水溶 C、气泡水、茶饮后更容易接受
【可转化品牌洞察】梅见可被表达为“可调、可控、可分享的东方低度酒”，降低新用户入口门槛</t>
        </is>
      </c>
      <c r="Q2" t="inlineStr">
        <is>
          <t>目标品牌</t>
        </is>
      </c>
      <c r="R2"/>
      <c r="S2" t="inlineStr">
        <is>
          <t>MJ-RAW-0001_HOLDOUT_formal-attempt-0001_AI</t>
        </is>
      </c>
      <c r="T2" t="inlineStr">
        <is>
          <t>梅见反馈</t>
        </is>
      </c>
      <c r="U2" t="inlineStr">
        <is>
          <t>KEEP</t>
        </is>
      </c>
      <c r="V2" t="inlineStr">
        <is>
          <t>HOLDOUT</t>
        </is>
      </c>
      <c r="W2" t="inlineStr">
        <is>
          <t>不可用</t>
        </is>
      </c>
      <c r="X2" t="inlineStr">
        <is>
          <t>品牌语料分析与洞察体系.xlsx#表1：原始语料库!2</t>
        </is>
      </c>
      <c r="Y2" t="inlineStr">
        <is>
          <t>FROZEN_419_V2</t>
        </is>
      </c>
    </row>
    <row r="3" ht="25.5" customHeight="1">
      <c r="A3" t="inlineStr">
        <is>
          <t>MJ-RAW-0002</t>
        </is>
      </c>
      <c r="B3" t="inlineStr">
        <is>
          <t>梅见产品体验反馈</t>
        </is>
      </c>
      <c r="C3" t="inlineStr">
        <is>
          <t>PRJ001</t>
        </is>
      </c>
      <c r="D3" t="inlineStr">
        <is>
          <t>梅见</t>
        </is>
      </c>
      <c r="E3" t="inlineStr">
        <is>
          <t>“这股浓烈的药味和草本味是怎么回事？”“兑了绿茶，结果药味依然很浓”“金桂款值得一试，青柑款慎入”</t>
        </is>
      </c>
      <c r="F3" t="inlineStr">
        <is>
          <t>来源：小红书平台用户评论</t>
        </is>
      </c>
      <c r="G3" t="inlineStr">
        <is>
          <t>小红书</t>
        </is>
      </c>
      <c r="H3" s="2" t="str">
        <f>=HYPERLINK("http://数据未收集", "数据未收集")</f>
        <v>数据未收集</v>
      </c>
      <c r="I3" s="3"/>
      <c r="J3" s="4">
        <v>46243</v>
      </c>
      <c r="K3" t="inlineStr">
        <is>
          <t>梅见 青梅酒 口感 评价</t>
        </is>
      </c>
      <c r="L3"/>
      <c r="M3" t="inlineStr">
        <is>
          <t>MJ-XHS-U-002</t>
        </is>
      </c>
      <c r="N3" t="inlineStr">
        <is>
          <t>公开评论</t>
        </is>
      </c>
      <c r="O3"/>
      <c r="P3" t="inlineStr">
        <is>
          <t>【用户场景】女生局, 下班独饮
【情绪关键词】尴尬, 审美, 边界感
【表层需求】想知道哪个口味好喝、避免踩雷
【深层情绪】想轻松小酌，但害怕买到不好入口的口味
【身份需求】我是会挑口味、不盲从热门的人
【饮酒态度】偶尔小酌, 接受低度
【品牌反馈】青柑被吐槽“药味/草本味”，金桂被认为柔和、酸甜平衡、适合新手
【可转化品牌洞察】梅见需要做口味教育：明确“新手首选”“进阶风味”“适合兑饮”的产品路径</t>
        </is>
      </c>
      <c r="Q3" t="inlineStr">
        <is>
          <t>目标品牌</t>
        </is>
      </c>
      <c r="R3"/>
      <c r="S3" t="inlineStr">
        <is>
          <t>MJ-RAW-0002_HOLDOUT_formal-attempt-0001_AI</t>
        </is>
      </c>
      <c r="T3" t="inlineStr">
        <is>
          <t>梅见反馈</t>
        </is>
      </c>
      <c r="U3" t="inlineStr">
        <is>
          <t>KEEP</t>
        </is>
      </c>
      <c r="V3" t="inlineStr">
        <is>
          <t>HOLDOUT</t>
        </is>
      </c>
      <c r="W3" t="inlineStr">
        <is>
          <t>不可用</t>
        </is>
      </c>
      <c r="X3" t="inlineStr">
        <is>
          <t>品牌语料分析与洞察体系.xlsx#表1：原始语料库!3</t>
        </is>
      </c>
      <c r="Y3" t="inlineStr">
        <is>
          <t>FROZEN_419_V2</t>
        </is>
      </c>
    </row>
    <row r="4" ht="25.5" customHeight="1">
      <c r="A4" t="inlineStr">
        <is>
          <t>MJ-RAW-0003</t>
        </is>
      </c>
      <c r="B4" t="inlineStr">
        <is>
          <t>梅见产品体验反馈</t>
        </is>
      </c>
      <c r="C4" t="inlineStr">
        <is>
          <t>PRJ001</t>
        </is>
      </c>
      <c r="D4" t="inlineStr">
        <is>
          <t>梅见</t>
        </is>
      </c>
      <c r="E4" t="inlineStr">
        <is>
          <t>“梅见酒后劲大吗”“梅见喝了第二天头疼吗”“梅见兑什么喝”“梅见哪个口味最好喝”“梅见青梅酒喝完容易上头吗”</t>
        </is>
      </c>
      <c r="F4" t="inlineStr">
        <is>
          <t>来源：小红书平台用户评论</t>
        </is>
      </c>
      <c r="G4" t="inlineStr">
        <is>
          <t>小红书</t>
        </is>
      </c>
      <c r="H4" s="2" t="str">
        <f>=HYPERLINK("http://数据未收集", "数据未收集")</f>
        <v>数据未收集</v>
      </c>
      <c r="I4" s="3"/>
      <c r="J4" s="4">
        <v>46243</v>
      </c>
      <c r="K4" t="inlineStr">
        <is>
          <t>梅见 青梅酒 口感 评价</t>
        </is>
      </c>
      <c r="L4"/>
      <c r="M4" t="inlineStr">
        <is>
          <t>MJ-XHS-U-003</t>
        </is>
      </c>
      <c r="N4" t="inlineStr">
        <is>
          <t>公开评论</t>
        </is>
      </c>
      <c r="O4"/>
      <c r="P4" t="inlineStr">
        <is>
          <t>【用户场景】聚餐, 女生局, 下班独饮
【情绪关键词】怕失控, 想合群, 轻松
【表层需求】想知道度数、后劲、兑法、口味选择
【深层情绪】想参与喝酒场合，但担心醉、上头、第二天不舒服
【身份需求】我是有边界感、会控制状态的人
【饮酒态度】担心失控, 喜欢微醺, 偶尔小酌
【品牌反馈】高频问题集中在“后劲、头疼、兑法、口味
【可转化品牌洞察】梅见可主打“不劝酒时代的可控微醺”：好喝、好兑、可控、不狼狈</t>
        </is>
      </c>
      <c r="Q4" t="inlineStr">
        <is>
          <t>目标品牌</t>
        </is>
      </c>
      <c r="R4"/>
      <c r="S4" t="inlineStr">
        <is>
          <t>MJ-RAW-0003_ANALYSIS_BASELINE_formal-attempt-0001_AI</t>
        </is>
      </c>
      <c r="T4" t="inlineStr">
        <is>
          <t>梅见反馈</t>
        </is>
      </c>
      <c r="U4" t="inlineStr">
        <is>
          <t>KEEP</t>
        </is>
      </c>
      <c r="V4" t="inlineStr">
        <is>
          <t>ANALYSIS_BASELINE</t>
        </is>
      </c>
      <c r="W4" t="inlineStr">
        <is>
          <t>不可用</t>
        </is>
      </c>
      <c r="X4" t="inlineStr">
        <is>
          <t>品牌语料分析与洞察体系.xlsx#表1：原始语料库!4</t>
        </is>
      </c>
      <c r="Y4" t="inlineStr">
        <is>
          <t>FROZEN_419_V2</t>
        </is>
      </c>
    </row>
    <row r="5" ht="25.5" customHeight="1">
      <c r="A5" t="inlineStr">
        <is>
          <t>MJ-RAW-0004</t>
        </is>
      </c>
      <c r="B5" t="inlineStr">
        <is>
          <t>梅见产品体验反馈</t>
        </is>
      </c>
      <c r="C5" t="inlineStr">
        <is>
          <t>PRJ001</t>
        </is>
      </c>
      <c r="D5" t="inlineStr">
        <is>
          <t>梅见</t>
        </is>
      </c>
      <c r="E5" t="inlineStr">
        <is>
          <t>"梅见的青梅酒很烂 虽然说便宜 但是高度高粱酒的基酒辣嗓子 高度蒸馏直接盖过去 而且苦涩 入口没有任何融合
推荐昆竹牌三得利古越龙山 都碾压梅见"“[捂脸R]反正当时买完打开一瞬间的很后悔就是了”</t>
        </is>
      </c>
      <c r="F5" t="inlineStr">
        <is>
          <t>来源：小红书平台用户评论</t>
        </is>
      </c>
      <c r="G5" t="inlineStr">
        <is>
          <t>小红书</t>
        </is>
      </c>
      <c r="H5" s="2" t="str">
        <f>=HYPERLINK("http://数据未收集", "数据未收集")</f>
        <v>数据未收集</v>
      </c>
      <c r="I5" s="3"/>
      <c r="J5" s="4">
        <v>46243</v>
      </c>
      <c r="K5" t="inlineStr">
        <is>
          <t>梅见 青梅酒 口感 评价</t>
        </is>
      </c>
      <c r="L5"/>
      <c r="M5" t="inlineStr">
        <is>
          <t>MJ-XHS-U-004</t>
        </is>
      </c>
      <c r="N5" t="inlineStr">
        <is>
          <t>公开评论</t>
        </is>
      </c>
      <c r="O5"/>
      <c r="P5" t="inlineStr">
        <is>
          <t>【用户场景】下班独饮
【情绪关键词】审美, 怕失控
【表层需求】想要购买到口感顺滑、风味融合度好、不辣喉不苦涩的优质平价果酒，满足日常下班小酌的需求
【深层情绪】想偶尔小酌，但是被口感劝退
【身份需求】我是有追求，对口感和口味要求较高的人
【饮酒态度】偶尔小酌
【品牌反馈】反馈梅见青梅酒品质不佳，虽价格便宜，但以高度高粱酒为基酒口感辣喉，高度蒸馏感掩盖风味，酒体苦涩、入口融合度差，购买后十分后悔，认为昆竹牌、三得利、古越龙山的相关产品都远优于梅见。
【可转化品牌洞察】梅见不能只靠低价或国风包装，需要回应用户对酒体融合度、辣喉、苦涩和真实梅味的质疑。</t>
        </is>
      </c>
      <c r="Q5" t="inlineStr">
        <is>
          <t>目标品牌</t>
        </is>
      </c>
      <c r="R5"/>
      <c r="S5" t="inlineStr">
        <is>
          <t>MJ-RAW-0004_ANALYSIS_DEMO_DELTA_formal-attempt-0001_AI</t>
        </is>
      </c>
      <c r="T5" t="inlineStr">
        <is>
          <t>梅见反馈</t>
        </is>
      </c>
      <c r="U5" t="inlineStr">
        <is>
          <t>KEEP</t>
        </is>
      </c>
      <c r="V5" t="inlineStr">
        <is>
          <t>CURATED_DEMO_DELTA</t>
        </is>
      </c>
      <c r="W5" t="inlineStr">
        <is>
          <t>不可用</t>
        </is>
      </c>
      <c r="X5" t="inlineStr">
        <is>
          <t>品牌语料分析与洞察体系.xlsx#表1：原始语料库!5</t>
        </is>
      </c>
      <c r="Y5" t="inlineStr">
        <is>
          <t>FROZEN_419_V2</t>
        </is>
      </c>
    </row>
    <row r="6" ht="25.5" customHeight="1">
      <c r="A6" t="inlineStr">
        <is>
          <t>MJ-RAW-0005</t>
        </is>
      </c>
      <c r="B6" t="inlineStr">
        <is>
          <t>梅见产品体验反馈</t>
        </is>
      </c>
      <c r="C6" t="inlineStr">
        <is>
          <t>PRJ001</t>
        </is>
      </c>
      <c r="D6" t="inlineStr">
        <is>
          <t>梅见</t>
        </is>
      </c>
      <c r="E6" t="inlineStr">
        <is>
          <t>“网上风很大的国风果酒。叛身颜值确实好看，但讲真的茶香有点太抢戏了。盖过了本身的酒味，很容易上头！而且后味有点微苦，果香散得也快”</t>
        </is>
      </c>
      <c r="F6" t="inlineStr">
        <is>
          <t>来源：抖音平台用户评论</t>
        </is>
      </c>
      <c r="G6" t="inlineStr">
        <is>
          <t>抖音</t>
        </is>
      </c>
      <c r="H6" s="2" t="str">
        <f>=HYPERLINK("http://数据未收集", "数据未收集")</f>
        <v>数据未收集</v>
      </c>
      <c r="I6" s="3"/>
      <c r="J6" s="4">
        <v>46243</v>
      </c>
      <c r="K6" t="inlineStr">
        <is>
          <t>梅见 青梅酒 口感 评价</t>
        </is>
      </c>
      <c r="L6"/>
      <c r="M6" t="inlineStr">
        <is>
          <t>MJ-DY-U-001</t>
        </is>
      </c>
      <c r="N6" t="inlineStr">
        <is>
          <t>公开评论</t>
        </is>
      </c>
      <c r="O6"/>
      <c r="P6" t="inlineStr">
        <is>
          <t>【用户场景】下班独饮, 节日礼赠
【情绪关键词】怕失控, 体面
【表层需求】想要外观颜值出众、风味协调不突兀、不易上头、果香留存久的国风果酒
【深层情绪】希望小酌时既获得微醺放松的愉悦，又能保持体面清醒不失态，避免因酒质问题出现上头、状态失控的尴尬，同时也期待心仪的国风果酒能匹配宣传的优质体验，不辜负自己对品质和氛围感的期待。
【身份需求】我是注重生活质感，想要契合自身审美的优质酒饮，又希望消费不踩雷，小酌时维持得体状态的年轻消费者
【饮酒态度】担心失控, 偶尔小酌
【品牌反馈】当前市面部分主打国风定位的果酒存在风味不协调、茶香等附加风味盖过基酒本味、易上头、后味发苦、果香味留存时间短的问题，容易让注重品质与体验的消费者产生消费踩雷的感受，不符合目标用户对小酌时保持体面、不易上头、风味协调的核心需求。
【可转化品牌洞察】梅见需要把“颜值种草”转成“口味可信”，避免用户期待国风果酒，实际喝到茶香抢戏、后味发苦和易上头。</t>
        </is>
      </c>
      <c r="Q6" t="inlineStr">
        <is>
          <t>目标品牌</t>
        </is>
      </c>
      <c r="R6"/>
      <c r="S6" t="inlineStr">
        <is>
          <t>MJ-RAW-0005_ANALYSIS_DEMO_DELTA_formal-attempt-0001_AI</t>
        </is>
      </c>
      <c r="T6" t="inlineStr">
        <is>
          <t>梅见反馈</t>
        </is>
      </c>
      <c r="U6" t="inlineStr">
        <is>
          <t>KEEP</t>
        </is>
      </c>
      <c r="V6" t="inlineStr">
        <is>
          <t>CURATED_DEMO_DELTA</t>
        </is>
      </c>
      <c r="W6" t="inlineStr">
        <is>
          <t>不可用</t>
        </is>
      </c>
      <c r="X6" t="inlineStr">
        <is>
          <t>品牌语料分析与洞察体系.xlsx#表1：原始语料库!6</t>
        </is>
      </c>
      <c r="Y6" t="inlineStr">
        <is>
          <t>FROZEN_419_V2</t>
        </is>
      </c>
    </row>
    <row r="7" ht="25.5" customHeight="1">
      <c r="A7" t="inlineStr">
        <is>
          <t>MJ-RAW-0006</t>
        </is>
      </c>
      <c r="B7" t="inlineStr">
        <is>
          <t>梅见产品体验反馈</t>
        </is>
      </c>
      <c r="C7" t="inlineStr">
        <is>
          <t>PRJ001</t>
        </is>
      </c>
      <c r="D7" t="inlineStr">
        <is>
          <t>梅见</t>
        </is>
      </c>
      <c r="E7" t="inlineStr">
        <is>
          <t>“梅见，兴冲冲的下单结果满载失望。这玩意入口就像是酒精跟青梅汁勾兑的一样，酒精是酒精青梅汁是青梅汁，啥也不是。"</t>
        </is>
      </c>
      <c r="F7" t="inlineStr">
        <is>
          <t>来源：抖音平台用户评论</t>
        </is>
      </c>
      <c r="G7" t="inlineStr">
        <is>
          <t>抖音</t>
        </is>
      </c>
      <c r="H7" s="2" t="str">
        <f>=HYPERLINK("http://数据未收集", "数据未收集")</f>
        <v>数据未收集</v>
      </c>
      <c r="I7" s="3"/>
      <c r="J7" s="4">
        <v>46243</v>
      </c>
      <c r="K7" t="inlineStr">
        <is>
          <t>梅见 青梅酒 口感 评价</t>
        </is>
      </c>
      <c r="L7"/>
      <c r="M7" t="inlineStr">
        <is>
          <t>MJ-DY-U-002</t>
        </is>
      </c>
      <c r="N7" t="inlineStr">
        <is>
          <t>公开评论</t>
        </is>
      </c>
      <c r="O7"/>
      <c r="P7" t="inlineStr">
        <is>
          <t>【用户场景】下班独饮
【情绪关键词】审美
【表层需求】想要购买到口感融洽的酒类
【深层情绪】出于市场评价和包装购买发现口味不如期望
【身份需求】我会出于网上的评价而购入产品但同时也有自己的审美
【饮酒态度】偶尔小酌, 喜欢微醺
【品牌反馈】反馈梅见的口味调配很糟糕不够融洽
【可转化品牌洞察】梅见当前的口味调配存在明显割裂感，酒精与青梅风味融合度不足，易引发消费不满，需优化酒体调和工艺，提升入口风味的协调性</t>
        </is>
      </c>
      <c r="Q7" t="inlineStr">
        <is>
          <t>目标品牌</t>
        </is>
      </c>
      <c r="R7"/>
      <c r="S7" t="inlineStr">
        <is>
          <t>MJ-RAW-0006_GOLD_人工标注_人工,MJ-RAW-0006_GOLD_attempt-0002_AI_矫正前,MJ-RAW-0006_GOLD_attempt-0006_AI_矫正后</t>
        </is>
      </c>
      <c r="T7" t="inlineStr">
        <is>
          <t>梅见反馈</t>
        </is>
      </c>
      <c r="U7" t="inlineStr">
        <is>
          <t>KEEP</t>
        </is>
      </c>
      <c r="V7" t="inlineStr">
        <is>
          <t>GOLD</t>
        </is>
      </c>
      <c r="W7" t="inlineStr">
        <is>
          <t>不可用</t>
        </is>
      </c>
      <c r="X7" t="inlineStr">
        <is>
          <t>原始母表#raw_id=MJ-RAW-0006</t>
        </is>
      </c>
      <c r="Y7" t="inlineStr">
        <is>
          <t>FROZEN_419_V2</t>
        </is>
      </c>
    </row>
    <row r="8" ht="25.5" customHeight="1">
      <c r="A8" t="inlineStr">
        <is>
          <t>MJ-RAW-0007</t>
        </is>
      </c>
      <c r="B8" t="inlineStr">
        <is>
          <t>梅见产品体验反馈</t>
        </is>
      </c>
      <c r="C8" t="inlineStr">
        <is>
          <t>PRJ001</t>
        </is>
      </c>
      <c r="D8" t="inlineStr">
        <is>
          <t>梅见</t>
        </is>
      </c>
      <c r="E8" t="inlineStr">
        <is>
          <t>”挺好喝的，果酒里面算度数高的了,我从十几块喝到现在三十多，涨价涨的喝不动了，偶尔喝一会"</t>
        </is>
      </c>
      <c r="F8" t="inlineStr">
        <is>
          <t>来源：抖音平台用户评论</t>
        </is>
      </c>
      <c r="G8" t="inlineStr">
        <is>
          <t>抖音</t>
        </is>
      </c>
      <c r="H8" s="2" t="str">
        <f>=HYPERLINK("http://数据未收集", "数据未收集")</f>
        <v>数据未收集</v>
      </c>
      <c r="I8" s="3"/>
      <c r="J8" s="4">
        <v>46243</v>
      </c>
      <c r="K8" t="inlineStr">
        <is>
          <t>梅见 青梅酒 口感 评价</t>
        </is>
      </c>
      <c r="L8"/>
      <c r="M8" t="inlineStr">
        <is>
          <t>MJ-DY-U-003</t>
        </is>
      </c>
      <c r="N8" t="inlineStr">
        <is>
          <t>公开评论</t>
        </is>
      </c>
      <c r="O8"/>
      <c r="P8" t="inlineStr">
        <is>
          <t>【用户场景】下班独饮
【情绪关键词】轻松
【表层需求】想要买到价格合适的果酒
【深层情绪】对涨价感到不合理，希望能提高性价比
【身份需求】我是追求性价比和口味的人
【饮酒态度】偶尔小酌
【品牌反馈】反馈目前定价过高，对口味表达了赞许
【可转化品牌洞察】价格敏感度高，用户对产品从十几元涨至三十多元的涨价行为接受度低，认为当前定价过高，自身性价比不足已成为阻碍用户持续消费的核心痛点</t>
        </is>
      </c>
      <c r="Q8" t="inlineStr">
        <is>
          <t>目标品牌</t>
        </is>
      </c>
      <c r="R8"/>
      <c r="S8" t="inlineStr">
        <is>
          <t>MJ-RAW-0007_ANALYSIS_BASELINE_formal-attempt-0001_AI</t>
        </is>
      </c>
      <c r="T8" t="inlineStr">
        <is>
          <t>梅见反馈</t>
        </is>
      </c>
      <c r="U8" t="inlineStr">
        <is>
          <t>KEEP</t>
        </is>
      </c>
      <c r="V8" t="inlineStr">
        <is>
          <t>ANALYSIS_BASELINE</t>
        </is>
      </c>
      <c r="W8" t="inlineStr">
        <is>
          <t>不可用</t>
        </is>
      </c>
      <c r="X8" t="inlineStr">
        <is>
          <t>品牌语料分析与洞察体系.xlsx#表1：原始语料库!8</t>
        </is>
      </c>
      <c r="Y8" t="inlineStr">
        <is>
          <t>FROZEN_419_V2</t>
        </is>
      </c>
    </row>
    <row r="9" ht="25.5" customHeight="1">
      <c r="A9" t="inlineStr">
        <is>
          <t>MJ-RAW-0008</t>
        </is>
      </c>
      <c r="B9" t="inlineStr">
        <is>
          <t>梅见产品体验反馈</t>
        </is>
      </c>
      <c r="C9" t="inlineStr">
        <is>
          <t>PRJ001</t>
        </is>
      </c>
      <c r="D9" t="inlineStr">
        <is>
          <t>梅见</t>
        </is>
      </c>
      <c r="E9" t="inlineStr">
        <is>
          <t>青序磨砂瓶没有了 我现在买的这个 感觉比磨砂瓶更重味道这点 其他都不错 冰梅酒是这款 昆竹的  这些都碾压梅见 真心的 那种配料表里有浓缩青梅汁的直接pass</t>
        </is>
      </c>
      <c r="F9" t="inlineStr">
        <is>
          <t>来源：B站平台用户评论</t>
        </is>
      </c>
      <c r="G9" t="inlineStr">
        <is>
          <t>B站</t>
        </is>
      </c>
      <c r="H9" s="2" t="str">
        <f>=HYPERLINK("http://数据未收集", "数据未收集")</f>
        <v>数据未收集</v>
      </c>
      <c r="I9" s="3"/>
      <c r="J9" s="4">
        <v>46243</v>
      </c>
      <c r="K9" t="inlineStr">
        <is>
          <t>梅见 青梅酒 口感 评价</t>
        </is>
      </c>
      <c r="L9"/>
      <c r="M9" t="inlineStr">
        <is>
          <t>MJ-B-U-001</t>
        </is>
      </c>
      <c r="N9" t="inlineStr">
        <is>
          <t>公开评论</t>
        </is>
      </c>
      <c r="O9"/>
      <c r="P9" t="inlineStr">
        <is>
          <t>【用户场景】下班独饮
【情绪关键词】审美, 尴尬
【表层需求】想要品质稳定、口感一致、配料表干净的梅酒
【深层情绪】对品牌品控不稳定感到失望，转而寻找替代品，用配料表做筛选标准
【身份需求】我是会看配料表、讲究品质、不将就的人
【饮酒态度】偶尔小酌
【品牌反馈】包装改版后口感变差，配料表含浓缩青梅汁的品牌被用户直接否决；昆竹、冰梅酒等竞品被拿来对比碾压梅见
【可转化品牌洞察】梅见需要在配料表透明度和口味一致性上建立信任，浓缩青梅汁等原料标签可能成为用户流失的关键触发点</t>
        </is>
      </c>
      <c r="Q9" t="inlineStr">
        <is>
          <t>目标品牌</t>
        </is>
      </c>
      <c r="R9"/>
      <c r="S9" t="inlineStr">
        <is>
          <t>MJ-RAW-0008_CHALLENGE_POOL_formal-attempt-0001_AI</t>
        </is>
      </c>
      <c r="T9" t="inlineStr">
        <is>
          <t>梅见反馈</t>
        </is>
      </c>
      <c r="U9" t="inlineStr">
        <is>
          <t>KEEP</t>
        </is>
      </c>
      <c r="V9" t="inlineStr">
        <is>
          <t>CHALLENGE</t>
        </is>
      </c>
      <c r="W9" t="inlineStr">
        <is>
          <t>不可用</t>
        </is>
      </c>
      <c r="X9" t="inlineStr">
        <is>
          <t>品牌语料分析与洞察体系.xlsx#表1：原始语料库!9</t>
        </is>
      </c>
      <c r="Y9" t="inlineStr">
        <is>
          <t>FROZEN_419_V2</t>
        </is>
      </c>
    </row>
    <row r="10" ht="25.5" customHeight="1">
      <c r="A10" t="inlineStr">
        <is>
          <t>MJ-RAW-0009</t>
        </is>
      </c>
      <c r="B10" t="inlineStr">
        <is>
          <t>梅见产品体验反馈</t>
        </is>
      </c>
      <c r="C10" t="inlineStr">
        <is>
          <t>PRJ001</t>
        </is>
      </c>
      <c r="D10" t="inlineStr">
        <is>
          <t>梅见</t>
        </is>
      </c>
      <c r="E10" t="inlineStr">
        <is>
          <t>就现在我正在喝这个，当饮料喝了，平时都喝53五粮液和58度金门高粱酒的，这玩意喝起来口感就是个饮料，已经两瓶喝完了，酸酸的，没酒味，兑点伏特加做成40多度应该味道不错</t>
        </is>
      </c>
      <c r="F10" t="inlineStr">
        <is>
          <t>来源：B站平台用户评论</t>
        </is>
      </c>
      <c r="G10" t="inlineStr">
        <is>
          <t>B站</t>
        </is>
      </c>
      <c r="H10" s="2" t="str">
        <f>=HYPERLINK("http://数据未收集", "数据未收集")</f>
        <v>数据未收集</v>
      </c>
      <c r="I10" s="3"/>
      <c r="J10" s="4">
        <v>46243</v>
      </c>
      <c r="K10" t="inlineStr">
        <is>
          <t>梅见 青梅酒 口感 评价</t>
        </is>
      </c>
      <c r="L10"/>
      <c r="M10" t="inlineStr">
        <is>
          <t>MJ-B-U-002</t>
        </is>
      </c>
      <c r="N10" t="inlineStr">
        <is>
          <t>公开评论</t>
        </is>
      </c>
      <c r="O10"/>
      <c r="P10" t="inlineStr">
        <is>
          <t>【用户场景】下班独饮
【情绪关键词】轻松, 审美
【表层需求】把梅见当饮料喝，追求酸酸甜甜的轻松口感
【深层情绪】平时喝高度酒的人，把梅见当成一种轻松无负担的调剂，而不是真正的酒
【身份需求】我是能喝高度酒，但也愿意享受低度轻松的人
【饮酒态度】接受低度
【品牌反馈】梅见被当作“好喝的饮料”而非“酒”来喝，酸酸的口感被认可，但酒感太弱，对习惯高度酒的用户更像饮料替代品
【可转化品牌洞察】梅见对重度饮酒者来说更像“饮料替代”，可将其定位为“想喝点什么但不想喝酒时的选择”，而非和白酒竞争</t>
        </is>
      </c>
      <c r="Q10" t="inlineStr">
        <is>
          <t>目标品牌</t>
        </is>
      </c>
      <c r="R10"/>
      <c r="S10" t="inlineStr">
        <is>
          <t>MJ-RAW-0009_GOLD_人工标注_人工,MJ-RAW-0009_GOLD_attempt-0002_AI_矫正前,MJ-RAW-0009_GOLD_attempt-0006_AI_矫正后</t>
        </is>
      </c>
      <c r="T10" t="inlineStr">
        <is>
          <t>梅见反馈</t>
        </is>
      </c>
      <c r="U10" t="inlineStr">
        <is>
          <t>KEEP</t>
        </is>
      </c>
      <c r="V10" t="inlineStr">
        <is>
          <t>GOLD</t>
        </is>
      </c>
      <c r="W10" t="inlineStr">
        <is>
          <t>不可用</t>
        </is>
      </c>
      <c r="X10" t="inlineStr">
        <is>
          <t>原始母表#raw_id=MJ-RAW-0009</t>
        </is>
      </c>
      <c r="Y10" t="inlineStr">
        <is>
          <t>FROZEN_419_V2</t>
        </is>
      </c>
    </row>
    <row r="11" ht="25.5" customHeight="1">
      <c r="A11" t="inlineStr">
        <is>
          <t>MJ-RAW-0010</t>
        </is>
      </c>
      <c r="B11" t="inlineStr">
        <is>
          <t>梅见产品体验反馈</t>
        </is>
      </c>
      <c r="C11" t="inlineStr">
        <is>
          <t>PRJ001</t>
        </is>
      </c>
      <c r="D11" t="inlineStr">
        <is>
          <t>梅见</t>
        </is>
      </c>
      <c r="E11" t="inlineStr">
        <is>
          <t>可能本人没喝过酒，28岁男，喝朋友送的梅见，一口就感觉是酒精兑香精，然后就放厨房当料酒了。</t>
        </is>
      </c>
      <c r="F11" t="inlineStr">
        <is>
          <t>来源：B站平台用户评论</t>
        </is>
      </c>
      <c r="G11" t="inlineStr">
        <is>
          <t>B站</t>
        </is>
      </c>
      <c r="H11" s="2" t="str">
        <f>=HYPERLINK("http://数据未收集", "数据未收集")</f>
        <v>数据未收集</v>
      </c>
      <c r="I11" s="3"/>
      <c r="J11" s="4">
        <v>46243</v>
      </c>
      <c r="K11" t="inlineStr">
        <is>
          <t>梅见 青梅酒 口感 评价</t>
        </is>
      </c>
      <c r="L11"/>
      <c r="M11" t="inlineStr">
        <is>
          <t>MJ-B-U-003</t>
        </is>
      </c>
      <c r="N11" t="inlineStr">
        <is>
          <t>公开评论</t>
        </is>
      </c>
      <c r="O11"/>
      <c r="P11" t="inlineStr">
        <is>
          <t>【用户场景】家宴
【情绪关键词】尴尬, 怕失控
【表层需求】想要自然、不工业化的酒味
【深层情绪】第一次尝试就被劝退，产生强烈负面印象，直接放弃该品类
【身份需求】我是没喝过酒但愿意尝试的人，但第一次体验不好就不会再给机会
【饮酒态度】不主动喝酒
【品牌反馈】梅见被评价为“酒精兑香精”，直接被打入“料酒”级别，对白酒新手来说第一次体验极差
【可转化品牌洞察】梅见对“没喝过酒的人”的第一口体验是致命的——如果第一口被感知为工业香精味，品牌永远失去这个用户。需要为新手设计专属口味线或饮法指南</t>
        </is>
      </c>
      <c r="Q11" t="inlineStr">
        <is>
          <t>目标品牌</t>
        </is>
      </c>
      <c r="R11"/>
      <c r="S11" t="inlineStr">
        <is>
          <t>MJ-RAW-0010_ANALYSIS_DEMO_DELTA_formal-attempt-0001_AI</t>
        </is>
      </c>
      <c r="T11" t="inlineStr">
        <is>
          <t>梅见反馈</t>
        </is>
      </c>
      <c r="U11" t="inlineStr">
        <is>
          <t>KEEP</t>
        </is>
      </c>
      <c r="V11" t="inlineStr">
        <is>
          <t>CURATED_DEMO_DELTA</t>
        </is>
      </c>
      <c r="W11" t="inlineStr">
        <is>
          <t>不可用</t>
        </is>
      </c>
      <c r="X11" t="inlineStr">
        <is>
          <t>品牌语料分析与洞察体系.xlsx#表1：原始语料库!11</t>
        </is>
      </c>
      <c r="Y11" t="inlineStr">
        <is>
          <t>FROZEN_419_V2</t>
        </is>
      </c>
    </row>
    <row r="12" ht="25.5" customHeight="1">
      <c r="A12" t="inlineStr">
        <is>
          <t>MJ-RAW-0011</t>
        </is>
      </c>
      <c r="B12" t="inlineStr">
        <is>
          <t>梅见产品体验反馈</t>
        </is>
      </c>
      <c r="C12" t="inlineStr">
        <is>
          <t>PRJ001</t>
        </is>
      </c>
      <c r="D12" t="inlineStr">
        <is>
          <t>梅见</t>
        </is>
      </c>
      <c r="E12" t="inlineStr">
        <is>
          <t>有点像喝止咳糖浆加酒</t>
        </is>
      </c>
      <c r="F12" t="inlineStr">
        <is>
          <t>来源：小红书平台用户评论</t>
        </is>
      </c>
      <c r="G12" t="inlineStr">
        <is>
          <t>小红书</t>
        </is>
      </c>
      <c r="H12" s="2" t="str">
        <f>=HYPERLINK("http://数据未收集", "数据未收集")</f>
        <v>数据未收集</v>
      </c>
      <c r="I12" s="3">
        <v>45884</v>
      </c>
      <c r="J12" s="4">
        <v>46241</v>
      </c>
      <c r="K12" t="inlineStr">
        <is>
          <t>梅见 青梅酒 口感 评价</t>
        </is>
      </c>
      <c r="L12">
        <v>38</v>
      </c>
      <c r="M12" t="inlineStr">
        <is>
          <t>MJ-XHS-U-005</t>
        </is>
      </c>
      <c r="N12" t="inlineStr">
        <is>
          <t>公开评论</t>
        </is>
      </c>
      <c r="O12"/>
      <c r="P12" t="inlineStr">
        <is>
          <t>【原始编号】MJPE001
【笔记发布日期】2025-08-05
【初步标签】药味、酒感、负面口感</t>
        </is>
      </c>
      <c r="Q12" t="inlineStr">
        <is>
          <t>目标品牌</t>
        </is>
      </c>
      <c r="R12"/>
      <c r="S12" t="inlineStr">
        <is>
          <t>MJ-RAW-0011_GOLD_人工标注_人工,MJ-RAW-0011_GOLD_attempt-0002_AI_矫正前,MJ-RAW-0011_GOLD_attempt-0006_AI_矫正后</t>
        </is>
      </c>
      <c r="T12" t="inlineStr">
        <is>
          <t>梅见反馈</t>
        </is>
      </c>
      <c r="U12" t="inlineStr">
        <is>
          <t>KEEP</t>
        </is>
      </c>
      <c r="V12" t="inlineStr">
        <is>
          <t>GOLD</t>
        </is>
      </c>
      <c r="W12" t="inlineStr">
        <is>
          <t>不可用</t>
        </is>
      </c>
      <c r="X12" t="inlineStr">
        <is>
          <t>原始母表#raw_id=MJ-RAW-0011</t>
        </is>
      </c>
      <c r="Y12" t="inlineStr">
        <is>
          <t>FROZEN_419_V2</t>
        </is>
      </c>
    </row>
    <row r="13" ht="25.5" customHeight="1">
      <c r="A13" t="inlineStr">
        <is>
          <t>MJ-RAW-0012</t>
        </is>
      </c>
      <c r="B13" t="inlineStr">
        <is>
          <t>梅见产品体验反馈</t>
        </is>
      </c>
      <c r="C13" t="inlineStr">
        <is>
          <t>PRJ001</t>
        </is>
      </c>
      <c r="D13" t="inlineStr">
        <is>
          <t>梅见</t>
        </is>
      </c>
      <c r="E13" t="inlineStr">
        <is>
          <t>没觉得喝一口都是工业味么</t>
        </is>
      </c>
      <c r="F13" t="inlineStr">
        <is>
          <t>来源：小红书平台用户评论</t>
        </is>
      </c>
      <c r="G13" t="inlineStr">
        <is>
          <t>小红书</t>
        </is>
      </c>
      <c r="H13" s="2" t="str">
        <f>=HYPERLINK("http://数据未收集", "数据未收集")</f>
        <v>数据未收集</v>
      </c>
      <c r="I13" s="3">
        <v>45875</v>
      </c>
      <c r="J13" s="4">
        <v>46241</v>
      </c>
      <c r="K13" t="inlineStr">
        <is>
          <t>梅见 青梅酒 口感 评价</t>
        </is>
      </c>
      <c r="L13">
        <v>40</v>
      </c>
      <c r="M13" t="inlineStr">
        <is>
          <t>MJ-XHS-U-006</t>
        </is>
      </c>
      <c r="N13" t="inlineStr">
        <is>
          <t>公开评论</t>
        </is>
      </c>
      <c r="O13"/>
      <c r="P13" t="inlineStr">
        <is>
          <t>【原始编号】MJPE002
【笔记发布日期】2025-08-05
【初步标签】工业感、风味不自然</t>
        </is>
      </c>
      <c r="Q13" t="inlineStr">
        <is>
          <t>目标品牌</t>
        </is>
      </c>
      <c r="R13"/>
      <c r="S13"/>
      <c r="T13" t="inlineStr">
        <is>
          <t>梅见反馈</t>
        </is>
      </c>
      <c r="U13" t="inlineStr">
        <is>
          <t>EXCLUDE</t>
        </is>
      </c>
      <c r="V13" t="inlineStr">
        <is>
          <t>EXCLUDE</t>
        </is>
      </c>
      <c r="W13" t="inlineStr">
        <is>
          <t>不可用</t>
        </is>
      </c>
      <c r="X13" t="inlineStr">
        <is>
          <t>原始母表#raw_id=MJ-RAW-0012</t>
        </is>
      </c>
      <c r="Y13" t="inlineStr">
        <is>
          <t>FROZEN_419_V2</t>
        </is>
      </c>
    </row>
    <row r="14" ht="25.5" customHeight="1">
      <c r="A14" t="inlineStr">
        <is>
          <t>MJ-RAW-0013</t>
        </is>
      </c>
      <c r="B14" t="inlineStr">
        <is>
          <t>梅见产品体验反馈</t>
        </is>
      </c>
      <c r="C14" t="inlineStr">
        <is>
          <t>PRJ001</t>
        </is>
      </c>
      <c r="D14" t="inlineStr">
        <is>
          <t>梅见</t>
        </is>
      </c>
      <c r="E14" t="inlineStr">
        <is>
          <t>自己泡的梅酒、国外的梅酒、梅见都试过，梅见我的口粮酒了。说是用了什么露酒的生产工艺，入口很顺，高粱酒的香味也够，我感觉没有你说的这么差😂。我自己泡的会有点反苦倒是真的，昆竹没试过，没听过这个牌子。</t>
        </is>
      </c>
      <c r="F14" t="inlineStr">
        <is>
          <t>来源：小红书平台用户评论</t>
        </is>
      </c>
      <c r="G14" t="inlineStr">
        <is>
          <t>小红书</t>
        </is>
      </c>
      <c r="H14" s="2" t="str">
        <f>=HYPERLINK("http://数据未收集", "数据未收集")</f>
        <v>数据未收集</v>
      </c>
      <c r="I14" s="3">
        <v>45941</v>
      </c>
      <c r="J14" s="4">
        <v>46241</v>
      </c>
      <c r="K14" t="inlineStr">
        <is>
          <t>梅见 青梅酒 口感 评价</t>
        </is>
      </c>
      <c r="L14">
        <v>84</v>
      </c>
      <c r="M14" t="inlineStr">
        <is>
          <t>MJ-XHS-U-007</t>
        </is>
      </c>
      <c r="N14" t="inlineStr">
        <is>
          <t>公开评论</t>
        </is>
      </c>
      <c r="O14"/>
      <c r="P14" t="inlineStr">
        <is>
          <t>【原始编号】MJPE003
【笔记发布日期】2025-10-03
【初步标签】入口顺、酒香、口粮酒、正向反例</t>
        </is>
      </c>
      <c r="Q14" t="inlineStr">
        <is>
          <t>目标品牌</t>
        </is>
      </c>
      <c r="R14"/>
      <c r="S14" t="inlineStr">
        <is>
          <t>MJ-RAW-0013_ANALYSIS_DEMO_DELTA_formal-attempt-0001_AI</t>
        </is>
      </c>
      <c r="T14" t="inlineStr">
        <is>
          <t>梅见反馈</t>
        </is>
      </c>
      <c r="U14" t="inlineStr">
        <is>
          <t>KEEP</t>
        </is>
      </c>
      <c r="V14" t="inlineStr">
        <is>
          <t>CURATED_DEMO_DELTA</t>
        </is>
      </c>
      <c r="W14" t="inlineStr">
        <is>
          <t>不可用</t>
        </is>
      </c>
      <c r="X14" t="inlineStr">
        <is>
          <t>品牌语料分析与洞察体系.xlsx#表1：原始语料库!14</t>
        </is>
      </c>
      <c r="Y14" t="inlineStr">
        <is>
          <t>FROZEN_419_V2</t>
        </is>
      </c>
    </row>
    <row r="15" ht="25.5" customHeight="1">
      <c r="A15" t="inlineStr">
        <is>
          <t>MJ-RAW-0014</t>
        </is>
      </c>
      <c r="B15" t="inlineStr">
        <is>
          <t>梅见产品体验反馈</t>
        </is>
      </c>
      <c r="C15" t="inlineStr">
        <is>
          <t>PRJ001</t>
        </is>
      </c>
      <c r="D15" t="inlineStr">
        <is>
          <t>梅见</t>
        </is>
      </c>
      <c r="E15" t="inlineStr">
        <is>
          <t>感觉像喝药一样[呃R]</t>
        </is>
      </c>
      <c r="F15" t="inlineStr">
        <is>
          <t>来源：小红书平台用户评论</t>
        </is>
      </c>
      <c r="G15" t="inlineStr">
        <is>
          <t>小红书</t>
        </is>
      </c>
      <c r="H15" s="2" t="str">
        <f>=HYPERLINK("http://数据未收集", "数据未收集")</f>
        <v>数据未收集</v>
      </c>
      <c r="I15" s="3">
        <v>45954</v>
      </c>
      <c r="J15" s="4">
        <v>46241</v>
      </c>
      <c r="K15" t="inlineStr">
        <is>
          <t>梅见 青梅酒 口感 评价</t>
        </is>
      </c>
      <c r="L15">
        <v>35</v>
      </c>
      <c r="M15" t="inlineStr">
        <is>
          <t>MJ-XHS-U-008</t>
        </is>
      </c>
      <c r="N15" t="inlineStr">
        <is>
          <t>公开评论</t>
        </is>
      </c>
      <c r="O15"/>
      <c r="P15" t="inlineStr">
        <is>
          <t>从EXCLUDE补回，内容有效且不重复</t>
        </is>
      </c>
      <c r="Q15" t="inlineStr">
        <is>
          <t>目标品牌</t>
        </is>
      </c>
      <c r="R15"/>
      <c r="S15"/>
      <c r="T15" t="inlineStr">
        <is>
          <t>梅见反馈</t>
        </is>
      </c>
      <c r="U15" t="inlineStr">
        <is>
          <t>KEEP</t>
        </is>
      </c>
      <c r="V15" t="inlineStr">
        <is>
          <t>HOLDOUT</t>
        </is>
      </c>
      <c r="W15" t="inlineStr">
        <is>
          <t>不可用</t>
        </is>
      </c>
      <c r="X15" t="inlineStr">
        <is>
          <t>原始母表#raw_id=MJ-RAW-0014</t>
        </is>
      </c>
      <c r="Y15" t="inlineStr">
        <is>
          <t>FROZEN_419_V2</t>
        </is>
      </c>
    </row>
    <row r="16" ht="25.5" customHeight="1">
      <c r="A16" t="inlineStr">
        <is>
          <t>MJ-RAW-0015</t>
        </is>
      </c>
      <c r="B16" t="inlineStr">
        <is>
          <t>梅见产品体验反馈</t>
        </is>
      </c>
      <c r="C16" t="inlineStr">
        <is>
          <t>PRJ001</t>
        </is>
      </c>
      <c r="D16" t="inlineStr">
        <is>
          <t>梅见</t>
        </is>
      </c>
      <c r="E16" t="inlineStr">
        <is>
          <t>这个呀，我加柠檬汁和雪碧，或者➕酸梅汤和蔓越莓利口酒</t>
        </is>
      </c>
      <c r="F16" t="inlineStr">
        <is>
          <t>来源：小红书平台用户评论</t>
        </is>
      </c>
      <c r="G16" t="inlineStr">
        <is>
          <t>小红书</t>
        </is>
      </c>
      <c r="H16" s="2" t="str">
        <f>=HYPERLINK("http://数据未收集", "数据未收集")</f>
        <v>数据未收集</v>
      </c>
      <c r="I16" s="3">
        <v>46149</v>
      </c>
      <c r="J16" s="4">
        <v>46241</v>
      </c>
      <c r="K16" t="inlineStr">
        <is>
          <t>梅见 青梅酒 口感 评价</t>
        </is>
      </c>
      <c r="L16">
        <v>16</v>
      </c>
      <c r="M16" t="inlineStr">
        <is>
          <t>MJ-XHS-U-009</t>
        </is>
      </c>
      <c r="N16" t="inlineStr">
        <is>
          <t>公开评论</t>
        </is>
      </c>
      <c r="O16"/>
      <c r="P16" t="inlineStr">
        <is>
          <t>【原始编号】MJPE005
【笔记发布日期】2026-05-07
【初步标签】调饮、配方分享、内容共创</t>
        </is>
      </c>
      <c r="Q16" t="inlineStr">
        <is>
          <t>目标品牌</t>
        </is>
      </c>
      <c r="R16"/>
      <c r="S16" t="inlineStr">
        <is>
          <t>MJ-RAW-0015_HOLDOUT_formal-attempt-0001_AI</t>
        </is>
      </c>
      <c r="T16" t="inlineStr">
        <is>
          <t>梅见反馈</t>
        </is>
      </c>
      <c r="U16" t="inlineStr">
        <is>
          <t>KEEP</t>
        </is>
      </c>
      <c r="V16" t="inlineStr">
        <is>
          <t>HOLDOUT</t>
        </is>
      </c>
      <c r="W16" t="inlineStr">
        <is>
          <t>不可用</t>
        </is>
      </c>
      <c r="X16" t="inlineStr">
        <is>
          <t>品牌语料分析与洞察体系.xlsx#表1：原始语料库!16</t>
        </is>
      </c>
      <c r="Y16" t="inlineStr">
        <is>
          <t>FROZEN_419_V2</t>
        </is>
      </c>
    </row>
    <row r="17" ht="25.5" customHeight="1">
      <c r="A17" t="inlineStr">
        <is>
          <t>MJ-RAW-0016</t>
        </is>
      </c>
      <c r="B17" t="inlineStr">
        <is>
          <t>梅见产品体验反馈</t>
        </is>
      </c>
      <c r="C17" t="inlineStr">
        <is>
          <t>PRJ001</t>
        </is>
      </c>
      <c r="D17" t="inlineStr">
        <is>
          <t>梅见</t>
        </is>
      </c>
      <c r="E17" t="inlineStr">
        <is>
          <t>但是...工业酒精味道</t>
        </is>
      </c>
      <c r="F17" t="inlineStr">
        <is>
          <t>来源：小红书平台用户评论</t>
        </is>
      </c>
      <c r="G17" t="inlineStr">
        <is>
          <t>小红书</t>
        </is>
      </c>
      <c r="H17" s="2" t="str">
        <f>=HYPERLINK("http://数据未收集", "数据未收集")</f>
        <v>数据未收集</v>
      </c>
      <c r="I17" s="3">
        <v>46153</v>
      </c>
      <c r="J17" s="4">
        <v>46241</v>
      </c>
      <c r="K17" t="inlineStr">
        <is>
          <t>梅见 青梅酒 口感 评价</t>
        </is>
      </c>
      <c r="L17">
        <v>25</v>
      </c>
      <c r="M17" t="inlineStr">
        <is>
          <t>MJ-XHS-U-010</t>
        </is>
      </c>
      <c r="N17" t="inlineStr">
        <is>
          <t>公开评论</t>
        </is>
      </c>
      <c r="O17"/>
      <c r="P17" t="inlineStr">
        <is>
          <t>【原始编号】MJPE006
【笔记发布日期】2026-05-07
【初步标签】工业酒精感、负面口感</t>
        </is>
      </c>
      <c r="Q17" t="inlineStr">
        <is>
          <t>目标品牌</t>
        </is>
      </c>
      <c r="R17"/>
      <c r="S17" t="inlineStr">
        <is>
          <t>MJ-RAW-0016_HOLDOUT_formal-attempt-0001_AI</t>
        </is>
      </c>
      <c r="T17" t="inlineStr">
        <is>
          <t>梅见反馈</t>
        </is>
      </c>
      <c r="U17" t="inlineStr">
        <is>
          <t>KEEP</t>
        </is>
      </c>
      <c r="V17" t="inlineStr">
        <is>
          <t>HOLDOUT</t>
        </is>
      </c>
      <c r="W17" t="inlineStr">
        <is>
          <t>不可用</t>
        </is>
      </c>
      <c r="X17" t="inlineStr">
        <is>
          <t>品牌语料分析与洞察体系.xlsx#表1：原始语料库!17</t>
        </is>
      </c>
      <c r="Y17" t="inlineStr">
        <is>
          <t>FROZEN_419_V2</t>
        </is>
      </c>
    </row>
    <row r="18" ht="25.5" customHeight="1">
      <c r="A18" t="inlineStr">
        <is>
          <t>MJ-RAW-0017</t>
        </is>
      </c>
      <c r="B18" t="inlineStr">
        <is>
          <t>梅见产品体验反馈</t>
        </is>
      </c>
      <c r="C18" t="inlineStr">
        <is>
          <t>PRJ001</t>
        </is>
      </c>
      <c r="D18" t="inlineStr">
        <is>
          <t>梅见</t>
        </is>
      </c>
      <c r="E18" t="inlineStr">
        <is>
          <t>怼气泡水 无敌好喝</t>
        </is>
      </c>
      <c r="F18" t="inlineStr">
        <is>
          <t>来源：小红书平台用户评论</t>
        </is>
      </c>
      <c r="G18" t="inlineStr">
        <is>
          <t>小红书</t>
        </is>
      </c>
      <c r="H18" s="2" t="str">
        <f>=HYPERLINK("http://数据未收集", "数据未收集")</f>
        <v>数据未收集</v>
      </c>
      <c r="I18" s="3">
        <v>46078</v>
      </c>
      <c r="J18" s="4">
        <v>46241</v>
      </c>
      <c r="K18" t="inlineStr">
        <is>
          <t>梅见 青梅酒 口感 评价</t>
        </is>
      </c>
      <c r="L18">
        <v>5</v>
      </c>
      <c r="M18" t="inlineStr">
        <is>
          <t>MJ-XHS-U-011</t>
        </is>
      </c>
      <c r="N18" t="inlineStr">
        <is>
          <t>公开评论</t>
        </is>
      </c>
      <c r="O18"/>
      <c r="P18" t="inlineStr">
        <is>
          <t>从EXCLUDE补回，内容有效且不重复</t>
        </is>
      </c>
      <c r="Q18" t="inlineStr">
        <is>
          <t>目标品牌</t>
        </is>
      </c>
      <c r="R18"/>
      <c r="S18"/>
      <c r="T18" t="inlineStr">
        <is>
          <t>梅见反馈</t>
        </is>
      </c>
      <c r="U18" t="inlineStr">
        <is>
          <t>KEEP</t>
        </is>
      </c>
      <c r="V18" t="inlineStr">
        <is>
          <t>HOLDOUT</t>
        </is>
      </c>
      <c r="W18" t="inlineStr">
        <is>
          <t>不可用</t>
        </is>
      </c>
      <c r="X18" t="inlineStr">
        <is>
          <t>原始母表#raw_id=MJ-RAW-0017</t>
        </is>
      </c>
      <c r="Y18" t="inlineStr">
        <is>
          <t>FROZEN_419_V2</t>
        </is>
      </c>
    </row>
    <row r="19" ht="25.5" customHeight="1">
      <c r="A19" t="inlineStr">
        <is>
          <t>MJ-RAW-0018</t>
        </is>
      </c>
      <c r="B19" t="inlineStr">
        <is>
          <t>梅见产品体验反馈</t>
        </is>
      </c>
      <c r="C19" t="inlineStr">
        <is>
          <t>PRJ001</t>
        </is>
      </c>
      <c r="D19" t="inlineStr">
        <is>
          <t>梅见</t>
        </is>
      </c>
      <c r="E19" t="inlineStr">
        <is>
          <t>别单喝很伤胃的，这个兑汽水好一点，醒目就挺好喝！而且比例是酒少汽水多一点，也不涨肚子！但是每次喝梅见胃都要痛好几天，前几天刚喝了兑汽水胃没事，后面半瓶没兑直接喝的给我整吐了</t>
        </is>
      </c>
      <c r="F19" t="inlineStr">
        <is>
          <t>来源：小红书平台用户评论</t>
        </is>
      </c>
      <c r="G19" t="inlineStr">
        <is>
          <t>小红书</t>
        </is>
      </c>
      <c r="H19" s="2" t="str">
        <f>=HYPERLINK("http://数据未收集", "数据未收集")</f>
        <v>数据未收集</v>
      </c>
      <c r="I19" s="3">
        <v>46080</v>
      </c>
      <c r="J19" s="4">
        <v>46241</v>
      </c>
      <c r="K19" t="inlineStr">
        <is>
          <t>梅见 青梅酒 口感 评价</t>
        </is>
      </c>
      <c r="L19">
        <v>4</v>
      </c>
      <c r="M19" t="inlineStr">
        <is>
          <t>MJ-XHS-U-012</t>
        </is>
      </c>
      <c r="N19" t="inlineStr">
        <is>
          <t>公开评论</t>
        </is>
      </c>
      <c r="O19"/>
      <c r="P19" t="inlineStr">
        <is>
          <t>【原始编号】MJPE008
【笔记发布日期】2026-02-21
【初步标签】单饮负担、调饮改善、身体反应自述</t>
        </is>
      </c>
      <c r="Q19" t="inlineStr">
        <is>
          <t>目标品牌</t>
        </is>
      </c>
      <c r="R19"/>
      <c r="S19" t="inlineStr">
        <is>
          <t>MJ-RAW-0018_ANALYSIS_DEMO_DELTA_formal-attempt-0001_AI</t>
        </is>
      </c>
      <c r="T19" t="inlineStr">
        <is>
          <t>梅见反馈</t>
        </is>
      </c>
      <c r="U19" t="inlineStr">
        <is>
          <t>KEEP</t>
        </is>
      </c>
      <c r="V19" t="inlineStr">
        <is>
          <t>CURATED_DEMO_DELTA</t>
        </is>
      </c>
      <c r="W19" t="inlineStr">
        <is>
          <t>不可用</t>
        </is>
      </c>
      <c r="X19" t="inlineStr">
        <is>
          <t>品牌语料分析与洞察体系.xlsx#表1：原始语料库!19</t>
        </is>
      </c>
      <c r="Y19" t="inlineStr">
        <is>
          <t>FROZEN_419_V2</t>
        </is>
      </c>
    </row>
    <row r="20" ht="25.5" customHeight="1">
      <c r="A20" t="inlineStr">
        <is>
          <t>MJ-RAW-0019</t>
        </is>
      </c>
      <c r="B20" t="inlineStr">
        <is>
          <t>梅见产品体验反馈</t>
        </is>
      </c>
      <c r="C20" t="inlineStr">
        <is>
          <t>PRJ001</t>
        </is>
      </c>
      <c r="D20" t="inlineStr">
        <is>
          <t>梅见</t>
        </is>
      </c>
      <c r="E20" t="inlineStr">
        <is>
          <t>单喝梅见真的很难喝</t>
        </is>
      </c>
      <c r="F20" t="inlineStr">
        <is>
          <t>来源：小红书平台用户评论</t>
        </is>
      </c>
      <c r="G20" t="inlineStr">
        <is>
          <t>小红书</t>
        </is>
      </c>
      <c r="H20" s="2" t="str">
        <f>=HYPERLINK("http://数据未收集", "数据未收集")</f>
        <v>数据未收集</v>
      </c>
      <c r="I20" s="3">
        <v>46079</v>
      </c>
      <c r="J20" s="4">
        <v>46241</v>
      </c>
      <c r="K20" t="inlineStr">
        <is>
          <t>梅见 青梅酒 口感 评价</t>
        </is>
      </c>
      <c r="L20">
        <v>8</v>
      </c>
      <c r="M20" t="inlineStr">
        <is>
          <t>MJ-XHS-U-013</t>
        </is>
      </c>
      <c r="N20" t="inlineStr">
        <is>
          <t>公开评论</t>
        </is>
      </c>
      <c r="O20"/>
      <c r="P20" t="inlineStr">
        <is>
          <t>【原始编号】MJPE009
【笔记发布日期】2026-01-25
【初步标签】单喝难入口</t>
        </is>
      </c>
      <c r="Q20" t="inlineStr">
        <is>
          <t>目标品牌</t>
        </is>
      </c>
      <c r="R20"/>
      <c r="S20" t="inlineStr">
        <is>
          <t>MJ-RAW-0019_ANALYSIS_BASELINE_formal-attempt-0001_AI</t>
        </is>
      </c>
      <c r="T20" t="inlineStr">
        <is>
          <t>梅见反馈</t>
        </is>
      </c>
      <c r="U20" t="inlineStr">
        <is>
          <t>KEEP</t>
        </is>
      </c>
      <c r="V20" t="inlineStr">
        <is>
          <t>ANALYSIS_BASELINE</t>
        </is>
      </c>
      <c r="W20" t="inlineStr">
        <is>
          <t>不可用</t>
        </is>
      </c>
      <c r="X20" t="inlineStr">
        <is>
          <t>品牌语料分析与洞察体系.xlsx#表1：原始语料库!20</t>
        </is>
      </c>
      <c r="Y20" t="inlineStr">
        <is>
          <t>FROZEN_419_V2</t>
        </is>
      </c>
    </row>
    <row r="21" ht="25.5" customHeight="1">
      <c r="A21" t="inlineStr">
        <is>
          <t>MJ-RAW-0020</t>
        </is>
      </c>
      <c r="B21" t="inlineStr">
        <is>
          <t>梅见产品体验反馈</t>
        </is>
      </c>
      <c r="C21" t="inlineStr">
        <is>
          <t>PRJ001</t>
        </is>
      </c>
      <c r="D21" t="inlineStr">
        <is>
          <t>梅见</t>
        </is>
      </c>
      <c r="E21" t="inlineStr">
        <is>
          <t>这个也要调吗，可能，我单喝也不好喝</t>
        </is>
      </c>
      <c r="F21" t="inlineStr">
        <is>
          <t>来源：小红书平台用户评论</t>
        </is>
      </c>
      <c r="G21" t="inlineStr">
        <is>
          <t>小红书</t>
        </is>
      </c>
      <c r="H21" s="2" t="str">
        <f>=HYPERLINK("http://数据未收集", "数据未收集")</f>
        <v>数据未收集</v>
      </c>
      <c r="I21" s="3">
        <v>46057</v>
      </c>
      <c r="J21" s="4">
        <v>46241</v>
      </c>
      <c r="K21" t="inlineStr">
        <is>
          <t>梅见 青梅酒 口感 评价</t>
        </is>
      </c>
      <c r="L21">
        <v>3</v>
      </c>
      <c r="M21" t="inlineStr">
        <is>
          <t>MJ-XHS-U-014</t>
        </is>
      </c>
      <c r="N21" t="inlineStr">
        <is>
          <t>公开评论</t>
        </is>
      </c>
      <c r="O21"/>
      <c r="P21" t="inlineStr">
        <is>
          <t>【原始编号】MJPE010
【笔记发布日期】2026-01-25
【初步标签】调饮门槛、单喝难入口</t>
        </is>
      </c>
      <c r="Q21" t="inlineStr">
        <is>
          <t>目标品牌</t>
        </is>
      </c>
      <c r="R21"/>
      <c r="S21"/>
      <c r="T21" t="inlineStr">
        <is>
          <t>梅见反馈</t>
        </is>
      </c>
      <c r="U21" t="inlineStr">
        <is>
          <t>EXCLUDE</t>
        </is>
      </c>
      <c r="V21" t="inlineStr">
        <is>
          <t>EXCLUDE</t>
        </is>
      </c>
      <c r="W21" t="inlineStr">
        <is>
          <t>不可用</t>
        </is>
      </c>
      <c r="X21" t="inlineStr">
        <is>
          <t>原始母表#raw_id=MJ-RAW-0020</t>
        </is>
      </c>
      <c r="Y21" t="inlineStr">
        <is>
          <t>FROZEN_419_V2</t>
        </is>
      </c>
    </row>
    <row r="22" ht="25.5" customHeight="1">
      <c r="A22" t="inlineStr">
        <is>
          <t>MJ-RAW-0021</t>
        </is>
      </c>
      <c r="B22" t="inlineStr">
        <is>
          <t>梅见产品体验反馈</t>
        </is>
      </c>
      <c r="C22" t="inlineStr">
        <is>
          <t>PRJ001</t>
        </is>
      </c>
      <c r="D22" t="inlineStr">
        <is>
          <t>梅见多口味尝鲜组合</t>
        </is>
      </c>
      <c r="E22" t="inlineStr">
        <is>
          <t>这款150毫升的小瓶梅见实在是太可爱啦，对于一个梅见迷来说，小瓶刚刚好，一次喝完，不怕会变味，7种味道，本人最喜欢烟熏风味的，超酸的也不错，送的山岩杯颜值也很高！</t>
        </is>
      </c>
      <c r="F22" t="inlineStr">
        <is>
          <t>梅见青梅酒6种口味组合｜多口味尝鲜组合150mL×8瓶｜页面未展示数字星级｜未显示追评标识</t>
        </is>
      </c>
      <c r="G22" t="inlineStr">
        <is>
          <t>京东</t>
        </is>
      </c>
      <c r="H22" s="2" t="str">
        <f>=HYPERLINK("http://数据未收集", "数据未收集")</f>
        <v>数据未收集</v>
      </c>
      <c r="I22" s="3">
        <v>46235</v>
      </c>
      <c r="J22" s="4">
        <v>46241</v>
      </c>
      <c r="K22" t="inlineStr">
        <is>
          <t>梅见青梅酒</t>
        </is>
      </c>
      <c r="L22"/>
      <c r="M22" t="inlineStr">
        <is>
          <t>JD-U001</t>
        </is>
      </c>
      <c r="N22" t="inlineStr">
        <is>
          <t>公开评论</t>
        </is>
      </c>
      <c r="O22"/>
      <c r="P22" t="inlineStr">
        <is>
          <t>【具体平台】京东
【链接说明】商品详情页，非单条评论固定链接
【证据截图】待补充</t>
        </is>
      </c>
      <c r="Q22" t="inlineStr">
        <is>
          <t>目标品牌</t>
        </is>
      </c>
      <c r="R22"/>
      <c r="S22" t="inlineStr">
        <is>
          <t>MJ-RAW-0021_ANALYSIS_BASELINE_formal-attempt-0001_AI</t>
        </is>
      </c>
      <c r="T22" t="inlineStr">
        <is>
          <t>梅见反馈</t>
        </is>
      </c>
      <c r="U22" t="inlineStr">
        <is>
          <t>KEEP</t>
        </is>
      </c>
      <c r="V22" t="inlineStr">
        <is>
          <t>ANALYSIS_BASELINE</t>
        </is>
      </c>
      <c r="W22" t="inlineStr">
        <is>
          <t>不可用</t>
        </is>
      </c>
      <c r="X22" t="inlineStr">
        <is>
          <t>品牌语料分析与洞察体系.xlsx#表1：原始语料库!22</t>
        </is>
      </c>
      <c r="Y22" t="inlineStr">
        <is>
          <t>FROZEN_419_V2</t>
        </is>
      </c>
    </row>
    <row r="23" ht="25.5" customHeight="1">
      <c r="A23" t="inlineStr">
        <is>
          <t>MJ-RAW-0022</t>
        </is>
      </c>
      <c r="B23" t="inlineStr">
        <is>
          <t>梅见产品体验反馈</t>
        </is>
      </c>
      <c r="C23" t="inlineStr">
        <is>
          <t>PRJ001</t>
        </is>
      </c>
      <c r="D23" t="inlineStr">
        <is>
          <t>梅见青梅酒6种口味组合</t>
        </is>
      </c>
      <c r="E23" t="inlineStr">
        <is>
          <t>收到这瓶青梅酒特意冰了一晚，倒出来色泽偏浅黄很干净。入口先是梅子酸香接着是淡淡酒甜，尾味不涩不苦。加了冰块喝更解腻，吃完油腻外卖来一杯很顺胃，度数不高不容易上头</t>
        </is>
      </c>
      <c r="F23" t="inlineStr">
        <is>
          <t>梅见青梅酒6种口味组合｜330mL×6瓶｜页面未展示数字星级｜未显示追评标识</t>
        </is>
      </c>
      <c r="G23" t="inlineStr">
        <is>
          <t>京东</t>
        </is>
      </c>
      <c r="H23" s="2" t="str">
        <f>=HYPERLINK("http://数据未收集", "数据未收集")</f>
        <v>数据未收集</v>
      </c>
      <c r="I23" s="3">
        <v>46234</v>
      </c>
      <c r="J23" s="4">
        <v>46241</v>
      </c>
      <c r="K23" t="inlineStr">
        <is>
          <t>梅见青梅酒</t>
        </is>
      </c>
      <c r="L23"/>
      <c r="M23" t="inlineStr">
        <is>
          <t>JD-U002</t>
        </is>
      </c>
      <c r="N23" t="inlineStr">
        <is>
          <t>公开评论</t>
        </is>
      </c>
      <c r="O23"/>
      <c r="P23" t="inlineStr">
        <is>
          <t>【具体平台】京东
【链接说明】商品详情页，非单条评论固定链接
【证据截图】待补充</t>
        </is>
      </c>
      <c r="Q23" t="inlineStr">
        <is>
          <t>目标品牌</t>
        </is>
      </c>
      <c r="R23"/>
      <c r="S23" t="inlineStr">
        <is>
          <t>MJ-RAW-0022_CHALLENGE_POOL_formal-attempt-0001_AI</t>
        </is>
      </c>
      <c r="T23" t="inlineStr">
        <is>
          <t>梅见反馈</t>
        </is>
      </c>
      <c r="U23" t="inlineStr">
        <is>
          <t>KEEP</t>
        </is>
      </c>
      <c r="V23" t="inlineStr">
        <is>
          <t>CHALLENGE</t>
        </is>
      </c>
      <c r="W23" t="inlineStr">
        <is>
          <t>不可用</t>
        </is>
      </c>
      <c r="X23" t="inlineStr">
        <is>
          <t>品牌语料分析与洞察体系.xlsx#表1：原始语料库!23</t>
        </is>
      </c>
      <c r="Y23" t="inlineStr">
        <is>
          <t>FROZEN_419_V2</t>
        </is>
      </c>
    </row>
    <row r="24" ht="25.5" customHeight="1">
      <c r="A24" t="inlineStr">
        <is>
          <t>MJ-RAW-0023</t>
        </is>
      </c>
      <c r="B24" t="inlineStr">
        <is>
          <t>梅见产品体验反馈</t>
        </is>
      </c>
      <c r="C24" t="inlineStr">
        <is>
          <t>PRJ001</t>
        </is>
      </c>
      <c r="D24" t="inlineStr">
        <is>
          <t>梅见多口味尝鲜组合</t>
        </is>
      </c>
      <c r="E24" t="inlineStr">
        <is>
          <t>味道酸甜平衡：很好喝口感顺滑度：好喝酒精度数：刚刚好香气浓郁度：香</t>
        </is>
      </c>
      <c r="F24" t="inlineStr">
        <is>
          <t>梅见青梅酒6种口味组合｜多口味尝鲜组合150mL×8瓶｜页面未展示数字星级｜未显示追评标识</t>
        </is>
      </c>
      <c r="G24" t="inlineStr">
        <is>
          <t>京东</t>
        </is>
      </c>
      <c r="H24" s="2" t="str">
        <f>=HYPERLINK("http://数据未收集", "数据未收集")</f>
        <v>数据未收集</v>
      </c>
      <c r="I24" s="3">
        <v>46232</v>
      </c>
      <c r="J24" s="4">
        <v>46241</v>
      </c>
      <c r="K24" t="inlineStr">
        <is>
          <t>梅见青梅酒</t>
        </is>
      </c>
      <c r="L24"/>
      <c r="M24" t="inlineStr">
        <is>
          <t>JD-U003</t>
        </is>
      </c>
      <c r="N24" t="inlineStr">
        <is>
          <t>公开评论</t>
        </is>
      </c>
      <c r="O24"/>
      <c r="P24" t="inlineStr">
        <is>
          <t>【具体平台】京东
【链接说明】商品详情页，非单条评论固定链接
【证据截图】待补充</t>
        </is>
      </c>
      <c r="Q24" t="inlineStr">
        <is>
          <t>目标品牌</t>
        </is>
      </c>
      <c r="R24"/>
      <c r="S24" t="inlineStr">
        <is>
          <t>MJ-RAW-0023_GOLD_人工标注_人工,MJ-RAW-0023_GOLD_attempt-0002_AI_矫正前,MJ-RAW-0023_GOLD_attempt-0006_AI_矫正后</t>
        </is>
      </c>
      <c r="T24" t="inlineStr">
        <is>
          <t>梅见反馈</t>
        </is>
      </c>
      <c r="U24" t="inlineStr">
        <is>
          <t>KEEP</t>
        </is>
      </c>
      <c r="V24" t="inlineStr">
        <is>
          <t>GOLD</t>
        </is>
      </c>
      <c r="W24" t="inlineStr">
        <is>
          <t>不可用</t>
        </is>
      </c>
      <c r="X24" t="inlineStr">
        <is>
          <t>原始母表#raw_id=MJ-RAW-0023</t>
        </is>
      </c>
      <c r="Y24" t="inlineStr">
        <is>
          <t>FROZEN_419_V2</t>
        </is>
      </c>
    </row>
    <row r="25" ht="25.5" customHeight="1">
      <c r="A25" t="inlineStr">
        <is>
          <t>MJ-RAW-0024</t>
        </is>
      </c>
      <c r="B25" t="inlineStr">
        <is>
          <t>梅见产品体验反馈</t>
        </is>
      </c>
      <c r="C25" t="inlineStr">
        <is>
          <t>PRJ001</t>
        </is>
      </c>
      <c r="D25" t="inlineStr">
        <is>
          <t>梅见原味</t>
        </is>
      </c>
      <c r="E25" t="inlineStr">
        <is>
          <t>梅见梅子酒酸甜恰到好处，果香浓郁清新，入口顺滑不涩，冰镇后口感更佳。它完美诠释青梅本味，佐餐解腻效果出众。瓶身简约大气，12度微醺刚刚好，轻松惬意无压力。不论是热闹聚餐还是安静独处，来上一杯都非常舒心，亲民定价却有不俗品质，已经多次回购。</t>
        </is>
      </c>
      <c r="F25" t="inlineStr">
        <is>
          <t>梅见原味青梅酒｜原味330mL×6瓶｜页面未展示数字星级｜未显示追评标识</t>
        </is>
      </c>
      <c r="G25" t="inlineStr">
        <is>
          <t>京东</t>
        </is>
      </c>
      <c r="H25" s="2" t="str">
        <f>=HYPERLINK("http://数据未收集", "数据未收集")</f>
        <v>数据未收集</v>
      </c>
      <c r="I25" s="3">
        <v>46240</v>
      </c>
      <c r="J25" s="4">
        <v>46241</v>
      </c>
      <c r="K25" t="inlineStr">
        <is>
          <t>梅见原味</t>
        </is>
      </c>
      <c r="L25"/>
      <c r="M25" t="inlineStr">
        <is>
          <t>JD-U005</t>
        </is>
      </c>
      <c r="N25" t="inlineStr">
        <is>
          <t>公开评论</t>
        </is>
      </c>
      <c r="O25"/>
      <c r="P25" t="inlineStr">
        <is>
          <t>【具体平台】京东
【链接说明】商品详情页，非单条评论固定链接
【证据截图】待补充</t>
        </is>
      </c>
      <c r="Q25" t="inlineStr">
        <is>
          <t>目标品牌</t>
        </is>
      </c>
      <c r="R25"/>
      <c r="S25" t="inlineStr">
        <is>
          <t>MJ-RAW-0024_ANALYSIS_BASELINE_formal-attempt-0001_AI</t>
        </is>
      </c>
      <c r="T25" t="inlineStr">
        <is>
          <t>梅见反馈</t>
        </is>
      </c>
      <c r="U25" t="inlineStr">
        <is>
          <t>KEEP</t>
        </is>
      </c>
      <c r="V25" t="inlineStr">
        <is>
          <t>ANALYSIS_BASELINE</t>
        </is>
      </c>
      <c r="W25" t="inlineStr">
        <is>
          <t>不可用</t>
        </is>
      </c>
      <c r="X25" t="inlineStr">
        <is>
          <t>品牌语料分析与洞察体系.xlsx#表1：原始语料库!25</t>
        </is>
      </c>
      <c r="Y25" t="inlineStr">
        <is>
          <t>FROZEN_419_V2</t>
        </is>
      </c>
    </row>
    <row r="26" ht="25.5" customHeight="1">
      <c r="A26" t="inlineStr">
        <is>
          <t>MJ-RAW-0025</t>
        </is>
      </c>
      <c r="B26" t="inlineStr">
        <is>
          <t>梅见产品体验反馈</t>
        </is>
      </c>
      <c r="C26" t="inlineStr">
        <is>
          <t>PRJ001</t>
        </is>
      </c>
      <c r="D26" t="inlineStr">
        <is>
          <t>梅见原味</t>
        </is>
      </c>
      <c r="E26" t="inlineStr">
        <is>
          <t>嗯，感觉香味还是比较清淡的，配饮料没那么好喝，本身就比较清淡了，因为酒精的酒精度也不是很大，就是喝着玩都可以。加冰以后口感很好。</t>
        </is>
      </c>
      <c r="F26" t="inlineStr">
        <is>
          <t>梅见原味青梅酒｜原味330mL×6瓶｜页面未展示数字星级｜未显示追评标识</t>
        </is>
      </c>
      <c r="G26" t="inlineStr">
        <is>
          <t>京东</t>
        </is>
      </c>
      <c r="H26" s="2" t="str">
        <f>=HYPERLINK("http://数据未收集", "数据未收集")</f>
        <v>数据未收集</v>
      </c>
      <c r="I26" s="3">
        <v>46239</v>
      </c>
      <c r="J26" s="4">
        <v>46241</v>
      </c>
      <c r="K26" t="inlineStr">
        <is>
          <t>梅见原味</t>
        </is>
      </c>
      <c r="L26"/>
      <c r="M26" t="inlineStr">
        <is>
          <t>JD-U006</t>
        </is>
      </c>
      <c r="N26" t="inlineStr">
        <is>
          <t>公开评论</t>
        </is>
      </c>
      <c r="O26"/>
      <c r="P26" t="inlineStr">
        <is>
          <t>【具体平台】京东
【链接说明】商品详情页，非单条评论固定链接
【证据截图】待补充</t>
        </is>
      </c>
      <c r="Q26" t="inlineStr">
        <is>
          <t>目标品牌</t>
        </is>
      </c>
      <c r="R26"/>
      <c r="S26" t="inlineStr">
        <is>
          <t>MJ-RAW-0025_GOLD_人工标注_人工,MJ-RAW-0025_GOLD_attempt-0002_AI_矫正前,MJ-RAW-0025_GOLD_attempt-0006_AI_矫正后</t>
        </is>
      </c>
      <c r="T26" t="inlineStr">
        <is>
          <t>梅见反馈</t>
        </is>
      </c>
      <c r="U26" t="inlineStr">
        <is>
          <t>KEEP</t>
        </is>
      </c>
      <c r="V26" t="inlineStr">
        <is>
          <t>GOLD</t>
        </is>
      </c>
      <c r="W26" t="inlineStr">
        <is>
          <t>不可用</t>
        </is>
      </c>
      <c r="X26" t="inlineStr">
        <is>
          <t>原始母表#raw_id=MJ-RAW-0025</t>
        </is>
      </c>
      <c r="Y26" t="inlineStr">
        <is>
          <t>FROZEN_419_V2</t>
        </is>
      </c>
    </row>
    <row r="27" ht="25.5" customHeight="1">
      <c r="A27" t="inlineStr">
        <is>
          <t>MJ-RAW-0026</t>
        </is>
      </c>
      <c r="B27" t="inlineStr">
        <is>
          <t>梅见产品体验反馈</t>
        </is>
      </c>
      <c r="C27" t="inlineStr">
        <is>
          <t>PRJ001</t>
        </is>
      </c>
      <c r="D27" t="inlineStr">
        <is>
          <t>梅见原味</t>
        </is>
      </c>
      <c r="E27" t="inlineStr">
        <is>
          <t>感觉烟熏的那款会比这款味道好很多，这款的话口感一般，整体喝下来还是烟熏的那个酸甜感更重一点，这款口感偏淡，反正不不太好喝感觉</t>
        </is>
      </c>
      <c r="F27" t="inlineStr">
        <is>
          <t>梅见原味青梅酒｜原味330mL×6瓶｜页面未展示数字星级｜未显示追评标识</t>
        </is>
      </c>
      <c r="G27" t="inlineStr">
        <is>
          <t>京东</t>
        </is>
      </c>
      <c r="H27" s="2" t="str">
        <f>=HYPERLINK("http://数据未收集", "数据未收集")</f>
        <v>数据未收集</v>
      </c>
      <c r="I27" s="3">
        <v>46191</v>
      </c>
      <c r="J27" s="4">
        <v>46241</v>
      </c>
      <c r="K27" t="inlineStr">
        <is>
          <t>梅见原味</t>
        </is>
      </c>
      <c r="L27"/>
      <c r="M27" t="inlineStr">
        <is>
          <t>JD-U008</t>
        </is>
      </c>
      <c r="N27" t="inlineStr">
        <is>
          <t>公开评论</t>
        </is>
      </c>
      <c r="O27"/>
      <c r="P27" t="inlineStr">
        <is>
          <t>【具体平台】京东
【链接说明】商品详情页，非单条评论固定链接
【证据截图】待补充</t>
        </is>
      </c>
      <c r="Q27" t="inlineStr">
        <is>
          <t>目标品牌</t>
        </is>
      </c>
      <c r="R27"/>
      <c r="S27" t="inlineStr">
        <is>
          <t>MJ-RAW-0026_ANALYSIS_DEMO_DELTA_formal-attempt-0001_AI</t>
        </is>
      </c>
      <c r="T27" t="inlineStr">
        <is>
          <t>梅见反馈</t>
        </is>
      </c>
      <c r="U27" t="inlineStr">
        <is>
          <t>KEEP</t>
        </is>
      </c>
      <c r="V27" t="inlineStr">
        <is>
          <t>CURATED_DEMO_DELTA</t>
        </is>
      </c>
      <c r="W27" t="inlineStr">
        <is>
          <t>不可用</t>
        </is>
      </c>
      <c r="X27" t="inlineStr">
        <is>
          <t>品牌语料分析与洞察体系.xlsx#表1：原始语料库!27</t>
        </is>
      </c>
      <c r="Y27" t="inlineStr">
        <is>
          <t>FROZEN_419_V2</t>
        </is>
      </c>
    </row>
    <row r="28" ht="25.5" customHeight="1">
      <c r="A28" t="inlineStr">
        <is>
          <t>MJ-RAW-0027</t>
        </is>
      </c>
      <c r="B28" t="inlineStr">
        <is>
          <t>梅见产品体验反馈</t>
        </is>
      </c>
      <c r="C28" t="inlineStr">
        <is>
          <t>PRJ001</t>
        </is>
      </c>
      <c r="D28" t="inlineStr">
        <is>
          <t>梅见原味</t>
        </is>
      </c>
      <c r="E28" t="inlineStr">
        <is>
          <t>工业酒精味比较重。一点点青梅的回甘</t>
        </is>
      </c>
      <c r="F28" t="inlineStr">
        <is>
          <t>梅见原味青梅酒｜原味330mL×1瓶｜页面未展示数字星级｜未显示追评标识</t>
        </is>
      </c>
      <c r="G28" t="inlineStr">
        <is>
          <t>京东</t>
        </is>
      </c>
      <c r="H28" s="2" t="str">
        <f>=HYPERLINK("http://数据未收集", "数据未收集")</f>
        <v>数据未收集</v>
      </c>
      <c r="I28" s="3">
        <v>46189</v>
      </c>
      <c r="J28" s="4">
        <v>46241</v>
      </c>
      <c r="K28" t="inlineStr">
        <is>
          <t>梅见原味</t>
        </is>
      </c>
      <c r="L28"/>
      <c r="M28" t="inlineStr">
        <is>
          <t>JD-U009</t>
        </is>
      </c>
      <c r="N28" t="inlineStr">
        <is>
          <t>公开评论</t>
        </is>
      </c>
      <c r="O28"/>
      <c r="P28" t="inlineStr">
        <is>
          <t>与JD-20260809-027原始内容完全重复</t>
        </is>
      </c>
      <c r="Q28" t="inlineStr">
        <is>
          <t>目标品牌</t>
        </is>
      </c>
      <c r="R28"/>
      <c r="S28" t="inlineStr">
        <is>
          <t>MJ-RAW-0027_ANALYSIS_DEMO_DELTA_formal-attempt-0001_AI</t>
        </is>
      </c>
      <c r="T28" t="inlineStr">
        <is>
          <t>梅见反馈</t>
        </is>
      </c>
      <c r="U28" t="inlineStr">
        <is>
          <t>EXCLUDE</t>
        </is>
      </c>
      <c r="V28" t="inlineStr">
        <is>
          <t>EXCLUDE</t>
        </is>
      </c>
      <c r="W28" t="inlineStr">
        <is>
          <t>不可用</t>
        </is>
      </c>
      <c r="X28" t="inlineStr">
        <is>
          <t>品牌语料分析与洞察体系.xlsx#表1：原始语料库!28</t>
        </is>
      </c>
      <c r="Y28" t="inlineStr">
        <is>
          <t>FROZEN_419_V2</t>
        </is>
      </c>
    </row>
    <row r="29" ht="25.5" customHeight="1">
      <c r="A29" t="inlineStr">
        <is>
          <t>MJ-RAW-0028</t>
        </is>
      </c>
      <c r="B29" t="inlineStr">
        <is>
          <t>梅见产品体验反馈</t>
        </is>
      </c>
      <c r="C29" t="inlineStr">
        <is>
          <t>PRJ001</t>
        </is>
      </c>
      <c r="D29" t="inlineStr">
        <is>
          <t>梅见金桂</t>
        </is>
      </c>
      <c r="E29" t="inlineStr">
        <is>
          <t>喝完嘴里真的有留香，淡淡的果香挺持久的 🍵冰过之后口感更清爽，甜度也刚好，不腻包装很用心，送人也体面，会回购 👍 👍</t>
        </is>
      </c>
      <c r="F29" t="inlineStr">
        <is>
          <t>梅见金桂青梅酒｜金桂150mL×1瓶｜页面未展示数字星级｜未显示追评标识</t>
        </is>
      </c>
      <c r="G29" t="inlineStr">
        <is>
          <t>京东</t>
        </is>
      </c>
      <c r="H29" s="2" t="str">
        <f>=HYPERLINK("http://数据未收集", "数据未收集")</f>
        <v>数据未收集</v>
      </c>
      <c r="I29" s="3">
        <v>46240</v>
      </c>
      <c r="J29" s="4">
        <v>46241</v>
      </c>
      <c r="K29" t="inlineStr">
        <is>
          <t>梅见金桂</t>
        </is>
      </c>
      <c r="L29"/>
      <c r="M29" t="inlineStr">
        <is>
          <t>JD-U010</t>
        </is>
      </c>
      <c r="N29" t="inlineStr">
        <is>
          <t>公开评论</t>
        </is>
      </c>
      <c r="O29"/>
      <c r="P29" t="inlineStr">
        <is>
          <t>【具体平台】京东
【链接说明】商品详情页，非单条评论固定链接
【证据截图】待补充</t>
        </is>
      </c>
      <c r="Q29" t="inlineStr">
        <is>
          <t>目标品牌</t>
        </is>
      </c>
      <c r="R29"/>
      <c r="S29" t="inlineStr">
        <is>
          <t>MJ-RAW-0028_HOLDOUT_formal-attempt-0001_AI</t>
        </is>
      </c>
      <c r="T29" t="inlineStr">
        <is>
          <t>梅见反馈</t>
        </is>
      </c>
      <c r="U29" t="inlineStr">
        <is>
          <t>KEEP</t>
        </is>
      </c>
      <c r="V29" t="inlineStr">
        <is>
          <t>HOLDOUT</t>
        </is>
      </c>
      <c r="W29" t="inlineStr">
        <is>
          <t>不可用</t>
        </is>
      </c>
      <c r="X29" t="inlineStr">
        <is>
          <t>品牌语料分析与洞察体系.xlsx#表1：原始语料库!29</t>
        </is>
      </c>
      <c r="Y29" t="inlineStr">
        <is>
          <t>FROZEN_419_V2</t>
        </is>
      </c>
    </row>
    <row r="30" ht="25.5" customHeight="1">
      <c r="A30" t="inlineStr">
        <is>
          <t>TB-20260809-036</t>
        </is>
      </c>
      <c r="B30" t="inlineStr">
        <is>
          <t>梅见产品体验反馈</t>
        </is>
      </c>
      <c r="C30" t="inlineStr">
        <is>
          <t>PRJ001</t>
        </is>
      </c>
      <c r="D30" t="inlineStr">
        <is>
          <t>梅见｜12度发酵330ml</t>
        </is>
      </c>
      <c r="E30" t="inlineStr">
        <is>
          <t>果酒颜色正，喝起来顺口，喝着酸溜溜。</t>
        </is>
      </c>
      <c r="F30" t="inlineStr">
        <is>
          <t>品牌：梅见｜商品/规格：12度发酵330ml｜SKU：681094845930</t>
        </is>
      </c>
      <c r="G30" t="inlineStr">
        <is>
          <t>淘宝</t>
        </is>
      </c>
      <c r="H30" s="2" t="str">
        <f>=HYPERLINK("https://detail.tmall.com/item.htm?id=681094845930", "https://detail.tmall.com/item.htm?id=681094845930")</f>
        <v>https://detail.tmall.com/item.htm?id=681094845930</v>
      </c>
      <c r="I30" s="3">
        <v>46207</v>
      </c>
      <c r="J30" s="4">
        <v>46243</v>
      </c>
      <c r="K30" t="inlineStr">
        <is>
          <t>梅见 青梅酒 商品评价</t>
        </is>
      </c>
      <c r="L30"/>
      <c r="M30" t="inlineStr">
        <is>
          <t>TB-U-20260809-036</t>
        </is>
      </c>
      <c r="N30" t="inlineStr">
        <is>
          <t>公开评论</t>
        </is>
      </c>
      <c r="O30"/>
      <c r="P30" t="inlineStr">
        <is>
          <t>情绪粗标：中性；主题粗标：外观；入口感；酸度；梅见旗舰店商品评价；未记录用户名；已排除商家回复；评价页未展示评论点赞/有用数，点赞数留空</t>
        </is>
      </c>
      <c r="Q30" t="inlineStr">
        <is>
          <t>目标品牌</t>
        </is>
      </c>
      <c r="R30"/>
      <c r="S30" t="inlineStr">
        <is>
          <t>TB-20260809-036_HOLDOUT_formal-attempt-0001_AI</t>
        </is>
      </c>
      <c r="T30" t="inlineStr">
        <is>
          <t>梅见反馈</t>
        </is>
      </c>
      <c r="U30" t="inlineStr">
        <is>
          <t>KEEP</t>
        </is>
      </c>
      <c r="V30" t="inlineStr">
        <is>
          <t>HOLDOUT</t>
        </is>
      </c>
      <c r="W30" t="inlineStr">
        <is>
          <t>可用</t>
        </is>
      </c>
      <c r="X30" t="inlineStr">
        <is>
          <t>品牌语料分析与洞察体系.xlsx#表1：原始语料库!30</t>
        </is>
      </c>
      <c r="Y30" t="inlineStr">
        <is>
          <t>FROZEN_419_V2</t>
        </is>
      </c>
    </row>
    <row r="31" ht="25.5" customHeight="1">
      <c r="A31" t="inlineStr">
        <is>
          <t>MJ-RAW-0032</t>
        </is>
      </c>
      <c r="B31" t="inlineStr">
        <is>
          <t>梅见产品体验反馈</t>
        </is>
      </c>
      <c r="C31" t="inlineStr">
        <is>
          <t>PRJ001</t>
        </is>
      </c>
      <c r="D31" t="inlineStr">
        <is>
          <t>梅见12度超酸150ml</t>
        </is>
      </c>
      <c r="E31" t="inlineStr">
        <is>
          <t>单喝有点酸，兑过元气森林葡萄水和水溶C西柚，味道都不错，还有淡淡的梅子香，好喝不辣口（没有照片了，已经喝完了）</t>
        </is>
      </c>
      <c r="F31" t="inlineStr">
        <is>
          <t>梅见旗舰店｜超酸梅见及时光梅多口味商品｜已购：12度超酸梅见150ml</t>
        </is>
      </c>
      <c r="G31" t="inlineStr">
        <is>
          <t>淘宝</t>
        </is>
      </c>
      <c r="H31" s="2" t="str">
        <f>=HYPERLINK("https://detail.tmall.com/item.htm?id=720970105698", "https://detail.tmall.com/item.htm?id=720970105698")</f>
        <v>https://detail.tmall.com/item.htm?id=720970105698</v>
      </c>
      <c r="I31" s="3">
        <v>46218</v>
      </c>
      <c r="J31" s="4">
        <v>46241</v>
      </c>
      <c r="K31" t="inlineStr">
        <is>
          <t>梅见超酸青梅酒</t>
        </is>
      </c>
      <c r="L31"/>
      <c r="M31" t="inlineStr">
        <is>
          <t>TB-U004</t>
        </is>
      </c>
      <c r="N31" t="inlineStr">
        <is>
          <t>公开评论</t>
        </is>
      </c>
      <c r="O31"/>
      <c r="P31" t="inlineStr">
        <is>
          <t>【原始编号】TB-MJ-004
【具体平台】淘宝/天猫
【链接说明】商品详情页，非单条评论固定链接</t>
        </is>
      </c>
      <c r="Q31" t="inlineStr">
        <is>
          <t>目标品牌</t>
        </is>
      </c>
      <c r="R31"/>
      <c r="S31" t="inlineStr">
        <is>
          <t>MJ-RAW-0032_ANALYSIS_BASELINE_formal-attempt-0001_AI</t>
        </is>
      </c>
      <c r="T31" t="inlineStr">
        <is>
          <t>梅见反馈</t>
        </is>
      </c>
      <c r="U31" t="inlineStr">
        <is>
          <t>KEEP</t>
        </is>
      </c>
      <c r="V31" t="inlineStr">
        <is>
          <t>ANALYSIS_BASELINE</t>
        </is>
      </c>
      <c r="W31" t="inlineStr">
        <is>
          <t>可用</t>
        </is>
      </c>
      <c r="X31" t="inlineStr">
        <is>
          <t>品牌语料分析与洞察体系.xlsx#表1：原始语料库!31</t>
        </is>
      </c>
      <c r="Y31" t="inlineStr">
        <is>
          <t>FROZEN_419_V2</t>
        </is>
      </c>
    </row>
    <row r="32" ht="25.5" customHeight="1">
      <c r="A32" t="inlineStr">
        <is>
          <t>MJ-RAW-0033</t>
        </is>
      </c>
      <c r="B32" t="inlineStr">
        <is>
          <t>梅见产品体验反馈</t>
        </is>
      </c>
      <c r="C32" t="inlineStr">
        <is>
          <t>PRJ001</t>
        </is>
      </c>
      <c r="D32" t="inlineStr">
        <is>
          <t>时光梅8度山楂味220ml</t>
        </is>
      </c>
      <c r="E32" t="inlineStr">
        <is>
          <t>我感觉有点酸，不太适合喜欢甜口的人。</t>
        </is>
      </c>
      <c r="F32" t="inlineStr">
        <is>
          <t>梅见旗舰店｜超酸梅见及时光梅多口味商品｜已购：8度时光梅山楂味220ml</t>
        </is>
      </c>
      <c r="G32" t="inlineStr">
        <is>
          <t>淘宝</t>
        </is>
      </c>
      <c r="H32" s="2" t="str">
        <f>=HYPERLINK("https://detail.tmall.com/item.htm?id=720970105698", "https://detail.tmall.com/item.htm?id=720970105698")</f>
        <v>https://detail.tmall.com/item.htm?id=720970105698</v>
      </c>
      <c r="I32" s="3">
        <v>46236</v>
      </c>
      <c r="J32" s="4">
        <v>46241</v>
      </c>
      <c r="K32" t="inlineStr">
        <is>
          <t>梅见时光梅山楂味</t>
        </is>
      </c>
      <c r="L32"/>
      <c r="M32" t="inlineStr">
        <is>
          <t>TB-U005</t>
        </is>
      </c>
      <c r="N32" t="inlineStr">
        <is>
          <t>公开评论</t>
        </is>
      </c>
      <c r="O32"/>
      <c r="P32" t="inlineStr">
        <is>
          <t>【原始编号】TB-MJ-005
【具体平台】淘宝/天猫
【链接说明】商品详情页，非单条评论固定链接</t>
        </is>
      </c>
      <c r="Q32" t="inlineStr">
        <is>
          <t>目标品牌</t>
        </is>
      </c>
      <c r="R32"/>
      <c r="S32" t="inlineStr">
        <is>
          <t>MJ-RAW-0033_ANALYSIS_BASELINE_formal-attempt-0001_AI</t>
        </is>
      </c>
      <c r="T32" t="inlineStr">
        <is>
          <t>梅见反馈</t>
        </is>
      </c>
      <c r="U32" t="inlineStr">
        <is>
          <t>KEEP</t>
        </is>
      </c>
      <c r="V32" t="inlineStr">
        <is>
          <t>ANALYSIS_BASELINE</t>
        </is>
      </c>
      <c r="W32" t="inlineStr">
        <is>
          <t>可用</t>
        </is>
      </c>
      <c r="X32" t="inlineStr">
        <is>
          <t>品牌语料分析与洞察体系.xlsx#表1：原始语料库!32</t>
        </is>
      </c>
      <c r="Y32" t="inlineStr">
        <is>
          <t>FROZEN_419_V2</t>
        </is>
      </c>
    </row>
    <row r="33" ht="25.5" customHeight="1">
      <c r="A33" t="inlineStr">
        <is>
          <t>MJ-RAW-0034</t>
        </is>
      </c>
      <c r="B33" t="inlineStr">
        <is>
          <t>梅见产品体验反馈</t>
        </is>
      </c>
      <c r="C33" t="inlineStr">
        <is>
          <t>PRJ001</t>
        </is>
      </c>
      <c r="D33" t="inlineStr">
        <is>
          <t>梅见12度乌梅150ml</t>
        </is>
      </c>
      <c r="E33" t="inlineStr">
        <is>
          <t>对于不能喝酒的小白来说应该还行吧，个人觉得甜度太大了</t>
        </is>
      </c>
      <c r="F33" t="inlineStr">
        <is>
          <t>梅见旗舰店｜超酸梅见及时光梅多口味商品｜已购：12度梅见乌梅150ml</t>
        </is>
      </c>
      <c r="G33" t="inlineStr">
        <is>
          <t>淘宝</t>
        </is>
      </c>
      <c r="H33" s="2" t="str">
        <f>=HYPERLINK("https://detail.tmall.com/item.htm?id=720970105698", "https://detail.tmall.com/item.htm?id=720970105698")</f>
        <v>https://detail.tmall.com/item.htm?id=720970105698</v>
      </c>
      <c r="I33" s="3">
        <v>46180</v>
      </c>
      <c r="J33" s="4">
        <v>46241</v>
      </c>
      <c r="K33" t="inlineStr">
        <is>
          <t>梅见乌梅青梅酒</t>
        </is>
      </c>
      <c r="L33"/>
      <c r="M33" t="inlineStr">
        <is>
          <t>TB-U006</t>
        </is>
      </c>
      <c r="N33" t="inlineStr">
        <is>
          <t>公开评论</t>
        </is>
      </c>
      <c r="O33"/>
      <c r="P33" t="inlineStr">
        <is>
          <t>【原始编号】TB-MJ-006
【具体平台】淘宝/天猫
【链接说明】商品详情页，非单条评论固定链接</t>
        </is>
      </c>
      <c r="Q33" t="inlineStr">
        <is>
          <t>目标品牌</t>
        </is>
      </c>
      <c r="R33"/>
      <c r="S33" t="inlineStr">
        <is>
          <t>MJ-RAW-0034_ANALYSIS_DEMO_DELTA_formal-attempt-0001_AI</t>
        </is>
      </c>
      <c r="T33" t="inlineStr">
        <is>
          <t>梅见反馈</t>
        </is>
      </c>
      <c r="U33" t="inlineStr">
        <is>
          <t>KEEP</t>
        </is>
      </c>
      <c r="V33" t="inlineStr">
        <is>
          <t>CURATED_DEMO_DELTA</t>
        </is>
      </c>
      <c r="W33" t="inlineStr">
        <is>
          <t>可用</t>
        </is>
      </c>
      <c r="X33" t="inlineStr">
        <is>
          <t>品牌语料分析与洞察体系.xlsx#表1：原始语料库!33</t>
        </is>
      </c>
      <c r="Y33" t="inlineStr">
        <is>
          <t>FROZEN_419_V2</t>
        </is>
      </c>
    </row>
    <row r="34" ht="25.5" customHeight="1">
      <c r="A34" t="inlineStr">
        <is>
          <t>MJ-RAW-0035</t>
        </is>
      </c>
      <c r="B34" t="inlineStr">
        <is>
          <t>梅见产品体验反馈</t>
        </is>
      </c>
      <c r="C34" t="inlineStr">
        <is>
          <t>PRJ001</t>
        </is>
      </c>
      <c r="D34" t="inlineStr">
        <is>
          <t>梅见金桂330ml与时光梅原味330ml组合</t>
        </is>
      </c>
      <c r="E34" t="inlineStr">
        <is>
          <t>收到果酒了，口感真的很清爽，喝着很舒服非常不错，梅见+可乐，完美</t>
        </is>
      </c>
      <c r="F34" t="inlineStr">
        <is>
          <t>梅见旗舰店｜梅见青梅酒2瓶组合｜已购：金桂梅见330ml+时光梅原味330ml</t>
        </is>
      </c>
      <c r="G34" t="inlineStr">
        <is>
          <t>淘宝</t>
        </is>
      </c>
      <c r="H34" s="2" t="str">
        <f>=HYPERLINK("https://detail.tmall.com/item.htm?id=985574698133", "https://detail.tmall.com/item.htm?id=985574698133")</f>
        <v>https://detail.tmall.com/item.htm?id=985574698133</v>
      </c>
      <c r="I34" s="3">
        <v>46231</v>
      </c>
      <c r="J34" s="4">
        <v>46241</v>
      </c>
      <c r="K34" t="inlineStr">
        <is>
          <t>梅见青梅酒2瓶组合</t>
        </is>
      </c>
      <c r="L34"/>
      <c r="M34" t="inlineStr">
        <is>
          <t>TB-U007</t>
        </is>
      </c>
      <c r="N34" t="inlineStr">
        <is>
          <t>公开评论</t>
        </is>
      </c>
      <c r="O34"/>
      <c r="P34" t="inlineStr">
        <is>
          <t>【原始编号】TB-MJ-007
【具体平台】淘宝/天猫
【链接说明】商品详情页，非单条评论固定链接</t>
        </is>
      </c>
      <c r="Q34" t="inlineStr">
        <is>
          <t>目标品牌</t>
        </is>
      </c>
      <c r="R34"/>
      <c r="S34" t="inlineStr">
        <is>
          <t>MJ-RAW-0035_HOLDOUT_formal-attempt-0001_AI</t>
        </is>
      </c>
      <c r="T34" t="inlineStr">
        <is>
          <t>梅见反馈</t>
        </is>
      </c>
      <c r="U34" t="inlineStr">
        <is>
          <t>KEEP</t>
        </is>
      </c>
      <c r="V34" t="inlineStr">
        <is>
          <t>HOLDOUT</t>
        </is>
      </c>
      <c r="W34" t="inlineStr">
        <is>
          <t>可用</t>
        </is>
      </c>
      <c r="X34" t="inlineStr">
        <is>
          <t>品牌语料分析与洞察体系.xlsx#表1：原始语料库!34</t>
        </is>
      </c>
      <c r="Y34" t="inlineStr">
        <is>
          <t>FROZEN_419_V2</t>
        </is>
      </c>
    </row>
    <row r="35" ht="25.5" customHeight="1">
      <c r="A35" t="inlineStr">
        <is>
          <t>MJ-RAW-0036</t>
        </is>
      </c>
      <c r="B35" t="inlineStr">
        <is>
          <t>梅见产品体验反馈</t>
        </is>
      </c>
      <c r="C35" t="inlineStr">
        <is>
          <t>PRJ001</t>
        </is>
      </c>
      <c r="D35" t="inlineStr">
        <is>
          <t>梅见金桂330ml与时光梅原味330ml组合</t>
        </is>
      </c>
      <c r="E35" t="inlineStr">
        <is>
          <t>这酒度数刚刚好，喝着不冲也不淡。</t>
        </is>
      </c>
      <c r="F35" t="inlineStr">
        <is>
          <t>梅见旗舰店｜梅见青梅酒2瓶组合｜已购：金桂梅见330ml+时光梅原味330ml</t>
        </is>
      </c>
      <c r="G35" t="inlineStr">
        <is>
          <t>淘宝</t>
        </is>
      </c>
      <c r="H35" s="2" t="str">
        <f>=HYPERLINK("https://detail.tmall.com/item.htm?id=985574698133", "https://detail.tmall.com/item.htm?id=985574698133")</f>
        <v>https://detail.tmall.com/item.htm?id=985574698133</v>
      </c>
      <c r="I35" s="3">
        <v>46229</v>
      </c>
      <c r="J35" s="4">
        <v>46241</v>
      </c>
      <c r="K35" t="inlineStr">
        <is>
          <t>梅见青梅酒2瓶组合</t>
        </is>
      </c>
      <c r="L35"/>
      <c r="M35" t="inlineStr">
        <is>
          <t>TB-U008</t>
        </is>
      </c>
      <c r="N35" t="inlineStr">
        <is>
          <t>公开评论</t>
        </is>
      </c>
      <c r="O35"/>
      <c r="P35" t="inlineStr">
        <is>
          <t>【原始编号】TB-MJ-008
【具体平台】淘宝/天猫
【链接说明】商品详情页，非单条评论固定链接</t>
        </is>
      </c>
      <c r="Q35" t="inlineStr">
        <is>
          <t>目标品牌</t>
        </is>
      </c>
      <c r="R35"/>
      <c r="S35" t="inlineStr">
        <is>
          <t>MJ-RAW-0036_ANALYSIS_BASELINE_formal-attempt-0001_AI</t>
        </is>
      </c>
      <c r="T35" t="inlineStr">
        <is>
          <t>梅见反馈</t>
        </is>
      </c>
      <c r="U35" t="inlineStr">
        <is>
          <t>KEEP</t>
        </is>
      </c>
      <c r="V35" t="inlineStr">
        <is>
          <t>ANALYSIS_BASELINE</t>
        </is>
      </c>
      <c r="W35" t="inlineStr">
        <is>
          <t>可用</t>
        </is>
      </c>
      <c r="X35" t="inlineStr">
        <is>
          <t>品牌语料分析与洞察体系.xlsx#表1：原始语料库!35</t>
        </is>
      </c>
      <c r="Y35" t="inlineStr">
        <is>
          <t>FROZEN_419_V2</t>
        </is>
      </c>
    </row>
    <row r="36" ht="25.5" customHeight="1">
      <c r="A36" t="inlineStr">
        <is>
          <t>MJ-RAW-0037</t>
        </is>
      </c>
      <c r="B36" t="inlineStr">
        <is>
          <t>梅见产品体验反馈</t>
        </is>
      </c>
      <c r="C36" t="inlineStr">
        <is>
          <t>PRJ001</t>
        </is>
      </c>
      <c r="D36" t="inlineStr">
        <is>
          <t>青柑梅见330ml与时光梅原味330ml组合</t>
        </is>
      </c>
      <c r="E36" t="inlineStr">
        <is>
          <t>除了小贵，其他没毛病，微醺最好。</t>
        </is>
      </c>
      <c r="F36" t="inlineStr">
        <is>
          <t>梅见旗舰店｜梅见青梅酒2瓶组合｜已购：青柑梅见330ml+时光梅原味330ml</t>
        </is>
      </c>
      <c r="G36" t="inlineStr">
        <is>
          <t>淘宝</t>
        </is>
      </c>
      <c r="H36" s="2" t="str">
        <f>=HYPERLINK("https://detail.tmall.com/item.htm?id=985574698133", "https://detail.tmall.com/item.htm?id=985574698133")</f>
        <v>https://detail.tmall.com/item.htm?id=985574698133</v>
      </c>
      <c r="I36" s="3">
        <v>46201</v>
      </c>
      <c r="J36" s="4">
        <v>46241</v>
      </c>
      <c r="K36" t="inlineStr">
        <is>
          <t>梅见青梅酒2瓶组合</t>
        </is>
      </c>
      <c r="L36"/>
      <c r="M36" t="inlineStr">
        <is>
          <t>TB-U009</t>
        </is>
      </c>
      <c r="N36" t="inlineStr">
        <is>
          <t>公开评论</t>
        </is>
      </c>
      <c r="O36"/>
      <c r="P36" t="inlineStr">
        <is>
          <t>【原始编号】TB-MJ-009
【具体平台】淘宝/天猫
【链接说明】商品详情页，非单条评论固定链接</t>
        </is>
      </c>
      <c r="Q36" t="inlineStr">
        <is>
          <t>目标品牌</t>
        </is>
      </c>
      <c r="R36"/>
      <c r="S36" t="inlineStr">
        <is>
          <t>MJ-RAW-0037_ANALYSIS_BASELINE_formal-attempt-0001_AI</t>
        </is>
      </c>
      <c r="T36" t="inlineStr">
        <is>
          <t>梅见反馈</t>
        </is>
      </c>
      <c r="U36" t="inlineStr">
        <is>
          <t>KEEP</t>
        </is>
      </c>
      <c r="V36" t="inlineStr">
        <is>
          <t>ANALYSIS_BASELINE</t>
        </is>
      </c>
      <c r="W36" t="inlineStr">
        <is>
          <t>可用</t>
        </is>
      </c>
      <c r="X36" t="inlineStr">
        <is>
          <t>品牌语料分析与洞察体系.xlsx#表1：原始语料库!36</t>
        </is>
      </c>
      <c r="Y36" t="inlineStr">
        <is>
          <t>FROZEN_419_V2</t>
        </is>
      </c>
    </row>
    <row r="37" ht="25.5" customHeight="1">
      <c r="A37" t="inlineStr">
        <is>
          <t>MJ-RAW-0038</t>
        </is>
      </c>
      <c r="B37" t="inlineStr">
        <is>
          <t>梅见产品体验反馈</t>
        </is>
      </c>
      <c r="C37" t="inlineStr">
        <is>
          <t>PRJ001</t>
        </is>
      </c>
      <c r="D37" t="inlineStr">
        <is>
          <t>时光梅8度青柠佛手柑味330ml</t>
        </is>
      </c>
      <c r="E37" t="inlineStr">
        <is>
          <t>第一次买8%vol.下次再买高一点浓度的。</t>
        </is>
      </c>
      <c r="F37" t="inlineStr">
        <is>
          <t>时光梅旗舰店｜梅见时光梅酒多口味商品｜已购：青柠佛手柑味330ml两瓶</t>
        </is>
      </c>
      <c r="G37" t="inlineStr">
        <is>
          <t>淘宝</t>
        </is>
      </c>
      <c r="H37" s="2" t="str">
        <f>=HYPERLINK("https://detail.tmall.com/item.htm?id=668453338559", "https://detail.tmall.com/item.htm?id=668453338559")</f>
        <v>https://detail.tmall.com/item.htm?id=668453338559</v>
      </c>
      <c r="I37" s="3">
        <v>46229</v>
      </c>
      <c r="J37" s="4">
        <v>46241</v>
      </c>
      <c r="K37" t="inlineStr">
        <is>
          <t>梅见时光梅酒</t>
        </is>
      </c>
      <c r="L37"/>
      <c r="M37" t="inlineStr">
        <is>
          <t>TB-U010</t>
        </is>
      </c>
      <c r="N37" t="inlineStr">
        <is>
          <t>公开评论</t>
        </is>
      </c>
      <c r="O37"/>
      <c r="P37" t="inlineStr">
        <is>
          <t>【原始编号】TB-MJ-010
【具体平台】淘宝/天猫
【链接说明】商品详情页，非单条评论固定链接</t>
        </is>
      </c>
      <c r="Q37" t="inlineStr">
        <is>
          <t>目标品牌</t>
        </is>
      </c>
      <c r="R37"/>
      <c r="S37" t="inlineStr">
        <is>
          <t>MJ-RAW-0038_GOLD_人工标注_人工,MJ-RAW-0038_GOLD_attempt-0002_AI_矫正前,MJ-RAW-0038_GOLD_attempt-0006_AI_矫正后</t>
        </is>
      </c>
      <c r="T37" t="inlineStr">
        <is>
          <t>梅见反馈</t>
        </is>
      </c>
      <c r="U37" t="inlineStr">
        <is>
          <t>KEEP</t>
        </is>
      </c>
      <c r="V37" t="inlineStr">
        <is>
          <t>GOLD</t>
        </is>
      </c>
      <c r="W37" t="inlineStr">
        <is>
          <t>不可用</t>
        </is>
      </c>
      <c r="X37" t="inlineStr">
        <is>
          <t>原始母表#raw_id=MJ-RAW-0038</t>
        </is>
      </c>
      <c r="Y37" t="inlineStr">
        <is>
          <t>FROZEN_419_V2</t>
        </is>
      </c>
    </row>
    <row r="38" ht="25.5" customHeight="1">
      <c r="A38" t="inlineStr">
        <is>
          <t>MJ-RAW-0039</t>
        </is>
      </c>
      <c r="B38" t="inlineStr">
        <is>
          <t>梅见产品体验反馈</t>
        </is>
      </c>
      <c r="C38" t="inlineStr">
        <is>
          <t>PRJ001</t>
        </is>
      </c>
      <c r="D38" t="inlineStr">
        <is>
          <t>时光梅8度杨梅味330ml</t>
        </is>
      </c>
      <c r="E38" t="inlineStr">
        <is>
          <t>喝完确实有点微醺，挺舒服的，适合放松时喝。</t>
        </is>
      </c>
      <c r="F38" t="inlineStr">
        <is>
          <t>时光梅旗舰店｜梅见时光梅酒多口味商品｜已购：杨梅味330ml两瓶</t>
        </is>
      </c>
      <c r="G38" t="inlineStr">
        <is>
          <t>淘宝</t>
        </is>
      </c>
      <c r="H38" s="2" t="str">
        <f>=HYPERLINK("https://detail.tmall.com/item.htm?id=668453338559", "https://detail.tmall.com/item.htm?id=668453338559")</f>
        <v>https://detail.tmall.com/item.htm?id=668453338559</v>
      </c>
      <c r="I38" s="3">
        <v>46167</v>
      </c>
      <c r="J38" s="4">
        <v>46241</v>
      </c>
      <c r="K38" t="inlineStr">
        <is>
          <t>梅见时光梅酒</t>
        </is>
      </c>
      <c r="L38"/>
      <c r="M38" t="inlineStr">
        <is>
          <t>TB-U011</t>
        </is>
      </c>
      <c r="N38" t="inlineStr">
        <is>
          <t>公开评论</t>
        </is>
      </c>
      <c r="O38"/>
      <c r="P38" t="inlineStr">
        <is>
          <t>【原始编号】TB-MJ-011
【具体平台】淘宝/天猫
【链接说明】商品详情页，非单条评论固定链接</t>
        </is>
      </c>
      <c r="Q38" t="inlineStr">
        <is>
          <t>目标品牌</t>
        </is>
      </c>
      <c r="R38"/>
      <c r="S38" t="inlineStr">
        <is>
          <t>MJ-RAW-0039_ANALYSIS_BASELINE_formal-attempt-0001_AI</t>
        </is>
      </c>
      <c r="T38" t="inlineStr">
        <is>
          <t>梅见反馈</t>
        </is>
      </c>
      <c r="U38" t="inlineStr">
        <is>
          <t>KEEP</t>
        </is>
      </c>
      <c r="V38" t="inlineStr">
        <is>
          <t>ANALYSIS_BASELINE</t>
        </is>
      </c>
      <c r="W38" t="inlineStr">
        <is>
          <t>可用</t>
        </is>
      </c>
      <c r="X38" t="inlineStr">
        <is>
          <t>品牌语料分析与洞察体系.xlsx#表1：原始语料库!38</t>
        </is>
      </c>
      <c r="Y38" t="inlineStr">
        <is>
          <t>FROZEN_419_V2</t>
        </is>
      </c>
    </row>
    <row r="39" ht="25.5" customHeight="1">
      <c r="A39" t="inlineStr">
        <is>
          <t>MJ-RAW-0040</t>
        </is>
      </c>
      <c r="B39" t="inlineStr">
        <is>
          <t>梅见产品体验反馈</t>
        </is>
      </c>
      <c r="C39" t="inlineStr">
        <is>
          <t>PRJ001</t>
        </is>
      </c>
      <c r="D39" t="inlineStr">
        <is>
          <t>时光梅8度青梅味与杨梅味330ml组合</t>
        </is>
      </c>
      <c r="E39" t="inlineStr">
        <is>
          <t>还不错，青梅的味道好喝点，其他的不喜欢</t>
        </is>
      </c>
      <c r="F39" t="inlineStr">
        <is>
          <t>时光梅旗舰店｜梅见时光梅酒多口味商品｜已购：青梅味+杨梅味330ml</t>
        </is>
      </c>
      <c r="G39" t="inlineStr">
        <is>
          <t>淘宝</t>
        </is>
      </c>
      <c r="H39" s="2" t="str">
        <f>=HYPERLINK("https://detail.tmall.com/item.htm?id=668453338559", "https://detail.tmall.com/item.htm?id=668453338559")</f>
        <v>https://detail.tmall.com/item.htm?id=668453338559</v>
      </c>
      <c r="I39" s="3">
        <v>46119</v>
      </c>
      <c r="J39" s="4">
        <v>46241</v>
      </c>
      <c r="K39" t="inlineStr">
        <is>
          <t>梅见时光梅酒</t>
        </is>
      </c>
      <c r="L39"/>
      <c r="M39" t="inlineStr">
        <is>
          <t>TB-U012</t>
        </is>
      </c>
      <c r="N39" t="inlineStr">
        <is>
          <t>公开评论</t>
        </is>
      </c>
      <c r="O39"/>
      <c r="P39" t="inlineStr">
        <is>
          <t>【原始编号】TB-MJ-012
【具体平台】淘宝/天猫
【链接说明】商品详情页，非单条评论固定链接</t>
        </is>
      </c>
      <c r="Q39" t="inlineStr">
        <is>
          <t>目标品牌</t>
        </is>
      </c>
      <c r="R39"/>
      <c r="S39" t="inlineStr">
        <is>
          <t>MJ-RAW-0040_CHALLENGE_POOL_formal-attempt-0001_AI</t>
        </is>
      </c>
      <c r="T39" t="inlineStr">
        <is>
          <t>梅见反馈</t>
        </is>
      </c>
      <c r="U39" t="inlineStr">
        <is>
          <t>KEEP</t>
        </is>
      </c>
      <c r="V39" t="inlineStr">
        <is>
          <t>CHALLENGE</t>
        </is>
      </c>
      <c r="W39" t="inlineStr">
        <is>
          <t>可用</t>
        </is>
      </c>
      <c r="X39" t="inlineStr">
        <is>
          <t>品牌语料分析与洞察体系.xlsx#表1：原始语料库!39</t>
        </is>
      </c>
      <c r="Y39" t="inlineStr">
        <is>
          <t>FROZEN_419_V2</t>
        </is>
      </c>
    </row>
    <row r="40" ht="25.5" customHeight="1">
      <c r="A40" t="inlineStr">
        <is>
          <t>MJ-RAW-0041</t>
        </is>
      </c>
      <c r="B40" t="inlineStr">
        <is>
          <t>梅见产品体验反馈</t>
        </is>
      </c>
      <c r="C40" t="inlineStr">
        <is>
          <t>PRJ001</t>
        </is>
      </c>
      <c r="D40" t="inlineStr">
        <is>
          <t>梅见</t>
        </is>
      </c>
      <c r="E40" t="inlineStr">
        <is>
          <t>那个玫瑰花醋我买的为啥巨酸[听歌][流泪]我当时买了好几瓶，酸得我想哭[听歌][听歌]疯狂加蜂蜜也很酸[听歌][听歌][听歌]</t>
        </is>
      </c>
      <c r="F40" t="inlineStr">
        <is>
          <t>来源：抖音平台用户评论</t>
        </is>
      </c>
      <c r="G40" t="inlineStr">
        <is>
          <t>抖音</t>
        </is>
      </c>
      <c r="H40" s="2" t="str">
        <f>=HYPERLINK("https://www.douyin.com/search/%E6%A2%85%E8%A7%81%E9%9D%92%E6%A2%85%E9%85%92?modal_id=7630325990690194419&amp;type=video", "https://www.douyin.com/search/%E6%A2%85%E8%A7%81%E9%9D%92%E6%A2%85%E9%85%92?modal_id=7630325990690194419&amp;type=video")</f>
        <v>https://www.douyin.com/search/%E6%A2%85%E8%A7%81%E9%9D%92%E6%A2%85%E9%85%92?modal_id=7630325990690194419&amp;type=video</v>
      </c>
      <c r="I40" s="3">
        <v>46143</v>
      </c>
      <c r="J40" s="4">
        <v>46241</v>
      </c>
      <c r="K40" t="inlineStr">
        <is>
          <t>梅见 青梅酒 口感 评价</t>
        </is>
      </c>
      <c r="L40">
        <v>15</v>
      </c>
      <c r="M40" t="inlineStr">
        <is>
          <t>MJ-DY-U-004</t>
        </is>
      </c>
      <c r="N40" t="inlineStr">
        <is>
          <t>公开评论</t>
        </is>
      </c>
      <c r="O40"/>
      <c r="P40" t="inlineStr">
        <is>
          <t>从EXCLUDE补回，内容有效且不重复</t>
        </is>
      </c>
      <c r="Q40" t="inlineStr">
        <is>
          <t>目标品牌</t>
        </is>
      </c>
      <c r="R40"/>
      <c r="S40"/>
      <c r="T40" t="inlineStr">
        <is>
          <t>梅见反馈</t>
        </is>
      </c>
      <c r="U40" t="inlineStr">
        <is>
          <t>KEEP</t>
        </is>
      </c>
      <c r="V40" t="inlineStr">
        <is>
          <t>GOLD</t>
        </is>
      </c>
      <c r="W40" t="inlineStr">
        <is>
          <t>不可用</t>
        </is>
      </c>
      <c r="X40" t="inlineStr">
        <is>
          <t>原始母表#raw_id=MJ-RAW-0041</t>
        </is>
      </c>
      <c r="Y40" t="inlineStr">
        <is>
          <t>FROZEN_419_V2</t>
        </is>
      </c>
    </row>
    <row r="41" ht="25.5" customHeight="1">
      <c r="A41" t="inlineStr">
        <is>
          <t>MJ-RAW-0042</t>
        </is>
      </c>
      <c r="B41" t="inlineStr">
        <is>
          <t>梅见产品体验反馈</t>
        </is>
      </c>
      <c r="C41" t="inlineStr">
        <is>
          <t>PRJ001</t>
        </is>
      </c>
      <c r="D41" t="inlineStr">
        <is>
          <t>梅见</t>
        </is>
      </c>
      <c r="E41" t="inlineStr">
        <is>
          <t>哥 我来了 梅见空口喝就好喝 兑葡萄味的气泡水和养乐多也不错 推荐</t>
        </is>
      </c>
      <c r="F41" t="inlineStr">
        <is>
          <t>来源：抖音平台用户评论</t>
        </is>
      </c>
      <c r="G41" t="inlineStr">
        <is>
          <t>抖音</t>
        </is>
      </c>
      <c r="H41" s="2" t="str">
        <f>=HYPERLINK("https://www.douyin.com/jingxuan/search/%E6%A2%85%E8%A7%81?aid=5d675a76-bfbf-47be-9dd6-a3198f6b9bc9&amp;modal_id=7618135895257924594&amp;type=general", "https://www.douyin.com/jingxuan/search/%E6%A2%85%E8%A7%81?aid=5d675a76-bfbf-47be-9dd6-a3198f6b9bc9&amp;modal_id=7618135895257924594&amp;type=general")</f>
        <v>https://www.douyin.com/jingxuan/search/%E6%A2%85%E8%A7%81?aid=5d675a76-bfbf-47be-9dd6-a3198f6b9bc9&amp;modal_id=7618135895257924594&amp;type=general</v>
      </c>
      <c r="I41" s="3">
        <v>46098</v>
      </c>
      <c r="J41" s="4">
        <v>46241</v>
      </c>
      <c r="K41" t="inlineStr">
        <is>
          <t>梅见 青梅酒 口感 评价</t>
        </is>
      </c>
      <c r="L41">
        <v>7</v>
      </c>
      <c r="M41" t="inlineStr">
        <is>
          <t>MJ-DY-U-005</t>
        </is>
      </c>
      <c r="N41" t="inlineStr">
        <is>
          <t>公开评论</t>
        </is>
      </c>
      <c r="O41"/>
      <c r="P41" t="inlineStr">
        <is>
          <t>社媒平台初筛语料，待进一步清洗与分析</t>
        </is>
      </c>
      <c r="Q41" t="inlineStr">
        <is>
          <t>目标品牌</t>
        </is>
      </c>
      <c r="R41"/>
      <c r="S41" t="inlineStr">
        <is>
          <t>MJ-RAW-0042_ANALYSIS_DEMO_DELTA_formal-attempt-0001_AI</t>
        </is>
      </c>
      <c r="T41" t="inlineStr">
        <is>
          <t>梅见反馈</t>
        </is>
      </c>
      <c r="U41" t="inlineStr">
        <is>
          <t>KEEP</t>
        </is>
      </c>
      <c r="V41" t="inlineStr">
        <is>
          <t>CURATED_DEMO_DELTA</t>
        </is>
      </c>
      <c r="W41" t="inlineStr">
        <is>
          <t>可用</t>
        </is>
      </c>
      <c r="X41" t="inlineStr">
        <is>
          <t>品牌语料分析与洞察体系.xlsx#表1：原始语料库!41</t>
        </is>
      </c>
      <c r="Y41" t="inlineStr">
        <is>
          <t>FROZEN_419_V2</t>
        </is>
      </c>
    </row>
    <row r="42" ht="25.5" customHeight="1">
      <c r="A42" t="inlineStr">
        <is>
          <t>MJ-RAW-0043</t>
        </is>
      </c>
      <c r="B42" t="inlineStr">
        <is>
          <t>梅见产品体验反馈</t>
        </is>
      </c>
      <c r="C42" t="inlineStr">
        <is>
          <t>PRJ001</t>
        </is>
      </c>
      <c r="D42" t="inlineStr">
        <is>
          <t>梅见</t>
        </is>
      </c>
      <c r="E42" t="inlineStr">
        <is>
          <t>1.水溶c+茉莉花茶+梅见 比例1:1:1</t>
        </is>
      </c>
      <c r="F42" t="inlineStr">
        <is>
          <t>来源：抖音平台用户评论</t>
        </is>
      </c>
      <c r="G42" t="inlineStr">
        <is>
          <t>抖音</t>
        </is>
      </c>
      <c r="H42" s="2" t="str">
        <f>=HYPERLINK("https://www.douyin.com/jingxuan/search/%E6%A2%85%E8%A7%81%E9%9D%92%E6%A2%85%E6%9E%9C%E9%85%92?aid=31cba53f-1ead-41a4-8ab2-c89001b4512f&amp;modal_id=7546647568504179968&amp;type=general", "https://www.douyin.com/jingxuan/search/%E6%A2%85%E8%A7%81%E9%9D%92%E6%A2%85%E6%9E%9C%E9%85%92?aid=31cba53f-1ead-41a4-8ab2-c89001b4512f&amp;modal_id=7546647568504179968&amp;type=general")</f>
        <v>https://www.douyin.com/jingxuan/search/%E6%A2%85%E8%A7%81%E9%9D%92%E6%A2%85%E6%9E%9C%E9%85%92?aid=31cba53f-1ead-41a4-8ab2-c89001b4512f&amp;modal_id=7546647568504179968&amp;type=general</v>
      </c>
      <c r="I42" s="3">
        <v>45906</v>
      </c>
      <c r="J42" s="4">
        <v>46241</v>
      </c>
      <c r="K42" t="inlineStr">
        <is>
          <t>梅见 青梅酒 口感 评价</t>
        </is>
      </c>
      <c r="L42">
        <v>216</v>
      </c>
      <c r="M42" t="inlineStr">
        <is>
          <t>MJ-DY-U-006</t>
        </is>
      </c>
      <c r="N42" t="inlineStr">
        <is>
          <t>公开评论</t>
        </is>
      </c>
      <c r="O42"/>
      <c r="P42" t="inlineStr">
        <is>
          <t>社媒平台初筛语料，待进一步清洗与分析</t>
        </is>
      </c>
      <c r="Q42" t="inlineStr">
        <is>
          <t>目标品牌</t>
        </is>
      </c>
      <c r="R42"/>
      <c r="S42" t="inlineStr">
        <is>
          <t>MJ-RAW-0043_ANALYSIS_DEMO_DELTA_formal-attempt-0001_AI</t>
        </is>
      </c>
      <c r="T42" t="inlineStr">
        <is>
          <t>梅见反馈</t>
        </is>
      </c>
      <c r="U42" t="inlineStr">
        <is>
          <t>KEEP</t>
        </is>
      </c>
      <c r="V42" t="inlineStr">
        <is>
          <t>CURATED_DEMO_DELTA</t>
        </is>
      </c>
      <c r="W42" t="inlineStr">
        <is>
          <t>可用</t>
        </is>
      </c>
      <c r="X42" t="inlineStr">
        <is>
          <t>品牌语料分析与洞察体系.xlsx#表1：原始语料库!42</t>
        </is>
      </c>
      <c r="Y42" t="inlineStr">
        <is>
          <t>FROZEN_419_V2</t>
        </is>
      </c>
    </row>
    <row r="43" ht="25.5" customHeight="1">
      <c r="A43" t="inlineStr">
        <is>
          <t>MJ-RAW-0044</t>
        </is>
      </c>
      <c r="B43" t="inlineStr">
        <is>
          <t>梅见产品体验反馈</t>
        </is>
      </c>
      <c r="C43" t="inlineStr">
        <is>
          <t>PRJ001</t>
        </is>
      </c>
      <c r="D43" t="inlineStr">
        <is>
          <t>梅见</t>
        </is>
      </c>
      <c r="E43" t="inlineStr">
        <is>
          <t>2.青梅绿茶+梅见 比例3:1</t>
        </is>
      </c>
      <c r="F43" t="inlineStr">
        <is>
          <t>来源：抖音平台用户评论</t>
        </is>
      </c>
      <c r="G43" t="inlineStr">
        <is>
          <t>抖音</t>
        </is>
      </c>
      <c r="H43" s="2" t="str">
        <f>=HYPERLINK("http://数据未收集", "数据未收集")</f>
        <v>数据未收集</v>
      </c>
      <c r="I43" s="3"/>
      <c r="J43" s="4">
        <v>46243</v>
      </c>
      <c r="K43" t="inlineStr">
        <is>
          <t>梅见 青梅酒 口感 评价</t>
        </is>
      </c>
      <c r="L43"/>
      <c r="M43" t="inlineStr">
        <is>
          <t>MJ-DY-U-007</t>
        </is>
      </c>
      <c r="N43" t="inlineStr">
        <is>
          <t>公开评论</t>
        </is>
      </c>
      <c r="O43"/>
      <c r="P43" t="inlineStr">
        <is>
          <t>社媒平台初筛语料，待进一步清洗与分析</t>
        </is>
      </c>
      <c r="Q43" t="inlineStr">
        <is>
          <t>目标品牌</t>
        </is>
      </c>
      <c r="R43"/>
      <c r="S43" t="inlineStr">
        <is>
          <t>MJ-RAW-0044_ANALYSIS_BASELINE_formal-attempt-0001_AI</t>
        </is>
      </c>
      <c r="T43" t="inlineStr">
        <is>
          <t>梅见反馈</t>
        </is>
      </c>
      <c r="U43" t="inlineStr">
        <is>
          <t>KEEP</t>
        </is>
      </c>
      <c r="V43" t="inlineStr">
        <is>
          <t>ANALYSIS_BASELINE</t>
        </is>
      </c>
      <c r="W43" t="inlineStr">
        <is>
          <t>不可用</t>
        </is>
      </c>
      <c r="X43" t="inlineStr">
        <is>
          <t>品牌语料分析与洞察体系.xlsx#表1：原始语料库!43</t>
        </is>
      </c>
      <c r="Y43" t="inlineStr">
        <is>
          <t>FROZEN_419_V2</t>
        </is>
      </c>
    </row>
    <row r="44" ht="25.5" customHeight="1">
      <c r="A44" t="inlineStr">
        <is>
          <t>MJ-RAW-0045</t>
        </is>
      </c>
      <c r="B44" t="inlineStr">
        <is>
          <t>梅见产品体验反馈</t>
        </is>
      </c>
      <c r="C44" t="inlineStr">
        <is>
          <t>PRJ001</t>
        </is>
      </c>
      <c r="D44" t="inlineStr">
        <is>
          <t>梅见</t>
        </is>
      </c>
      <c r="E44" t="inlineStr">
        <is>
          <t>3.酸梅汤+梅见 比例2:1</t>
        </is>
      </c>
      <c r="F44" t="inlineStr">
        <is>
          <t>来源：抖音平台用户评论</t>
        </is>
      </c>
      <c r="G44" t="inlineStr">
        <is>
          <t>抖音</t>
        </is>
      </c>
      <c r="H44" s="2" t="str">
        <f>=HYPERLINK("http://数据未收集", "数据未收集")</f>
        <v>数据未收集</v>
      </c>
      <c r="I44" s="3"/>
      <c r="J44" s="4">
        <v>46243</v>
      </c>
      <c r="K44" t="inlineStr">
        <is>
          <t>梅见 青梅酒 口感 评价</t>
        </is>
      </c>
      <c r="L44"/>
      <c r="M44" t="inlineStr">
        <is>
          <t>MJ-DY-U-008</t>
        </is>
      </c>
      <c r="N44" t="inlineStr">
        <is>
          <t>公开评论</t>
        </is>
      </c>
      <c r="O44"/>
      <c r="P44" t="inlineStr">
        <is>
          <t>社媒平台初筛语料，待进一步清洗与分析</t>
        </is>
      </c>
      <c r="Q44" t="inlineStr">
        <is>
          <t>目标品牌</t>
        </is>
      </c>
      <c r="R44"/>
      <c r="S44" t="inlineStr">
        <is>
          <t>MJ-RAW-0045_ANALYSIS_BASELINE_formal-attempt-0001_AI</t>
        </is>
      </c>
      <c r="T44" t="inlineStr">
        <is>
          <t>梅见反馈</t>
        </is>
      </c>
      <c r="U44" t="inlineStr">
        <is>
          <t>KEEP</t>
        </is>
      </c>
      <c r="V44" t="inlineStr">
        <is>
          <t>ANALYSIS_BASELINE</t>
        </is>
      </c>
      <c r="W44" t="inlineStr">
        <is>
          <t>不可用</t>
        </is>
      </c>
      <c r="X44" t="inlineStr">
        <is>
          <t>品牌语料分析与洞察体系.xlsx#表1：原始语料库!44</t>
        </is>
      </c>
      <c r="Y44" t="inlineStr">
        <is>
          <t>FROZEN_419_V2</t>
        </is>
      </c>
    </row>
    <row r="45" ht="25.5" customHeight="1">
      <c r="A45" t="inlineStr">
        <is>
          <t>MJ-RAW-0046</t>
        </is>
      </c>
      <c r="B45" t="inlineStr">
        <is>
          <t>梅见产品体验反馈</t>
        </is>
      </c>
      <c r="C45" t="inlineStr">
        <is>
          <t>PRJ001</t>
        </is>
      </c>
      <c r="D45" t="inlineStr">
        <is>
          <t>梅见</t>
        </is>
      </c>
      <c r="E45" t="inlineStr">
        <is>
          <t>4.冰红茶+梅见 比例1:1</t>
        </is>
      </c>
      <c r="F45" t="inlineStr">
        <is>
          <t>来源：抖音平台用户评论</t>
        </is>
      </c>
      <c r="G45" t="inlineStr">
        <is>
          <t>抖音</t>
        </is>
      </c>
      <c r="H45" s="2" t="str">
        <f>=HYPERLINK("http://数据未收集", "数据未收集")</f>
        <v>数据未收集</v>
      </c>
      <c r="I45" s="3"/>
      <c r="J45" s="4">
        <v>46243</v>
      </c>
      <c r="K45" t="inlineStr">
        <is>
          <t>梅见 青梅酒 口感 评价</t>
        </is>
      </c>
      <c r="L45"/>
      <c r="M45" t="inlineStr">
        <is>
          <t>MJ-DY-U-009</t>
        </is>
      </c>
      <c r="N45" t="inlineStr">
        <is>
          <t>公开评论</t>
        </is>
      </c>
      <c r="O45"/>
      <c r="P45" t="inlineStr">
        <is>
          <t>社媒平台初筛语料，待进一步清洗与分析</t>
        </is>
      </c>
      <c r="Q45" t="inlineStr">
        <is>
          <t>目标品牌</t>
        </is>
      </c>
      <c r="R45"/>
      <c r="S45" t="inlineStr">
        <is>
          <t>MJ-RAW-0046_ANALYSIS_BASELINE_formal-attempt-0001_AI</t>
        </is>
      </c>
      <c r="T45" t="inlineStr">
        <is>
          <t>梅见反馈</t>
        </is>
      </c>
      <c r="U45" t="inlineStr">
        <is>
          <t>KEEP</t>
        </is>
      </c>
      <c r="V45" t="inlineStr">
        <is>
          <t>ANALYSIS_BASELINE</t>
        </is>
      </c>
      <c r="W45" t="inlineStr">
        <is>
          <t>不可用</t>
        </is>
      </c>
      <c r="X45" t="inlineStr">
        <is>
          <t>品牌语料分析与洞察体系.xlsx#表1：原始语料库!45</t>
        </is>
      </c>
      <c r="Y45" t="inlineStr">
        <is>
          <t>FROZEN_419_V2</t>
        </is>
      </c>
    </row>
    <row r="46" ht="25.5" customHeight="1">
      <c r="A46" t="inlineStr">
        <is>
          <t>MJ-RAW-0047</t>
        </is>
      </c>
      <c r="B46" t="inlineStr">
        <is>
          <t>梅见产品体验反馈</t>
        </is>
      </c>
      <c r="C46" t="inlineStr">
        <is>
          <t>PRJ001</t>
        </is>
      </c>
      <c r="D46" t="inlineStr">
        <is>
          <t>梅见</t>
        </is>
      </c>
      <c r="E46" t="inlineStr">
        <is>
          <t>避雷:乌龙茶+梅见脉动+梅见</t>
        </is>
      </c>
      <c r="F46" t="inlineStr">
        <is>
          <t>来源：抖音平台用户评论</t>
        </is>
      </c>
      <c r="G46" t="inlineStr">
        <is>
          <t>抖音</t>
        </is>
      </c>
      <c r="H46" s="2" t="str">
        <f>=HYPERLINK("http://数据未收集", "数据未收集")</f>
        <v>数据未收集</v>
      </c>
      <c r="I46" s="3"/>
      <c r="J46" s="4">
        <v>46243</v>
      </c>
      <c r="K46" t="inlineStr">
        <is>
          <t>梅见 青梅酒 口感 评价</t>
        </is>
      </c>
      <c r="L46"/>
      <c r="M46" t="inlineStr">
        <is>
          <t>MJ-DY-U-010</t>
        </is>
      </c>
      <c r="N46" t="inlineStr">
        <is>
          <t>公开评论</t>
        </is>
      </c>
      <c r="O46"/>
      <c r="P46" t="inlineStr">
        <is>
          <t>社媒平台初筛语料，待进一步清洗与分析</t>
        </is>
      </c>
      <c r="Q46" t="inlineStr">
        <is>
          <t>目标品牌</t>
        </is>
      </c>
      <c r="R46"/>
      <c r="S46" t="inlineStr">
        <is>
          <t>MJ-RAW-0047_GOLD_人工标注_人工,MJ-RAW-0047_GOLD_attempt-0002_AI_矫正前,MJ-RAW-0047_GOLD_attempt-0006_AI_矫正后</t>
        </is>
      </c>
      <c r="T46" t="inlineStr">
        <is>
          <t>梅见反馈</t>
        </is>
      </c>
      <c r="U46" t="inlineStr">
        <is>
          <t>KEEP</t>
        </is>
      </c>
      <c r="V46" t="inlineStr">
        <is>
          <t>GOLD</t>
        </is>
      </c>
      <c r="W46" t="inlineStr">
        <is>
          <t>不可用</t>
        </is>
      </c>
      <c r="X46" t="inlineStr">
        <is>
          <t>原始母表#raw_id=MJ-RAW-0047</t>
        </is>
      </c>
      <c r="Y46" t="inlineStr">
        <is>
          <t>FROZEN_419_V2</t>
        </is>
      </c>
    </row>
    <row r="47" ht="25.5" customHeight="1">
      <c r="A47" t="inlineStr">
        <is>
          <t>XHS-SOC-0020</t>
        </is>
      </c>
      <c r="B47" t="inlineStr">
        <is>
          <t>梅见产品体验反馈</t>
        </is>
      </c>
      <c r="C47" t="inlineStr">
        <is>
          <t>PRJ001</t>
        </is>
      </c>
      <c r="D47" t="inlineStr">
        <is>
          <t>梅见</t>
        </is>
      </c>
      <c r="E47" t="inlineStr">
        <is>
          <t>自己泡的梅酒、国外的梅酒、梅见都试过，梅见我的口粮酒了。入口很顺，高粱酒的香味也够</t>
        </is>
      </c>
      <c r="F47" t="inlineStr">
        <is>
          <t>梅见成分分析-浓缩汁勾兑｜2025-10-01｜小红书</t>
        </is>
      </c>
      <c r="G47" t="inlineStr">
        <is>
          <t>小红书</t>
        </is>
      </c>
      <c r="H47" s="2" t="str">
        <f>=HYPERLINK("https://www.xiaohongshu.com/search_result/梅见测评", "https://www.xiaohongshu.com/search_result/梅见测评")</f>
        <v>https://www.xiaohongshu.com/search_result/梅见测评</v>
      </c>
      <c r="I47" s="3">
        <v>45941</v>
      </c>
      <c r="J47" s="4">
        <v>46243</v>
      </c>
      <c r="K47" t="inlineStr">
        <is>
          <t>梅见测评</t>
        </is>
      </c>
      <c r="L47">
        <v>84</v>
      </c>
      <c r="M47" t="inlineStr">
        <is>
          <t>XHS-U0099</t>
        </is>
      </c>
      <c r="N47" t="inlineStr">
        <is>
          <t>公开评论</t>
        </is>
      </c>
      <c r="O47"/>
      <c r="P47" t="inlineStr">
        <is>
          <t>原始:2025-10-11·重庆；当前为搜索结果页链接，正式入库前需补原笔记链接</t>
        </is>
      </c>
      <c r="Q47" t="inlineStr">
        <is>
          <t>目标品牌</t>
        </is>
      </c>
      <c r="R47"/>
      <c r="S47" t="inlineStr">
        <is>
          <t>XHS-SOC-0020_GOLD_人工标注_人工,XHS-SOC-0020_GOLD_attempt-0002_AI_矫正前,XHS-SOC-0020_GOLD_attempt-0006_AI_矫正后</t>
        </is>
      </c>
      <c r="T47" t="inlineStr">
        <is>
          <t>梅见反馈</t>
        </is>
      </c>
      <c r="U47" t="inlineStr">
        <is>
          <t>KEEP</t>
        </is>
      </c>
      <c r="V47" t="inlineStr">
        <is>
          <t>GOLD</t>
        </is>
      </c>
      <c r="W47" t="inlineStr">
        <is>
          <t>不可用</t>
        </is>
      </c>
      <c r="X47" t="inlineStr">
        <is>
          <t>原始母表#raw_id=XHS-SOC-0020</t>
        </is>
      </c>
      <c r="Y47" t="inlineStr">
        <is>
          <t>FROZEN_419_V2</t>
        </is>
      </c>
    </row>
    <row r="48" ht="25.5" customHeight="1">
      <c r="A48" t="inlineStr">
        <is>
          <t>XHS-SOC-0021</t>
        </is>
      </c>
      <c r="B48" t="inlineStr">
        <is>
          <t>梅见产品体验反馈</t>
        </is>
      </c>
      <c r="C48" t="inlineStr">
        <is>
          <t>PRJ001</t>
        </is>
      </c>
      <c r="D48" t="inlineStr">
        <is>
          <t>梅见</t>
        </is>
      </c>
      <c r="E48" t="inlineStr">
        <is>
          <t>你相信我姐妹，这个比原味好喝太多</t>
        </is>
      </c>
      <c r="F48" t="inlineStr">
        <is>
          <t>梅见加柠檬汁雪碧酸梅汤蔓越莓｜2025-05-07｜小红书</t>
        </is>
      </c>
      <c r="G48" t="inlineStr">
        <is>
          <t>小红书</t>
        </is>
      </c>
      <c r="H48" s="2" t="str">
        <f>=HYPERLINK("https://www.xiaohongshu.com/explore/69fc7e9a000000003502d2e8", "https://www.xiaohongshu.com/explore/69fc7e9a000000003502d2e8")</f>
        <v>https://www.xiaohongshu.com/explore/69fc7e9a000000003502d2e8</v>
      </c>
      <c r="I48" s="3">
        <v>46160</v>
      </c>
      <c r="J48" s="4">
        <v>46243</v>
      </c>
      <c r="K48" t="inlineStr">
        <is>
          <t>梅见兑饮料</t>
        </is>
      </c>
      <c r="L48">
        <v>3</v>
      </c>
      <c r="M48" t="inlineStr">
        <is>
          <t>XHS-U0031</t>
        </is>
      </c>
      <c r="N48" t="inlineStr">
        <is>
          <t>公开评论</t>
        </is>
      </c>
      <c r="O48"/>
      <c r="P48" t="inlineStr">
        <is>
          <t>原始:05-18;年份推定·广东</t>
        </is>
      </c>
      <c r="Q48" t="inlineStr">
        <is>
          <t>目标品牌</t>
        </is>
      </c>
      <c r="R48"/>
      <c r="S48" t="inlineStr">
        <is>
          <t>XHS-SOC-0021_ANALYSIS_BASELINE_formal-attempt-0001_AI</t>
        </is>
      </c>
      <c r="T48" t="inlineStr">
        <is>
          <t>梅见反馈</t>
        </is>
      </c>
      <c r="U48" t="inlineStr">
        <is>
          <t>KEEP</t>
        </is>
      </c>
      <c r="V48" t="inlineStr">
        <is>
          <t>ANALYSIS_BASELINE</t>
        </is>
      </c>
      <c r="W48" t="inlineStr">
        <is>
          <t>可用</t>
        </is>
      </c>
      <c r="X48" t="inlineStr">
        <is>
          <t>品牌语料分析与洞察体系.xlsx#表1：原始语料库!48</t>
        </is>
      </c>
      <c r="Y48" t="inlineStr">
        <is>
          <t>FROZEN_419_V2</t>
        </is>
      </c>
    </row>
    <row r="49" ht="25.5" customHeight="1">
      <c r="A49" t="inlineStr">
        <is>
          <t>XHS-SOC-0025</t>
        </is>
      </c>
      <c r="B49" t="inlineStr">
        <is>
          <t>梅见产品体验反馈</t>
        </is>
      </c>
      <c r="C49" t="inlineStr">
        <is>
          <t>PRJ001</t>
        </is>
      </c>
      <c r="D49" t="inlineStr">
        <is>
          <t>梅见</t>
        </is>
      </c>
      <c r="E49" t="inlineStr">
        <is>
          <t>好难喝这个直接喝</t>
        </is>
      </c>
      <c r="F49" t="inlineStr">
        <is>
          <t>梅见加柠檬汁雪碧酸梅汤蔓越莓｜2025-05-07｜小红书</t>
        </is>
      </c>
      <c r="G49" t="inlineStr">
        <is>
          <t>小红书</t>
        </is>
      </c>
      <c r="H49" s="2" t="str">
        <f>=HYPERLINK("https://www.xiaohongshu.com/explore/69fc7e9a000000003502d2e8", "https://www.xiaohongshu.com/explore/69fc7e9a000000003502d2e8")</f>
        <v>https://www.xiaohongshu.com/explore/69fc7e9a000000003502d2e8</v>
      </c>
      <c r="I49" s="3">
        <v>46161</v>
      </c>
      <c r="J49" s="4">
        <v>46243</v>
      </c>
      <c r="K49" t="inlineStr">
        <is>
          <t>梅见兑饮料</t>
        </is>
      </c>
      <c r="L49">
        <v>1</v>
      </c>
      <c r="M49" t="inlineStr">
        <is>
          <t>XHS-U0020</t>
        </is>
      </c>
      <c r="N49" t="inlineStr">
        <is>
          <t>公开评论</t>
        </is>
      </c>
      <c r="O49"/>
      <c r="P49" t="inlineStr">
        <is>
          <t>原始:05-19;年份推定·广东</t>
        </is>
      </c>
      <c r="Q49" t="inlineStr">
        <is>
          <t>目标品牌</t>
        </is>
      </c>
      <c r="R49"/>
      <c r="S49" t="inlineStr">
        <is>
          <t>XHS-SOC-0025_ANALYSIS_BASELINE_formal-attempt-0001_AI</t>
        </is>
      </c>
      <c r="T49" t="inlineStr">
        <is>
          <t>梅见反馈</t>
        </is>
      </c>
      <c r="U49" t="inlineStr">
        <is>
          <t>KEEP</t>
        </is>
      </c>
      <c r="V49" t="inlineStr">
        <is>
          <t>ANALYSIS_BASELINE</t>
        </is>
      </c>
      <c r="W49" t="inlineStr">
        <is>
          <t>可用</t>
        </is>
      </c>
      <c r="X49" t="inlineStr">
        <is>
          <t>品牌语料分析与洞察体系.xlsx#表1：原始语料库!49</t>
        </is>
      </c>
      <c r="Y49" t="inlineStr">
        <is>
          <t>FROZEN_419_V2</t>
        </is>
      </c>
    </row>
    <row r="50" ht="25.5" customHeight="1">
      <c r="A50" t="inlineStr">
        <is>
          <t>XHS-SOC-0026</t>
        </is>
      </c>
      <c r="B50" t="inlineStr">
        <is>
          <t>梅见产品体验反馈</t>
        </is>
      </c>
      <c r="C50" t="inlineStr">
        <is>
          <t>PRJ001</t>
        </is>
      </c>
      <c r="D50" t="inlineStr">
        <is>
          <t>梅见</t>
        </is>
      </c>
      <c r="E50" t="inlineStr">
        <is>
          <t>直接喝呀，这个又不难喝</t>
        </is>
      </c>
      <c r="F50" t="inlineStr">
        <is>
          <t>梅见加柠檬汁雪碧酸梅汤蔓越莓｜2025-05-07｜小红书</t>
        </is>
      </c>
      <c r="G50" t="inlineStr">
        <is>
          <t>小红书</t>
        </is>
      </c>
      <c r="H50" s="2" t="str">
        <f>=HYPERLINK("https://www.xiaohongshu.com/explore/69fc7e9a000000003502d2e8", "https://www.xiaohongshu.com/explore/69fc7e9a000000003502d2e8")</f>
        <v>https://www.xiaohongshu.com/explore/69fc7e9a000000003502d2e8</v>
      </c>
      <c r="I50" s="3">
        <v>46152</v>
      </c>
      <c r="J50" s="4">
        <v>46243</v>
      </c>
      <c r="K50" t="inlineStr">
        <is>
          <t>梅见兑饮料</t>
        </is>
      </c>
      <c r="L50">
        <v>1</v>
      </c>
      <c r="M50" t="inlineStr">
        <is>
          <t>XHS-U0026</t>
        </is>
      </c>
      <c r="N50" t="inlineStr">
        <is>
          <t>公开评论</t>
        </is>
      </c>
      <c r="O50"/>
      <c r="P50" t="inlineStr">
        <is>
          <t>原始:05-10;年份推定·广东</t>
        </is>
      </c>
      <c r="Q50" t="inlineStr">
        <is>
          <t>目标品牌</t>
        </is>
      </c>
      <c r="R50"/>
      <c r="S50" t="inlineStr">
        <is>
          <t>XHS-SOC-0026_CHALLENGE_POOL_formal-attempt-0001_AI</t>
        </is>
      </c>
      <c r="T50" t="inlineStr">
        <is>
          <t>梅见反馈</t>
        </is>
      </c>
      <c r="U50" t="inlineStr">
        <is>
          <t>KEEP</t>
        </is>
      </c>
      <c r="V50" t="inlineStr">
        <is>
          <t>CHALLENGE</t>
        </is>
      </c>
      <c r="W50" t="inlineStr">
        <is>
          <t>可用</t>
        </is>
      </c>
      <c r="X50" t="inlineStr">
        <is>
          <t>品牌语料分析与洞察体系.xlsx#表1：原始语料库!50</t>
        </is>
      </c>
      <c r="Y50" t="inlineStr">
        <is>
          <t>FROZEN_419_V2</t>
        </is>
      </c>
    </row>
    <row r="51" ht="25.5" customHeight="1">
      <c r="A51" t="inlineStr">
        <is>
          <t>XHS-SOC-0027</t>
        </is>
      </c>
      <c r="B51" t="inlineStr">
        <is>
          <t>梅见产品体验反馈</t>
        </is>
      </c>
      <c r="C51" t="inlineStr">
        <is>
          <t>PRJ001</t>
        </is>
      </c>
      <c r="D51" t="inlineStr">
        <is>
          <t>梅见</t>
        </is>
      </c>
      <c r="E51" t="inlineStr">
        <is>
          <t>水溶c那个西柚味的配这个我觉得好好喝</t>
        </is>
      </c>
      <c r="F51" t="inlineStr">
        <is>
          <t>梅见加柠檬汁雪碧酸梅汤蔓越莓｜2025-05-07｜小红书</t>
        </is>
      </c>
      <c r="G51" t="inlineStr">
        <is>
          <t>小红书</t>
        </is>
      </c>
      <c r="H51" s="2" t="str">
        <f>=HYPERLINK("https://www.xiaohongshu.com/explore/69fc7e9a000000003502d2e8", "https://www.xiaohongshu.com/explore/69fc7e9a000000003502d2e8")</f>
        <v>https://www.xiaohongshu.com/explore/69fc7e9a000000003502d2e8</v>
      </c>
      <c r="I51" s="3">
        <v>46156</v>
      </c>
      <c r="J51" s="4">
        <v>46243</v>
      </c>
      <c r="K51" t="inlineStr">
        <is>
          <t>梅见兑饮料</t>
        </is>
      </c>
      <c r="L51">
        <v>1</v>
      </c>
      <c r="M51" t="inlineStr">
        <is>
          <t>XHS-U0042</t>
        </is>
      </c>
      <c r="N51" t="inlineStr">
        <is>
          <t>公开评论</t>
        </is>
      </c>
      <c r="O51"/>
      <c r="P51" t="inlineStr">
        <is>
          <t>原始:05-14;年份推定·重庆</t>
        </is>
      </c>
      <c r="Q51" t="inlineStr">
        <is>
          <t>目标品牌</t>
        </is>
      </c>
      <c r="R51"/>
      <c r="S51" t="inlineStr">
        <is>
          <t>XHS-SOC-0027_CHALLENGE_POOL_formal-attempt-0001_AI</t>
        </is>
      </c>
      <c r="T51" t="inlineStr">
        <is>
          <t>梅见反馈</t>
        </is>
      </c>
      <c r="U51" t="inlineStr">
        <is>
          <t>KEEP</t>
        </is>
      </c>
      <c r="V51" t="inlineStr">
        <is>
          <t>CHALLENGE</t>
        </is>
      </c>
      <c r="W51" t="inlineStr">
        <is>
          <t>可用</t>
        </is>
      </c>
      <c r="X51" t="inlineStr">
        <is>
          <t>品牌语料分析与洞察体系.xlsx#表1：原始语料库!51</t>
        </is>
      </c>
      <c r="Y51" t="inlineStr">
        <is>
          <t>FROZEN_419_V2</t>
        </is>
      </c>
    </row>
    <row r="52" ht="25.5" customHeight="1">
      <c r="A52" t="inlineStr">
        <is>
          <t>XHS-SOC-0030</t>
        </is>
      </c>
      <c r="B52" t="inlineStr">
        <is>
          <t>梅见产品体验反馈</t>
        </is>
      </c>
      <c r="C52" t="inlineStr">
        <is>
          <t>PRJ001</t>
        </is>
      </c>
      <c r="D52" t="inlineStr">
        <is>
          <t>低度酒</t>
        </is>
      </c>
      <c r="E52" t="inlineStr">
        <is>
          <t>当喝酒已经没有酒味的时候 不过这种时候已经晚了</t>
        </is>
      </c>
      <c r="F52" t="inlineStr">
        <is>
          <t>如何能醺而不挂｜2025-07-05｜小红书</t>
        </is>
      </c>
      <c r="G52" t="inlineStr">
        <is>
          <t>小红书</t>
        </is>
      </c>
      <c r="H52" s="2" t="str">
        <f>=HYPERLINK("https://www.xiaohongshu.com/search_result/不想喝醉", "https://www.xiaohongshu.com/search_result/不想喝醉")</f>
        <v>https://www.xiaohongshu.com/search_result/不想喝醉</v>
      </c>
      <c r="I52" s="3">
        <v>46219</v>
      </c>
      <c r="J52" s="4">
        <v>46243</v>
      </c>
      <c r="K52" t="inlineStr">
        <is>
          <t>不想喝醉</t>
        </is>
      </c>
      <c r="L52">
        <v>37</v>
      </c>
      <c r="M52" t="inlineStr">
        <is>
          <t>XHS-U0290</t>
        </is>
      </c>
      <c r="N52" t="inlineStr">
        <is>
          <t>公开评论</t>
        </is>
      </c>
      <c r="O52"/>
      <c r="P52" t="inlineStr">
        <is>
          <t>原始:07-16;年份推定·福建；当前为搜索结果页链接，正式入库前需补原笔记链接</t>
        </is>
      </c>
      <c r="Q52" t="inlineStr">
        <is>
          <t>低度酒品类</t>
        </is>
      </c>
      <c r="R52"/>
      <c r="S52" t="inlineStr">
        <is>
          <t>XHS-SOC-0030_ANALYSIS_BASELINE_formal-attempt-0001_AI</t>
        </is>
      </c>
      <c r="T52" t="inlineStr">
        <is>
          <t>梅见反馈</t>
        </is>
      </c>
      <c r="U52" t="inlineStr">
        <is>
          <t>KEEP</t>
        </is>
      </c>
      <c r="V52" t="inlineStr">
        <is>
          <t>ANALYSIS_BASELINE</t>
        </is>
      </c>
      <c r="W52" t="inlineStr">
        <is>
          <t>可用</t>
        </is>
      </c>
      <c r="X52" t="inlineStr">
        <is>
          <t>品牌语料分析与洞察体系.xlsx#表1：原始语料库!52</t>
        </is>
      </c>
      <c r="Y52" t="inlineStr">
        <is>
          <t>FROZEN_419_V2</t>
        </is>
      </c>
    </row>
    <row r="53" ht="25.5" customHeight="1">
      <c r="A53" t="inlineStr">
        <is>
          <t>XHS-SOC-0036</t>
        </is>
      </c>
      <c r="B53" t="inlineStr">
        <is>
          <t>梅见产品体验反馈</t>
        </is>
      </c>
      <c r="C53" t="inlineStr">
        <is>
          <t>PRJ001</t>
        </is>
      </c>
      <c r="D53" t="inlineStr">
        <is>
          <t>梅见</t>
        </is>
      </c>
      <c r="E53" t="inlineStr">
        <is>
          <t>桂花的，加个冰球直接喝，好喝，原味的就算了</t>
        </is>
      </c>
      <c r="F53" t="inlineStr">
        <is>
          <t>梅见加柠檬汁雪碧酸梅汤蔓越莓｜2025-05-07｜小红书</t>
        </is>
      </c>
      <c r="G53" t="inlineStr">
        <is>
          <t>小红书</t>
        </is>
      </c>
      <c r="H53" s="2" t="str">
        <f>=HYPERLINK("https://www.xiaohongshu.com/explore/69fc7e9a000000003502d2e8", "https://www.xiaohongshu.com/explore/69fc7e9a000000003502d2e8")</f>
        <v>https://www.xiaohongshu.com/explore/69fc7e9a000000003502d2e8</v>
      </c>
      <c r="I53" s="3">
        <v>46181</v>
      </c>
      <c r="J53" s="4">
        <v>46243</v>
      </c>
      <c r="K53" t="inlineStr">
        <is>
          <t>梅见兑饮料</t>
        </is>
      </c>
      <c r="L53">
        <v>0</v>
      </c>
      <c r="M53" t="inlineStr">
        <is>
          <t>XHS-U0015</t>
        </is>
      </c>
      <c r="N53" t="inlineStr">
        <is>
          <t>公开评论</t>
        </is>
      </c>
      <c r="O53"/>
      <c r="P53" t="inlineStr">
        <is>
          <t>原始:06-08;年份推定·江西</t>
        </is>
      </c>
      <c r="Q53" t="inlineStr">
        <is>
          <t>目标品牌</t>
        </is>
      </c>
      <c r="R53"/>
      <c r="S53" t="inlineStr">
        <is>
          <t>XHS-SOC-0036_CHALLENGE_POOL_formal-attempt-0001_AI</t>
        </is>
      </c>
      <c r="T53" t="inlineStr">
        <is>
          <t>梅见反馈</t>
        </is>
      </c>
      <c r="U53" t="inlineStr">
        <is>
          <t>KEEP</t>
        </is>
      </c>
      <c r="V53" t="inlineStr">
        <is>
          <t>CHALLENGE</t>
        </is>
      </c>
      <c r="W53" t="inlineStr">
        <is>
          <t>可用</t>
        </is>
      </c>
      <c r="X53" t="inlineStr">
        <is>
          <t>品牌语料分析与洞察体系.xlsx#表1：原始语料库!53</t>
        </is>
      </c>
      <c r="Y53" t="inlineStr">
        <is>
          <t>FROZEN_419_V2</t>
        </is>
      </c>
    </row>
    <row r="54" ht="25.5" customHeight="1">
      <c r="A54" t="inlineStr">
        <is>
          <t>XHS-SOC-0037</t>
        </is>
      </c>
      <c r="B54" t="inlineStr">
        <is>
          <t>梅见产品体验反馈</t>
        </is>
      </c>
      <c r="C54" t="inlineStr">
        <is>
          <t>PRJ001</t>
        </is>
      </c>
      <c r="D54" t="inlineStr">
        <is>
          <t>梅见</t>
        </is>
      </c>
      <c r="E54" t="inlineStr">
        <is>
          <t>说白了，单喝不好喝。加什么都好喝</t>
        </is>
      </c>
      <c r="F54" t="inlineStr">
        <is>
          <t>梅见加柠檬汁雪碧酸梅汤蔓越莓｜2025-05-07｜小红书</t>
        </is>
      </c>
      <c r="G54" t="inlineStr">
        <is>
          <t>小红书</t>
        </is>
      </c>
      <c r="H54" s="2" t="str">
        <f>=HYPERLINK("https://www.xiaohongshu.com/explore/69fc7e9a000000003502d2e8", "https://www.xiaohongshu.com/explore/69fc7e9a000000003502d2e8")</f>
        <v>https://www.xiaohongshu.com/explore/69fc7e9a000000003502d2e8</v>
      </c>
      <c r="I54" s="3">
        <v>46163</v>
      </c>
      <c r="J54" s="4">
        <v>46243</v>
      </c>
      <c r="K54" t="inlineStr">
        <is>
          <t>梅见兑饮料</t>
        </is>
      </c>
      <c r="L54">
        <v>0</v>
      </c>
      <c r="M54" t="inlineStr">
        <is>
          <t>XHS-U0019</t>
        </is>
      </c>
      <c r="N54" t="inlineStr">
        <is>
          <t>公开评论</t>
        </is>
      </c>
      <c r="O54"/>
      <c r="P54" t="inlineStr">
        <is>
          <t>原始:05-21;年份推定·广东</t>
        </is>
      </c>
      <c r="Q54" t="inlineStr">
        <is>
          <t>目标品牌</t>
        </is>
      </c>
      <c r="R54"/>
      <c r="S54" t="inlineStr">
        <is>
          <t>XHS-SOC-0037_ANALYSIS_BASELINE_formal-attempt-0001_AI</t>
        </is>
      </c>
      <c r="T54" t="inlineStr">
        <is>
          <t>梅见反馈</t>
        </is>
      </c>
      <c r="U54" t="inlineStr">
        <is>
          <t>KEEP</t>
        </is>
      </c>
      <c r="V54" t="inlineStr">
        <is>
          <t>ANALYSIS_BASELINE</t>
        </is>
      </c>
      <c r="W54" t="inlineStr">
        <is>
          <t>可用</t>
        </is>
      </c>
      <c r="X54" t="inlineStr">
        <is>
          <t>品牌语料分析与洞察体系.xlsx#表1：原始语料库!54</t>
        </is>
      </c>
      <c r="Y54" t="inlineStr">
        <is>
          <t>FROZEN_419_V2</t>
        </is>
      </c>
    </row>
    <row r="55" ht="25.5" customHeight="1">
      <c r="A55" t="inlineStr">
        <is>
          <t>XHS-SOC-0038</t>
        </is>
      </c>
      <c r="B55" t="inlineStr">
        <is>
          <t>梅见产品体验反馈</t>
        </is>
      </c>
      <c r="C55" t="inlineStr">
        <is>
          <t>PRJ001</t>
        </is>
      </c>
      <c r="D55" t="inlineStr">
        <is>
          <t>梅见</t>
        </is>
      </c>
      <c r="E55" t="inlineStr">
        <is>
          <t>茉莉蜜茶，4:1，或者3:2，喝起来特别清爽</t>
        </is>
      </c>
      <c r="F55" t="inlineStr">
        <is>
          <t>梅见加柠檬汁雪碧酸梅汤蔓越莓｜2025-05-07｜小红书</t>
        </is>
      </c>
      <c r="G55" t="inlineStr">
        <is>
          <t>小红书</t>
        </is>
      </c>
      <c r="H55" s="2" t="str">
        <f>=HYPERLINK("https://www.xiaohongshu.com/explore/69fc7e9a000000003502d2e8", "https://www.xiaohongshu.com/explore/69fc7e9a000000003502d2e8")</f>
        <v>https://www.xiaohongshu.com/explore/69fc7e9a000000003502d2e8</v>
      </c>
      <c r="I55" s="3">
        <v>46162</v>
      </c>
      <c r="J55" s="4">
        <v>46243</v>
      </c>
      <c r="K55" t="inlineStr">
        <is>
          <t>梅见兑饮料</t>
        </is>
      </c>
      <c r="L55">
        <v>0</v>
      </c>
      <c r="M55" t="inlineStr">
        <is>
          <t>XHS-U0021</t>
        </is>
      </c>
      <c r="N55" t="inlineStr">
        <is>
          <t>公开评论</t>
        </is>
      </c>
      <c r="O55"/>
      <c r="P55" t="inlineStr">
        <is>
          <t>原始:05-20;年份推定·广东</t>
        </is>
      </c>
      <c r="Q55" t="inlineStr">
        <is>
          <t>目标品牌</t>
        </is>
      </c>
      <c r="R55"/>
      <c r="S55" t="inlineStr">
        <is>
          <t>XHS-SOC-0038_ANALYSIS_DEMO_DELTA_formal-attempt-0001_AI</t>
        </is>
      </c>
      <c r="T55" t="inlineStr">
        <is>
          <t>梅见反馈</t>
        </is>
      </c>
      <c r="U55" t="inlineStr">
        <is>
          <t>KEEP</t>
        </is>
      </c>
      <c r="V55" t="inlineStr">
        <is>
          <t>CURATED_DEMO_DELTA</t>
        </is>
      </c>
      <c r="W55" t="inlineStr">
        <is>
          <t>可用</t>
        </is>
      </c>
      <c r="X55" t="inlineStr">
        <is>
          <t>品牌语料分析与洞察体系.xlsx#表1：原始语料库!55</t>
        </is>
      </c>
      <c r="Y55" t="inlineStr">
        <is>
          <t>FROZEN_419_V2</t>
        </is>
      </c>
    </row>
    <row r="56" ht="25.5" customHeight="1">
      <c r="A56" t="inlineStr">
        <is>
          <t>XHS-SOC-0039</t>
        </is>
      </c>
      <c r="B56" t="inlineStr">
        <is>
          <t>梅见产品体验反馈</t>
        </is>
      </c>
      <c r="C56" t="inlineStr">
        <is>
          <t>PRJ001</t>
        </is>
      </c>
      <c r="D56" t="inlineStr">
        <is>
          <t>梅见</t>
        </is>
      </c>
      <c r="E56" t="inlineStr">
        <is>
          <t>茉莉花茶，旺旺果粒多，好喝！！！！</t>
        </is>
      </c>
      <c r="F56" t="inlineStr">
        <is>
          <t>梅见加柠檬汁雪碧酸梅汤蔓越莓｜2025-05-07｜小红书</t>
        </is>
      </c>
      <c r="G56" t="inlineStr">
        <is>
          <t>小红书</t>
        </is>
      </c>
      <c r="H56" s="2" t="str">
        <f>=HYPERLINK("https://www.xiaohongshu.com/explore/69fc7e9a000000003502d2e8", "https://www.xiaohongshu.com/explore/69fc7e9a000000003502d2e8")</f>
        <v>https://www.xiaohongshu.com/explore/69fc7e9a000000003502d2e8</v>
      </c>
      <c r="I56" s="3">
        <v>46222</v>
      </c>
      <c r="J56" s="4">
        <v>46243</v>
      </c>
      <c r="K56" t="inlineStr">
        <is>
          <t>梅见兑饮料</t>
        </is>
      </c>
      <c r="L56">
        <v>0</v>
      </c>
      <c r="M56" t="inlineStr">
        <is>
          <t>XHS-U0023</t>
        </is>
      </c>
      <c r="N56" t="inlineStr">
        <is>
          <t>公开评论</t>
        </is>
      </c>
      <c r="O56"/>
      <c r="P56" t="inlineStr">
        <is>
          <t>原始:07-19;年份推定·吉林</t>
        </is>
      </c>
      <c r="Q56" t="inlineStr">
        <is>
          <t>目标品牌</t>
        </is>
      </c>
      <c r="R56"/>
      <c r="S56" t="inlineStr">
        <is>
          <t>XHS-SOC-0039_GOLD_人工标注_人工,XHS-SOC-0039_GOLD_attempt-0002_AI_矫正前,XHS-SOC-0039_GOLD_attempt-0006_AI_矫正后</t>
        </is>
      </c>
      <c r="T56" t="inlineStr">
        <is>
          <t>梅见反馈</t>
        </is>
      </c>
      <c r="U56" t="inlineStr">
        <is>
          <t>KEEP</t>
        </is>
      </c>
      <c r="V56" t="inlineStr">
        <is>
          <t>GOLD</t>
        </is>
      </c>
      <c r="W56" t="inlineStr">
        <is>
          <t>不可用</t>
        </is>
      </c>
      <c r="X56" t="inlineStr">
        <is>
          <t>原始母表#raw_id=XHS-SOC-0039</t>
        </is>
      </c>
      <c r="Y56" t="inlineStr">
        <is>
          <t>FROZEN_419_V2</t>
        </is>
      </c>
    </row>
    <row r="57" ht="25.5" customHeight="1">
      <c r="A57" t="inlineStr">
        <is>
          <t>XHS-SOC-0040</t>
        </is>
      </c>
      <c r="B57" t="inlineStr">
        <is>
          <t>梅见产品体验反馈</t>
        </is>
      </c>
      <c r="C57" t="inlineStr">
        <is>
          <t>PRJ001</t>
        </is>
      </c>
      <c r="D57" t="inlineStr">
        <is>
          <t>梅见</t>
        </is>
      </c>
      <c r="E57" t="inlineStr">
        <is>
          <t>我觉得要加很多冰块，很好喝</t>
        </is>
      </c>
      <c r="F57" t="inlineStr">
        <is>
          <t>梅见加柠檬汁雪碧酸梅汤蔓越莓｜2025-05-07｜小红书</t>
        </is>
      </c>
      <c r="G57" t="inlineStr">
        <is>
          <t>小红书</t>
        </is>
      </c>
      <c r="H57" s="2" t="str">
        <f>=HYPERLINK("https://www.xiaohongshu.com/explore/69fc7e9a000000003502d2e8", "https://www.xiaohongshu.com/explore/69fc7e9a000000003502d2e8")</f>
        <v>https://www.xiaohongshu.com/explore/69fc7e9a000000003502d2e8</v>
      </c>
      <c r="I57" s="3">
        <v>46170</v>
      </c>
      <c r="J57" s="4">
        <v>46243</v>
      </c>
      <c r="K57" t="inlineStr">
        <is>
          <t>梅见兑饮料</t>
        </is>
      </c>
      <c r="L57">
        <v>0</v>
      </c>
      <c r="M57" t="inlineStr">
        <is>
          <t>XHS-U0033</t>
        </is>
      </c>
      <c r="N57" t="inlineStr">
        <is>
          <t>公开评论</t>
        </is>
      </c>
      <c r="O57"/>
      <c r="P57" t="inlineStr">
        <is>
          <t>原始:05-28;年份推定·浙江</t>
        </is>
      </c>
      <c r="Q57" t="inlineStr">
        <is>
          <t>目标品牌</t>
        </is>
      </c>
      <c r="R57"/>
      <c r="S57" t="inlineStr">
        <is>
          <t>XHS-SOC-0040_ANALYSIS_BASELINE_formal-attempt-0001_AI</t>
        </is>
      </c>
      <c r="T57" t="inlineStr">
        <is>
          <t>梅见反馈</t>
        </is>
      </c>
      <c r="U57" t="inlineStr">
        <is>
          <t>KEEP</t>
        </is>
      </c>
      <c r="V57" t="inlineStr">
        <is>
          <t>ANALYSIS_BASELINE</t>
        </is>
      </c>
      <c r="W57" t="inlineStr">
        <is>
          <t>可用</t>
        </is>
      </c>
      <c r="X57" t="inlineStr">
        <is>
          <t>品牌语料分析与洞察体系.xlsx#表1：原始语料库!57</t>
        </is>
      </c>
      <c r="Y57" t="inlineStr">
        <is>
          <t>FROZEN_419_V2</t>
        </is>
      </c>
    </row>
    <row r="58" ht="25.5" customHeight="1">
      <c r="A58" t="inlineStr">
        <is>
          <t>XHS-SOC-0041</t>
        </is>
      </c>
      <c r="B58" t="inlineStr">
        <is>
          <t>梅见产品体验反馈</t>
        </is>
      </c>
      <c r="C58" t="inlineStr">
        <is>
          <t>PRJ001</t>
        </is>
      </c>
      <c r="D58" t="inlineStr">
        <is>
          <t>梅见</t>
        </is>
      </c>
      <c r="E58" t="inlineStr">
        <is>
          <t>加青梅绿茶，我觉得挺好喝的</t>
        </is>
      </c>
      <c r="F58" t="inlineStr">
        <is>
          <t>梅见加柠檬汁雪碧酸梅汤蔓越莓｜2025-05-07｜小红书</t>
        </is>
      </c>
      <c r="G58" t="inlineStr">
        <is>
          <t>小红书</t>
        </is>
      </c>
      <c r="H58" s="2" t="str">
        <f>=HYPERLINK("https://www.xiaohongshu.com/explore/69fc7e9a000000003502d2e8", "https://www.xiaohongshu.com/explore/69fc7e9a000000003502d2e8")</f>
        <v>https://www.xiaohongshu.com/explore/69fc7e9a000000003502d2e8</v>
      </c>
      <c r="I58" s="3">
        <v>46175</v>
      </c>
      <c r="J58" s="4">
        <v>46243</v>
      </c>
      <c r="K58" t="inlineStr">
        <is>
          <t>梅见兑饮料</t>
        </is>
      </c>
      <c r="L58">
        <v>0</v>
      </c>
      <c r="M58" t="inlineStr">
        <is>
          <t>XHS-U0035</t>
        </is>
      </c>
      <c r="N58" t="inlineStr">
        <is>
          <t>公开评论</t>
        </is>
      </c>
      <c r="O58"/>
      <c r="P58" t="inlineStr">
        <is>
          <t>原始:06-02;年份推定·广东</t>
        </is>
      </c>
      <c r="Q58" t="inlineStr">
        <is>
          <t>目标品牌</t>
        </is>
      </c>
      <c r="R58"/>
      <c r="S58" t="inlineStr">
        <is>
          <t>XHS-SOC-0041_ANALYSIS_BASELINE_formal-attempt-0001_AI</t>
        </is>
      </c>
      <c r="T58" t="inlineStr">
        <is>
          <t>梅见反馈</t>
        </is>
      </c>
      <c r="U58" t="inlineStr">
        <is>
          <t>KEEP</t>
        </is>
      </c>
      <c r="V58" t="inlineStr">
        <is>
          <t>ANALYSIS_BASELINE</t>
        </is>
      </c>
      <c r="W58" t="inlineStr">
        <is>
          <t>可用</t>
        </is>
      </c>
      <c r="X58" t="inlineStr">
        <is>
          <t>品牌语料分析与洞察体系.xlsx#表1：原始语料库!58</t>
        </is>
      </c>
      <c r="Y58" t="inlineStr">
        <is>
          <t>FROZEN_419_V2</t>
        </is>
      </c>
    </row>
    <row r="59" ht="25.5" customHeight="1">
      <c r="A59" t="inlineStr">
        <is>
          <t>XHS-SOC-0042</t>
        </is>
      </c>
      <c r="B59" t="inlineStr">
        <is>
          <t>梅见产品体验反馈</t>
        </is>
      </c>
      <c r="C59" t="inlineStr">
        <is>
          <t>PRJ001</t>
        </is>
      </c>
      <c r="D59" t="inlineStr">
        <is>
          <t>梅见</t>
        </is>
      </c>
      <c r="E59" t="inlineStr">
        <is>
          <t>自己泡啊，比买的好喝太多了</t>
        </is>
      </c>
      <c r="F59" t="inlineStr">
        <is>
          <t>除了梅见还有其他梅子酒推荐吗｜2025-07-04｜小红书</t>
        </is>
      </c>
      <c r="G59" t="inlineStr">
        <is>
          <t>小红书</t>
        </is>
      </c>
      <c r="H59" s="2" t="str">
        <f>=HYPERLINK("https://www.xiaohongshu.com/explore/6a48b570000000001603dc9b", "https://www.xiaohongshu.com/explore/6a48b570000000001603dc9b")</f>
        <v>https://www.xiaohongshu.com/explore/6a48b570000000001603dc9b</v>
      </c>
      <c r="I59" s="3">
        <v>46209</v>
      </c>
      <c r="J59" s="4">
        <v>46243</v>
      </c>
      <c r="K59" t="inlineStr">
        <is>
          <t>青梅酒推荐</t>
        </is>
      </c>
      <c r="L59">
        <v>0</v>
      </c>
      <c r="M59" t="inlineStr">
        <is>
          <t>XHS-U0200</t>
        </is>
      </c>
      <c r="N59" t="inlineStr">
        <is>
          <t>公开评论</t>
        </is>
      </c>
      <c r="O59"/>
      <c r="P59" t="inlineStr">
        <is>
          <t>原始:07-06;年份推定·四川</t>
        </is>
      </c>
      <c r="Q59" t="inlineStr">
        <is>
          <t>目标品牌</t>
        </is>
      </c>
      <c r="R59"/>
      <c r="S59" t="inlineStr">
        <is>
          <t>XHS-SOC-0042_ANALYSIS_BASELINE_formal-attempt-0001_AI</t>
        </is>
      </c>
      <c r="T59" t="inlineStr">
        <is>
          <t>梅见反馈</t>
        </is>
      </c>
      <c r="U59" t="inlineStr">
        <is>
          <t>KEEP</t>
        </is>
      </c>
      <c r="V59" t="inlineStr">
        <is>
          <t>ANALYSIS_BASELINE</t>
        </is>
      </c>
      <c r="W59" t="inlineStr">
        <is>
          <t>可用</t>
        </is>
      </c>
      <c r="X59" t="inlineStr">
        <is>
          <t>品牌语料分析与洞察体系.xlsx#表1：原始语料库!59</t>
        </is>
      </c>
      <c r="Y59" t="inlineStr">
        <is>
          <t>FROZEN_419_V2</t>
        </is>
      </c>
    </row>
    <row r="60" ht="25.5" customHeight="1">
      <c r="A60" t="inlineStr">
        <is>
          <t>DY-SOC-0048</t>
        </is>
      </c>
      <c r="B60" t="inlineStr">
        <is>
          <t>梅见产品体验反馈</t>
        </is>
      </c>
      <c r="C60" t="inlineStr">
        <is>
          <t>PRJ001</t>
        </is>
      </c>
      <c r="D60" t="inlineStr">
        <is>
          <t>梅见</t>
        </is>
      </c>
      <c r="E60" t="inlineStr">
        <is>
          <t>喝酒对我而言就是成年人的糖水苦日子里的那点甜</t>
        </is>
      </c>
      <c r="F60" t="inlineStr">
        <is>
          <t>微醺结束一天最好方式｜2025-06-20｜抖音</t>
        </is>
      </c>
      <c r="G60" t="inlineStr">
        <is>
          <t>抖音</t>
        </is>
      </c>
      <c r="H60" s="2" t="str">
        <f>=HYPERLINK("https://www.douyin.com/video/7653362603619687025", "https://www.douyin.com/video/7653362603619687025")</f>
        <v>https://www.douyin.com/video/7653362603619687025</v>
      </c>
      <c r="I60" s="3">
        <v>46212</v>
      </c>
      <c r="J60" s="4">
        <v>46243</v>
      </c>
      <c r="K60" t="inlineStr">
        <is>
          <t>梅见青梅酒</t>
        </is>
      </c>
      <c r="L60"/>
      <c r="M60" t="inlineStr">
        <is>
          <t>DY-U0002</t>
        </is>
      </c>
      <c r="N60" t="inlineStr">
        <is>
          <t>公开评论</t>
        </is>
      </c>
      <c r="O60"/>
      <c r="P60" t="inlineStr">
        <is>
          <t>点赞数未成功识别，暂置空，禁止随机补值；原始:1月前;月份估算;原始时间未精确提取,根据页面公示时间范围估算;评论点赞数未精确提取,填写为0待人工复核</t>
        </is>
      </c>
      <c r="Q60" t="inlineStr">
        <is>
          <t>目标品牌</t>
        </is>
      </c>
      <c r="R60"/>
      <c r="S60" t="inlineStr">
        <is>
          <t>DY-SOC-0048_ANALYSIS_BASELINE_formal-attempt-0001_AI</t>
        </is>
      </c>
      <c r="T60" t="inlineStr">
        <is>
          <t>梅见反馈</t>
        </is>
      </c>
      <c r="U60" t="inlineStr">
        <is>
          <t>KEEP</t>
        </is>
      </c>
      <c r="V60" t="inlineStr">
        <is>
          <t>ANALYSIS_BASELINE</t>
        </is>
      </c>
      <c r="W60" t="inlineStr">
        <is>
          <t>可用</t>
        </is>
      </c>
      <c r="X60" t="inlineStr">
        <is>
          <t>品牌语料分析与洞察体系.xlsx#表1：原始语料库!60</t>
        </is>
      </c>
      <c r="Y60" t="inlineStr">
        <is>
          <t>FROZEN_419_V2</t>
        </is>
      </c>
    </row>
    <row r="61" ht="25.5" customHeight="1">
      <c r="A61" t="inlineStr">
        <is>
          <t>DY-SOC-0049</t>
        </is>
      </c>
      <c r="B61" t="inlineStr">
        <is>
          <t>梅见产品体验反馈</t>
        </is>
      </c>
      <c r="C61" t="inlineStr">
        <is>
          <t>PRJ001</t>
        </is>
      </c>
      <c r="D61" t="inlineStr">
        <is>
          <t>梅见</t>
        </is>
      </c>
      <c r="E61" t="inlineStr">
        <is>
          <t>这个酒对我而言就是成年人的糖水苦日子里的那点甜</t>
        </is>
      </c>
      <c r="F61" t="inlineStr">
        <is>
          <t>微醺结束一天最好方式｜2025-06-20｜抖音</t>
        </is>
      </c>
      <c r="G61" t="inlineStr">
        <is>
          <t>抖音</t>
        </is>
      </c>
      <c r="H61" s="2" t="str">
        <f>=HYPERLINK("https://www.douyin.com/video/7653362603619687025", "https://www.douyin.com/video/7653362603619687025")</f>
        <v>https://www.douyin.com/video/7653362603619687025</v>
      </c>
      <c r="I61" s="3">
        <v>46212</v>
      </c>
      <c r="J61" s="4">
        <v>46243</v>
      </c>
      <c r="K61" t="inlineStr">
        <is>
          <t>梅见青梅酒</t>
        </is>
      </c>
      <c r="L61"/>
      <c r="M61" t="inlineStr">
        <is>
          <t>DY-U0035</t>
        </is>
      </c>
      <c r="N61" t="inlineStr">
        <is>
          <t>公开评论</t>
        </is>
      </c>
      <c r="O61"/>
      <c r="P61" t="inlineStr">
        <is>
          <t>点赞数未成功识别，暂置空，禁止随机补值；原始:1月前;月份估算;原始时间未精确提取,根据页面公示时间范围估算;评论点赞数未精确提取,填写为0待人工复核</t>
        </is>
      </c>
      <c r="Q61" t="inlineStr">
        <is>
          <t>目标品牌</t>
        </is>
      </c>
      <c r="R61"/>
      <c r="S61" t="inlineStr">
        <is>
          <t>DY-SOC-0049_HOLDOUT_formal-attempt-0001_AI</t>
        </is>
      </c>
      <c r="T61" t="inlineStr">
        <is>
          <t>梅见反馈</t>
        </is>
      </c>
      <c r="U61" t="inlineStr">
        <is>
          <t>KEEP</t>
        </is>
      </c>
      <c r="V61" t="inlineStr">
        <is>
          <t>HOLDOUT</t>
        </is>
      </c>
      <c r="W61" t="inlineStr">
        <is>
          <t>可用</t>
        </is>
      </c>
      <c r="X61" t="inlineStr">
        <is>
          <t>品牌语料分析与洞察体系.xlsx#表1：原始语料库!61</t>
        </is>
      </c>
      <c r="Y61" t="inlineStr">
        <is>
          <t>FROZEN_419_V2</t>
        </is>
      </c>
    </row>
    <row r="62" ht="25.5" customHeight="1">
      <c r="A62" t="inlineStr">
        <is>
          <t>DY-SOC-0050</t>
        </is>
      </c>
      <c r="B62" t="inlineStr">
        <is>
          <t>梅见产品体验反馈</t>
        </is>
      </c>
      <c r="C62" t="inlineStr">
        <is>
          <t>PRJ001</t>
        </is>
      </c>
      <c r="D62" t="inlineStr">
        <is>
          <t>梅见</t>
        </is>
      </c>
      <c r="E62" t="inlineStr">
        <is>
          <t>红牛配劲酒好喝还是这个</t>
        </is>
      </c>
      <c r="F62" t="inlineStr">
        <is>
          <t>微醺结束一天最好方式｜2025-06-20｜抖音</t>
        </is>
      </c>
      <c r="G62" t="inlineStr">
        <is>
          <t>抖音</t>
        </is>
      </c>
      <c r="H62" s="2" t="str">
        <f>=HYPERLINK("https://www.douyin.com/video/7653362603619687025", "https://www.douyin.com/video/7653362603619687025")</f>
        <v>https://www.douyin.com/video/7653362603619687025</v>
      </c>
      <c r="I62" s="3">
        <v>46212</v>
      </c>
      <c r="J62" s="4">
        <v>46243</v>
      </c>
      <c r="K62" t="inlineStr">
        <is>
          <t>梅见青梅酒</t>
        </is>
      </c>
      <c r="L62"/>
      <c r="M62" t="inlineStr">
        <is>
          <t>DY-U0056</t>
        </is>
      </c>
      <c r="N62" t="inlineStr">
        <is>
          <t>公开评论</t>
        </is>
      </c>
      <c r="O62"/>
      <c r="P62" t="inlineStr">
        <is>
          <t>点赞数未成功识别，暂置空，禁止随机补值；原始:1月前;月份估算;原始时间未精确提取,根据页面公示时间范围估算;评论点赞数未精确提取,填写为0待人工复核</t>
        </is>
      </c>
      <c r="Q62" t="inlineStr">
        <is>
          <t>目标品牌</t>
        </is>
      </c>
      <c r="R62"/>
      <c r="S62" t="inlineStr">
        <is>
          <t>DY-SOC-0050_ANALYSIS_BASELINE_formal-attempt-0001_AI</t>
        </is>
      </c>
      <c r="T62" t="inlineStr">
        <is>
          <t>梅见反馈</t>
        </is>
      </c>
      <c r="U62" t="inlineStr">
        <is>
          <t>KEEP</t>
        </is>
      </c>
      <c r="V62" t="inlineStr">
        <is>
          <t>ANALYSIS_BASELINE</t>
        </is>
      </c>
      <c r="W62" t="inlineStr">
        <is>
          <t>可用</t>
        </is>
      </c>
      <c r="X62" t="inlineStr">
        <is>
          <t>品牌语料分析与洞察体系.xlsx#表1：原始语料库!62</t>
        </is>
      </c>
      <c r="Y62" t="inlineStr">
        <is>
          <t>FROZEN_419_V2</t>
        </is>
      </c>
    </row>
    <row r="63" ht="25.5" customHeight="1">
      <c r="A63" t="inlineStr">
        <is>
          <t>DY-SOC-0051</t>
        </is>
      </c>
      <c r="B63" t="inlineStr">
        <is>
          <t>梅见产品体验反馈</t>
        </is>
      </c>
      <c r="C63" t="inlineStr">
        <is>
          <t>PRJ001</t>
        </is>
      </c>
      <c r="D63" t="inlineStr">
        <is>
          <t>梅见</t>
        </is>
      </c>
      <c r="E63" t="inlineStr">
        <is>
          <t>生活就像这杯酒酸甜都有但最后回味还是有点甜就行</t>
        </is>
      </c>
      <c r="F63" t="inlineStr">
        <is>
          <t>微醺结束一天最好方式｜2025-06-20｜抖音</t>
        </is>
      </c>
      <c r="G63" t="inlineStr">
        <is>
          <t>抖音</t>
        </is>
      </c>
      <c r="H63" s="2" t="str">
        <f>=HYPERLINK("https://www.douyin.com/video/7653362603619687025", "https://www.douyin.com/video/7653362603619687025")</f>
        <v>https://www.douyin.com/video/7653362603619687025</v>
      </c>
      <c r="I63" s="3">
        <v>46212</v>
      </c>
      <c r="J63" s="4">
        <v>46243</v>
      </c>
      <c r="K63" t="inlineStr">
        <is>
          <t>梅见青梅酒</t>
        </is>
      </c>
      <c r="L63"/>
      <c r="M63" t="inlineStr">
        <is>
          <t>DY-U0057</t>
        </is>
      </c>
      <c r="N63" t="inlineStr">
        <is>
          <t>公开评论</t>
        </is>
      </c>
      <c r="O63"/>
      <c r="P63" t="inlineStr">
        <is>
          <t>点赞数未成功识别，暂置空，禁止随机补值；原始:1月前;月份估算;原始时间未精确提取,根据页面公示时间范围估算;评论点赞数未精确提取,填写为0待人工复核</t>
        </is>
      </c>
      <c r="Q63" t="inlineStr">
        <is>
          <t>目标品牌</t>
        </is>
      </c>
      <c r="R63"/>
      <c r="S63" t="inlineStr">
        <is>
          <t>DY-SOC-0051_ANALYSIS_BASELINE_formal-attempt-0001_AI</t>
        </is>
      </c>
      <c r="T63" t="inlineStr">
        <is>
          <t>梅见反馈</t>
        </is>
      </c>
      <c r="U63" t="inlineStr">
        <is>
          <t>KEEP</t>
        </is>
      </c>
      <c r="V63" t="inlineStr">
        <is>
          <t>ANALYSIS_BASELINE</t>
        </is>
      </c>
      <c r="W63" t="inlineStr">
        <is>
          <t>可用</t>
        </is>
      </c>
      <c r="X63" t="inlineStr">
        <is>
          <t>品牌语料分析与洞察体系.xlsx#表1：原始语料库!63</t>
        </is>
      </c>
      <c r="Y63" t="inlineStr">
        <is>
          <t>FROZEN_419_V2</t>
        </is>
      </c>
    </row>
    <row r="64" ht="25.5" customHeight="1">
      <c r="A64" t="inlineStr">
        <is>
          <t>DY-SOC-0052</t>
        </is>
      </c>
      <c r="B64" t="inlineStr">
        <is>
          <t>梅见产品体验反馈</t>
        </is>
      </c>
      <c r="C64" t="inlineStr">
        <is>
          <t>PRJ001</t>
        </is>
      </c>
      <c r="D64" t="inlineStr">
        <is>
          <t>梅见</t>
        </is>
      </c>
      <c r="E64" t="inlineStr">
        <is>
          <t>好喝爱喝棒棒的感觉</t>
        </is>
      </c>
      <c r="F64" t="inlineStr">
        <is>
          <t>微醺结束一天最好方式｜2025-06-20｜抖音</t>
        </is>
      </c>
      <c r="G64" t="inlineStr">
        <is>
          <t>抖音</t>
        </is>
      </c>
      <c r="H64" s="2" t="str">
        <f>=HYPERLINK("https://www.douyin.com/video/7653362603619687025", "https://www.douyin.com/video/7653362603619687025")</f>
        <v>https://www.douyin.com/video/7653362603619687025</v>
      </c>
      <c r="I64" s="3">
        <v>45828</v>
      </c>
      <c r="J64" s="4">
        <v>46243</v>
      </c>
      <c r="K64" t="inlineStr">
        <is>
          <t>梅见青梅酒</t>
        </is>
      </c>
      <c r="L64"/>
      <c r="M64" t="inlineStr">
        <is>
          <t>DY-U0067</t>
        </is>
      </c>
      <c r="N64" t="inlineStr">
        <is>
          <t>公开评论</t>
        </is>
      </c>
      <c r="O64"/>
      <c r="P64" t="inlineStr">
        <is>
          <t>点赞数未成功识别，暂置空，禁止随机补值；当前日期来自视频发布时间，评论发布时间未识别</t>
        </is>
      </c>
      <c r="Q64" t="inlineStr">
        <is>
          <t>目标品牌</t>
        </is>
      </c>
      <c r="R64"/>
      <c r="S64" t="inlineStr">
        <is>
          <t>DY-SOC-0052_CHALLENGE_POOL_formal-attempt-0001_AI</t>
        </is>
      </c>
      <c r="T64" t="inlineStr">
        <is>
          <t>梅见反馈</t>
        </is>
      </c>
      <c r="U64" t="inlineStr">
        <is>
          <t>KEEP</t>
        </is>
      </c>
      <c r="V64" t="inlineStr">
        <is>
          <t>CHALLENGE</t>
        </is>
      </c>
      <c r="W64" t="inlineStr">
        <is>
          <t>可用</t>
        </is>
      </c>
      <c r="X64" t="inlineStr">
        <is>
          <t>品牌语料分析与洞察体系.xlsx#表1：原始语料库!64</t>
        </is>
      </c>
      <c r="Y64" t="inlineStr">
        <is>
          <t>FROZEN_419_V2</t>
        </is>
      </c>
    </row>
    <row r="65" ht="25.5" customHeight="1">
      <c r="A65" t="inlineStr">
        <is>
          <t>DY-SOC-0053</t>
        </is>
      </c>
      <c r="B65" t="inlineStr">
        <is>
          <t>梅见产品体验反馈</t>
        </is>
      </c>
      <c r="C65" t="inlineStr">
        <is>
          <t>PRJ001</t>
        </is>
      </c>
      <c r="D65" t="inlineStr">
        <is>
          <t>梅见</t>
        </is>
      </c>
      <c r="E65" t="inlineStr">
        <is>
          <t>生活已经够苦了晚上不来点甜的酒怎么对得起自己</t>
        </is>
      </c>
      <c r="F65" t="inlineStr">
        <is>
          <t>微醺结束一天最好方式｜2025-06-20｜抖音</t>
        </is>
      </c>
      <c r="G65" t="inlineStr">
        <is>
          <t>抖音</t>
        </is>
      </c>
      <c r="H65" s="2" t="str">
        <f>=HYPERLINK("https://www.douyin.com/video/7653362603619687025", "https://www.douyin.com/video/7653362603619687025")</f>
        <v>https://www.douyin.com/video/7653362603619687025</v>
      </c>
      <c r="I65" s="3">
        <v>46212</v>
      </c>
      <c r="J65" s="4">
        <v>46243</v>
      </c>
      <c r="K65" t="inlineStr">
        <is>
          <t>梅见青梅酒</t>
        </is>
      </c>
      <c r="L65"/>
      <c r="M65" t="inlineStr">
        <is>
          <t>DY-U0078</t>
        </is>
      </c>
      <c r="N65" t="inlineStr">
        <is>
          <t>公开评论</t>
        </is>
      </c>
      <c r="O65"/>
      <c r="P65" t="inlineStr">
        <is>
          <t>点赞数未成功识别，暂置空，禁止随机补值；原始:1月前;月份估算;原始时间未精确提取,根据页面公示时间范围估算;评论点赞数未精确提取,填写为0待人工复核</t>
        </is>
      </c>
      <c r="Q65" t="inlineStr">
        <is>
          <t>目标品牌</t>
        </is>
      </c>
      <c r="R65"/>
      <c r="S65" t="inlineStr">
        <is>
          <t>DY-SOC-0053_HOLDOUT_formal-attempt-0001_AI</t>
        </is>
      </c>
      <c r="T65" t="inlineStr">
        <is>
          <t>梅见反馈</t>
        </is>
      </c>
      <c r="U65" t="inlineStr">
        <is>
          <t>KEEP</t>
        </is>
      </c>
      <c r="V65" t="inlineStr">
        <is>
          <t>HOLDOUT</t>
        </is>
      </c>
      <c r="W65" t="inlineStr">
        <is>
          <t>可用</t>
        </is>
      </c>
      <c r="X65" t="inlineStr">
        <is>
          <t>品牌语料分析与洞察体系.xlsx#表1：原始语料库!65</t>
        </is>
      </c>
      <c r="Y65" t="inlineStr">
        <is>
          <t>FROZEN_419_V2</t>
        </is>
      </c>
    </row>
    <row r="66" ht="25.5" customHeight="1">
      <c r="A66" t="inlineStr">
        <is>
          <t>DY-SOC-0054</t>
        </is>
      </c>
      <c r="B66" t="inlineStr">
        <is>
          <t>梅见产品体验反馈</t>
        </is>
      </c>
      <c r="C66" t="inlineStr">
        <is>
          <t>PRJ001</t>
        </is>
      </c>
      <c r="D66" t="inlineStr">
        <is>
          <t>梅见</t>
        </is>
      </c>
      <c r="E66" t="inlineStr">
        <is>
          <t>没想到梅见竟然有六种口味真是让人惊喜女生喝也超有感觉</t>
        </is>
      </c>
      <c r="F66" t="inlineStr">
        <is>
          <t>梅见口味大揭秘｜2025-05-23｜抖音</t>
        </is>
      </c>
      <c r="G66" t="inlineStr">
        <is>
          <t>抖音</t>
        </is>
      </c>
      <c r="H66" s="2" t="str">
        <f>=HYPERLINK("https://www.douyin.com/video/7667186302345412315", "https://www.douyin.com/video/7667186302345412315")</f>
        <v>https://www.douyin.com/video/7667186302345412315</v>
      </c>
      <c r="I66" s="3">
        <v>45800</v>
      </c>
      <c r="J66" s="4">
        <v>46243</v>
      </c>
      <c r="K66" t="inlineStr">
        <is>
          <t>梅见好喝吗</t>
        </is>
      </c>
      <c r="L66"/>
      <c r="M66" t="inlineStr">
        <is>
          <t>DY-U0083</t>
        </is>
      </c>
      <c r="N66" t="inlineStr">
        <is>
          <t>公开评论</t>
        </is>
      </c>
      <c r="O66"/>
      <c r="P66" t="inlineStr">
        <is>
          <t>点赞数未成功识别，暂置空，禁止随机补值</t>
        </is>
      </c>
      <c r="Q66" t="inlineStr">
        <is>
          <t>目标品牌</t>
        </is>
      </c>
      <c r="R66"/>
      <c r="S66" t="inlineStr">
        <is>
          <t>DY-SOC-0054_ANALYSIS_BASELINE_formal-attempt-0001_AI</t>
        </is>
      </c>
      <c r="T66" t="inlineStr">
        <is>
          <t>梅见反馈</t>
        </is>
      </c>
      <c r="U66" t="inlineStr">
        <is>
          <t>KEEP</t>
        </is>
      </c>
      <c r="V66" t="inlineStr">
        <is>
          <t>ANALYSIS_BASELINE</t>
        </is>
      </c>
      <c r="W66" t="inlineStr">
        <is>
          <t>可用</t>
        </is>
      </c>
      <c r="X66" t="inlineStr">
        <is>
          <t>品牌语料分析与洞察体系.xlsx#表1：原始语料库!66</t>
        </is>
      </c>
      <c r="Y66" t="inlineStr">
        <is>
          <t>FROZEN_419_V2</t>
        </is>
      </c>
    </row>
    <row r="67" ht="25.5" customHeight="1">
      <c r="A67" t="inlineStr">
        <is>
          <t>DY-SOC-0055</t>
        </is>
      </c>
      <c r="B67" t="inlineStr">
        <is>
          <t>梅见产品体验反馈</t>
        </is>
      </c>
      <c r="C67" t="inlineStr">
        <is>
          <t>PRJ001</t>
        </is>
      </c>
      <c r="D67" t="inlineStr">
        <is>
          <t>梅见</t>
        </is>
      </c>
      <c r="E67" t="inlineStr">
        <is>
          <t>酸到眯眼睛了但看着就解腻夏天来一杯肯定舒服啊</t>
        </is>
      </c>
      <c r="F67" t="inlineStr">
        <is>
          <t>梅见口味大揭秘｜2025-05-23｜抖音</t>
        </is>
      </c>
      <c r="G67" t="inlineStr">
        <is>
          <t>抖音</t>
        </is>
      </c>
      <c r="H67" s="2" t="str">
        <f>=HYPERLINK("https://www.douyin.com/video/7667186302345412315", "https://www.douyin.com/video/7667186302345412315")</f>
        <v>https://www.douyin.com/video/7667186302345412315</v>
      </c>
      <c r="I67" s="3">
        <v>45800</v>
      </c>
      <c r="J67" s="4">
        <v>46243</v>
      </c>
      <c r="K67" t="inlineStr">
        <is>
          <t>梅见好喝吗</t>
        </is>
      </c>
      <c r="L67"/>
      <c r="M67" t="inlineStr">
        <is>
          <t>DY-U0084</t>
        </is>
      </c>
      <c r="N67" t="inlineStr">
        <is>
          <t>公开评论</t>
        </is>
      </c>
      <c r="O67"/>
      <c r="P67" t="inlineStr">
        <is>
          <t>点赞数未成功识别，暂置空，禁止随机补值</t>
        </is>
      </c>
      <c r="Q67" t="inlineStr">
        <is>
          <t>目标品牌</t>
        </is>
      </c>
      <c r="R67"/>
      <c r="S67" t="inlineStr">
        <is>
          <t>DY-SOC-0055_ANALYSIS_BASELINE_formal-attempt-0001_AI</t>
        </is>
      </c>
      <c r="T67" t="inlineStr">
        <is>
          <t>梅见反馈</t>
        </is>
      </c>
      <c r="U67" t="inlineStr">
        <is>
          <t>KEEP</t>
        </is>
      </c>
      <c r="V67" t="inlineStr">
        <is>
          <t>ANALYSIS_BASELINE</t>
        </is>
      </c>
      <c r="W67" t="inlineStr">
        <is>
          <t>可用</t>
        </is>
      </c>
      <c r="X67" t="inlineStr">
        <is>
          <t>品牌语料分析与洞察体系.xlsx#表1：原始语料库!67</t>
        </is>
      </c>
      <c r="Y67" t="inlineStr">
        <is>
          <t>FROZEN_419_V2</t>
        </is>
      </c>
    </row>
    <row r="68" ht="25.5" customHeight="1">
      <c r="A68" t="inlineStr">
        <is>
          <t>DY-SOC-0056</t>
        </is>
      </c>
      <c r="B68" t="inlineStr">
        <is>
          <t>梅见产品体验反馈</t>
        </is>
      </c>
      <c r="C68" t="inlineStr">
        <is>
          <t>PRJ001</t>
        </is>
      </c>
      <c r="D68" t="inlineStr">
        <is>
          <t>梅见</t>
        </is>
      </c>
      <c r="E68" t="inlineStr">
        <is>
          <t>这几种口味我只喝过两种[捂脸]</t>
        </is>
      </c>
      <c r="F68" t="inlineStr">
        <is>
          <t>梅见口味大揭秘｜2025-05-23｜抖音</t>
        </is>
      </c>
      <c r="G68" t="inlineStr">
        <is>
          <t>抖音</t>
        </is>
      </c>
      <c r="H68" s="2" t="str">
        <f>=HYPERLINK("https://www.douyin.com/video/7667186302345412315", "https://www.douyin.com/video/7667186302345412315")</f>
        <v>https://www.douyin.com/video/7667186302345412315</v>
      </c>
      <c r="I68" s="3">
        <v>45800</v>
      </c>
      <c r="J68" s="4">
        <v>46243</v>
      </c>
      <c r="K68" t="inlineStr">
        <is>
          <t>梅见好喝吗</t>
        </is>
      </c>
      <c r="L68"/>
      <c r="M68" t="inlineStr">
        <is>
          <t>DY-U0086</t>
        </is>
      </c>
      <c r="N68" t="inlineStr">
        <is>
          <t>公开评论</t>
        </is>
      </c>
      <c r="O68"/>
      <c r="P68" t="inlineStr">
        <is>
          <t>点赞数未成功识别，暂置空，禁止随机补值；当前日期来自视频发布时间，评论发布时间未识别</t>
        </is>
      </c>
      <c r="Q68" t="inlineStr">
        <is>
          <t>目标品牌</t>
        </is>
      </c>
      <c r="R68"/>
      <c r="S68" t="inlineStr">
        <is>
          <t>DY-SOC-0056_ANALYSIS_BASELINE_formal-attempt-0001_AI</t>
        </is>
      </c>
      <c r="T68" t="inlineStr">
        <is>
          <t>梅见反馈</t>
        </is>
      </c>
      <c r="U68" t="inlineStr">
        <is>
          <t>KEEP</t>
        </is>
      </c>
      <c r="V68" t="inlineStr">
        <is>
          <t>ANALYSIS_BASELINE</t>
        </is>
      </c>
      <c r="W68" t="inlineStr">
        <is>
          <t>可用</t>
        </is>
      </c>
      <c r="X68" t="inlineStr">
        <is>
          <t>品牌语料分析与洞察体系.xlsx#表1：原始语料库!68</t>
        </is>
      </c>
      <c r="Y68" t="inlineStr">
        <is>
          <t>FROZEN_419_V2</t>
        </is>
      </c>
    </row>
    <row r="69" ht="25.5" customHeight="1">
      <c r="A69" t="inlineStr">
        <is>
          <t>DY-SOC-0057</t>
        </is>
      </c>
      <c r="B69" t="inlineStr">
        <is>
          <t>梅见产品体验反馈</t>
        </is>
      </c>
      <c r="C69" t="inlineStr">
        <is>
          <t>PRJ001</t>
        </is>
      </c>
      <c r="D69" t="inlineStr">
        <is>
          <t>梅见</t>
        </is>
      </c>
      <c r="E69" t="inlineStr">
        <is>
          <t>我还挺喜欢喝这个味道的</t>
        </is>
      </c>
      <c r="F69" t="inlineStr">
        <is>
          <t>梅见口味大揭秘｜2025-05-23｜抖音</t>
        </is>
      </c>
      <c r="G69" t="inlineStr">
        <is>
          <t>抖音</t>
        </is>
      </c>
      <c r="H69" s="2" t="str">
        <f>=HYPERLINK("https://www.douyin.com/video/7667186302345412315", "https://www.douyin.com/video/7667186302345412315")</f>
        <v>https://www.douyin.com/video/7667186302345412315</v>
      </c>
      <c r="I69" s="3">
        <v>45800</v>
      </c>
      <c r="J69" s="4">
        <v>46243</v>
      </c>
      <c r="K69" t="inlineStr">
        <is>
          <t>梅见好喝吗</t>
        </is>
      </c>
      <c r="L69"/>
      <c r="M69" t="inlineStr">
        <is>
          <t>DY-U0087</t>
        </is>
      </c>
      <c r="N69" t="inlineStr">
        <is>
          <t>公开评论</t>
        </is>
      </c>
      <c r="O69"/>
      <c r="P69" t="inlineStr">
        <is>
          <t>点赞数未成功识别，暂置空，禁止随机补值</t>
        </is>
      </c>
      <c r="Q69" t="inlineStr">
        <is>
          <t>目标品牌</t>
        </is>
      </c>
      <c r="R69"/>
      <c r="S69" t="inlineStr">
        <is>
          <t>DY-SOC-0057_ANALYSIS_BASELINE_formal-attempt-0001_AI</t>
        </is>
      </c>
      <c r="T69" t="inlineStr">
        <is>
          <t>梅见反馈</t>
        </is>
      </c>
      <c r="U69" t="inlineStr">
        <is>
          <t>KEEP</t>
        </is>
      </c>
      <c r="V69" t="inlineStr">
        <is>
          <t>ANALYSIS_BASELINE</t>
        </is>
      </c>
      <c r="W69" t="inlineStr">
        <is>
          <t>可用</t>
        </is>
      </c>
      <c r="X69" t="inlineStr">
        <is>
          <t>品牌语料分析与洞察体系.xlsx#表1：原始语料库!69</t>
        </is>
      </c>
      <c r="Y69" t="inlineStr">
        <is>
          <t>FROZEN_419_V2</t>
        </is>
      </c>
    </row>
    <row r="70" ht="25.5" customHeight="1">
      <c r="A70" t="inlineStr">
        <is>
          <t>DY-SOC-0058</t>
        </is>
      </c>
      <c r="B70" t="inlineStr">
        <is>
          <t>梅见产品体验反馈</t>
        </is>
      </c>
      <c r="C70" t="inlineStr">
        <is>
          <t>PRJ001</t>
        </is>
      </c>
      <c r="D70" t="inlineStr">
        <is>
          <t>梅见</t>
        </is>
      </c>
      <c r="E70" t="inlineStr">
        <is>
          <t>好喝的呀我喜欢的口味都有</t>
        </is>
      </c>
      <c r="F70" t="inlineStr">
        <is>
          <t>梅见口味大揭秘｜2025-05-23｜抖音</t>
        </is>
      </c>
      <c r="G70" t="inlineStr">
        <is>
          <t>抖音</t>
        </is>
      </c>
      <c r="H70" s="2" t="str">
        <f>=HYPERLINK("https://www.douyin.com/video/7667186302345412315", "https://www.douyin.com/video/7667186302345412315")</f>
        <v>https://www.douyin.com/video/7667186302345412315</v>
      </c>
      <c r="I70" s="3">
        <v>45800</v>
      </c>
      <c r="J70" s="4">
        <v>46243</v>
      </c>
      <c r="K70" t="inlineStr">
        <is>
          <t>梅见好喝吗</t>
        </is>
      </c>
      <c r="L70"/>
      <c r="M70" t="inlineStr">
        <is>
          <t>DY-U0088</t>
        </is>
      </c>
      <c r="N70" t="inlineStr">
        <is>
          <t>公开评论</t>
        </is>
      </c>
      <c r="O70"/>
      <c r="P70" t="inlineStr">
        <is>
          <t>点赞数未成功识别，暂置空，禁止随机补值</t>
        </is>
      </c>
      <c r="Q70" t="inlineStr">
        <is>
          <t>目标品牌</t>
        </is>
      </c>
      <c r="R70"/>
      <c r="S70" t="inlineStr">
        <is>
          <t>DY-SOC-0058_ANALYSIS_BASELINE_formal-attempt-0001_AI</t>
        </is>
      </c>
      <c r="T70" t="inlineStr">
        <is>
          <t>梅见反馈</t>
        </is>
      </c>
      <c r="U70" t="inlineStr">
        <is>
          <t>KEEP</t>
        </is>
      </c>
      <c r="V70" t="inlineStr">
        <is>
          <t>ANALYSIS_BASELINE</t>
        </is>
      </c>
      <c r="W70" t="inlineStr">
        <is>
          <t>可用</t>
        </is>
      </c>
      <c r="X70" t="inlineStr">
        <is>
          <t>品牌语料分析与洞察体系.xlsx#表1：原始语料库!70</t>
        </is>
      </c>
      <c r="Y70" t="inlineStr">
        <is>
          <t>FROZEN_419_V2</t>
        </is>
      </c>
    </row>
    <row r="71" ht="25.5" customHeight="1">
      <c r="A71" t="inlineStr">
        <is>
          <t>DY-SOC-0059</t>
        </is>
      </c>
      <c r="B71" t="inlineStr">
        <is>
          <t>梅见产品体验反馈</t>
        </is>
      </c>
      <c r="C71" t="inlineStr">
        <is>
          <t>PRJ001</t>
        </is>
      </c>
      <c r="D71" t="inlineStr">
        <is>
          <t>梅见</t>
        </is>
      </c>
      <c r="E71" t="inlineStr">
        <is>
          <t>明天去买点想喝酒了</t>
        </is>
      </c>
      <c r="F71" t="inlineStr">
        <is>
          <t>萍姐微醺局终于喝到好喝的梅见｜2025-07-11｜抖音</t>
        </is>
      </c>
      <c r="G71" t="inlineStr">
        <is>
          <t>抖音</t>
        </is>
      </c>
      <c r="H71" s="2" t="str">
        <f>=HYPERLINK("https://www.douyin.com/video/7661213968078401147", "https://www.douyin.com/video/7661213968078401147")</f>
        <v>https://www.douyin.com/video/7661213968078401147</v>
      </c>
      <c r="I71" s="3">
        <v>45849</v>
      </c>
      <c r="J71" s="4">
        <v>46243</v>
      </c>
      <c r="K71" t="inlineStr">
        <is>
          <t>梅见口感</t>
        </is>
      </c>
      <c r="L71"/>
      <c r="M71" t="inlineStr">
        <is>
          <t>DY-U0096</t>
        </is>
      </c>
      <c r="N71" t="inlineStr">
        <is>
          <t>公开评论</t>
        </is>
      </c>
      <c r="O71"/>
      <c r="P71" t="inlineStr">
        <is>
          <t>点赞数未成功识别，暂置空，禁止随机补值</t>
        </is>
      </c>
      <c r="Q71" t="inlineStr">
        <is>
          <t>目标品牌</t>
        </is>
      </c>
      <c r="R71"/>
      <c r="S71" t="inlineStr">
        <is>
          <t>DY-SOC-0059_ANALYSIS_BASELINE_formal-attempt-0001_AI</t>
        </is>
      </c>
      <c r="T71" t="inlineStr">
        <is>
          <t>梅见反馈</t>
        </is>
      </c>
      <c r="U71" t="inlineStr">
        <is>
          <t>KEEP</t>
        </is>
      </c>
      <c r="V71" t="inlineStr">
        <is>
          <t>ANALYSIS_BASELINE</t>
        </is>
      </c>
      <c r="W71" t="inlineStr">
        <is>
          <t>可用</t>
        </is>
      </c>
      <c r="X71" t="inlineStr">
        <is>
          <t>品牌语料分析与洞察体系.xlsx#表1：原始语料库!71</t>
        </is>
      </c>
      <c r="Y71" t="inlineStr">
        <is>
          <t>FROZEN_419_V2</t>
        </is>
      </c>
    </row>
    <row r="72" ht="25.5" customHeight="1">
      <c r="A72" t="inlineStr">
        <is>
          <t>DY-SOC-0060</t>
        </is>
      </c>
      <c r="B72" t="inlineStr">
        <is>
          <t>梅见产品体验反馈</t>
        </is>
      </c>
      <c r="C72" t="inlineStr">
        <is>
          <t>PRJ001</t>
        </is>
      </c>
      <c r="D72" t="inlineStr">
        <is>
          <t>梅见</t>
        </is>
      </c>
      <c r="E72" t="inlineStr">
        <is>
          <t>艾特我小姐妹喝点</t>
        </is>
      </c>
      <c r="F72" t="inlineStr">
        <is>
          <t>萍姐微醺局终于喝到好喝的梅见｜2025-07-11｜抖音</t>
        </is>
      </c>
      <c r="G72" t="inlineStr">
        <is>
          <t>抖音</t>
        </is>
      </c>
      <c r="H72" s="2" t="str">
        <f>=HYPERLINK("https://www.douyin.com/video/7661213968078401147", "https://www.douyin.com/video/7661213968078401147")</f>
        <v>https://www.douyin.com/video/7661213968078401147</v>
      </c>
      <c r="I72" s="3">
        <v>45849</v>
      </c>
      <c r="J72" s="4">
        <v>46243</v>
      </c>
      <c r="K72" t="inlineStr">
        <is>
          <t>梅见口感</t>
        </is>
      </c>
      <c r="L72"/>
      <c r="M72" t="inlineStr">
        <is>
          <t>DY-U0098</t>
        </is>
      </c>
      <c r="N72" t="inlineStr">
        <is>
          <t>公开评论</t>
        </is>
      </c>
      <c r="O72"/>
      <c r="P72" t="inlineStr">
        <is>
          <t>点赞数未成功识别，暂置空，禁止随机补值；当前日期来自视频发布时间，评论发布时间未识别</t>
        </is>
      </c>
      <c r="Q72" t="inlineStr">
        <is>
          <t>目标品牌</t>
        </is>
      </c>
      <c r="R72"/>
      <c r="S72" t="inlineStr">
        <is>
          <t>DY-SOC-0060_HOLDOUT_formal-attempt-0001_AI</t>
        </is>
      </c>
      <c r="T72" t="inlineStr">
        <is>
          <t>梅见反馈</t>
        </is>
      </c>
      <c r="U72" t="inlineStr">
        <is>
          <t>KEEP</t>
        </is>
      </c>
      <c r="V72" t="inlineStr">
        <is>
          <t>HOLDOUT</t>
        </is>
      </c>
      <c r="W72" t="inlineStr">
        <is>
          <t>可用</t>
        </is>
      </c>
      <c r="X72" t="inlineStr">
        <is>
          <t>品牌语料分析与洞察体系.xlsx#表1：原始语料库!72</t>
        </is>
      </c>
      <c r="Y72" t="inlineStr">
        <is>
          <t>FROZEN_419_V2</t>
        </is>
      </c>
    </row>
    <row r="73" ht="25.5" customHeight="1">
      <c r="A73" t="inlineStr">
        <is>
          <t>DY-SOC-0061</t>
        </is>
      </c>
      <c r="B73" t="inlineStr">
        <is>
          <t>梅见产品体验反馈</t>
        </is>
      </c>
      <c r="C73" t="inlineStr">
        <is>
          <t>PRJ001</t>
        </is>
      </c>
      <c r="D73" t="inlineStr">
        <is>
          <t>梅见</t>
        </is>
      </c>
      <c r="E73" t="inlineStr">
        <is>
          <t>准备买一瓶慢慢喝</t>
        </is>
      </c>
      <c r="F73" t="inlineStr">
        <is>
          <t>萍姐微醺局终于喝到好喝的梅见｜2025-07-11｜抖音</t>
        </is>
      </c>
      <c r="G73" t="inlineStr">
        <is>
          <t>抖音</t>
        </is>
      </c>
      <c r="H73" s="2" t="str">
        <f>=HYPERLINK("https://www.douyin.com/video/7661213968078401147", "https://www.douyin.com/video/7661213968078401147")</f>
        <v>https://www.douyin.com/video/7661213968078401147</v>
      </c>
      <c r="I73" s="3">
        <v>45849</v>
      </c>
      <c r="J73" s="4">
        <v>46243</v>
      </c>
      <c r="K73" t="inlineStr">
        <is>
          <t>梅见口感</t>
        </is>
      </c>
      <c r="L73"/>
      <c r="M73" t="inlineStr">
        <is>
          <t>DY-U0100</t>
        </is>
      </c>
      <c r="N73" t="inlineStr">
        <is>
          <t>公开评论</t>
        </is>
      </c>
      <c r="O73"/>
      <c r="P73" t="inlineStr">
        <is>
          <t>点赞数未成功识别，暂置空，禁止随机补值</t>
        </is>
      </c>
      <c r="Q73" t="inlineStr">
        <is>
          <t>目标品牌</t>
        </is>
      </c>
      <c r="R73"/>
      <c r="S73" t="inlineStr">
        <is>
          <t>DY-SOC-0061_ANALYSIS_BASELINE_formal-attempt-0001_AI</t>
        </is>
      </c>
      <c r="T73" t="inlineStr">
        <is>
          <t>梅见反馈</t>
        </is>
      </c>
      <c r="U73" t="inlineStr">
        <is>
          <t>KEEP</t>
        </is>
      </c>
      <c r="V73" t="inlineStr">
        <is>
          <t>ANALYSIS_BASELINE</t>
        </is>
      </c>
      <c r="W73" t="inlineStr">
        <is>
          <t>可用</t>
        </is>
      </c>
      <c r="X73" t="inlineStr">
        <is>
          <t>品牌语料分析与洞察体系.xlsx#表1：原始语料库!73</t>
        </is>
      </c>
      <c r="Y73" t="inlineStr">
        <is>
          <t>FROZEN_419_V2</t>
        </is>
      </c>
    </row>
    <row r="74" ht="25.5" customHeight="1">
      <c r="A74" t="inlineStr">
        <is>
          <t>DY-SOC-0062</t>
        </is>
      </c>
      <c r="B74" t="inlineStr">
        <is>
          <t>梅见产品体验反馈</t>
        </is>
      </c>
      <c r="C74" t="inlineStr">
        <is>
          <t>PRJ001</t>
        </is>
      </c>
      <c r="D74" t="inlineStr">
        <is>
          <t>梅见</t>
        </is>
      </c>
      <c r="E74" t="inlineStr">
        <is>
          <t>平常也是没事儿来一瓶</t>
        </is>
      </c>
      <c r="F74" t="inlineStr">
        <is>
          <t>萍姐微醺局终于喝到好喝的梅见｜2025-07-11｜抖音</t>
        </is>
      </c>
      <c r="G74" t="inlineStr">
        <is>
          <t>抖音</t>
        </is>
      </c>
      <c r="H74" s="2" t="str">
        <f>=HYPERLINK("https://www.douyin.com/video/7661213968078401147", "https://www.douyin.com/video/7661213968078401147")</f>
        <v>https://www.douyin.com/video/7661213968078401147</v>
      </c>
      <c r="I74" s="3">
        <v>45849</v>
      </c>
      <c r="J74" s="4">
        <v>46243</v>
      </c>
      <c r="K74" t="inlineStr">
        <is>
          <t>梅见口感</t>
        </is>
      </c>
      <c r="L74"/>
      <c r="M74" t="inlineStr">
        <is>
          <t>DY-U0101</t>
        </is>
      </c>
      <c r="N74" t="inlineStr">
        <is>
          <t>公开评论</t>
        </is>
      </c>
      <c r="O74"/>
      <c r="P74" t="inlineStr">
        <is>
          <t>点赞数未成功识别，暂置空，禁止随机补值</t>
        </is>
      </c>
      <c r="Q74" t="inlineStr">
        <is>
          <t>目标品牌</t>
        </is>
      </c>
      <c r="R74"/>
      <c r="S74" t="inlineStr">
        <is>
          <t>DY-SOC-0062_ANALYSIS_BASELINE_formal-attempt-0001_AI</t>
        </is>
      </c>
      <c r="T74" t="inlineStr">
        <is>
          <t>梅见反馈</t>
        </is>
      </c>
      <c r="U74" t="inlineStr">
        <is>
          <t>KEEP</t>
        </is>
      </c>
      <c r="V74" t="inlineStr">
        <is>
          <t>ANALYSIS_BASELINE</t>
        </is>
      </c>
      <c r="W74" t="inlineStr">
        <is>
          <t>可用</t>
        </is>
      </c>
      <c r="X74" t="inlineStr">
        <is>
          <t>品牌语料分析与洞察体系.xlsx#表1：原始语料库!74</t>
        </is>
      </c>
      <c r="Y74" t="inlineStr">
        <is>
          <t>FROZEN_419_V2</t>
        </is>
      </c>
    </row>
    <row r="75" ht="25.5" customHeight="1">
      <c r="A75" t="inlineStr">
        <is>
          <t>DY-SOC-0063</t>
        </is>
      </c>
      <c r="B75" t="inlineStr">
        <is>
          <t>梅见产品体验反馈</t>
        </is>
      </c>
      <c r="C75" t="inlineStr">
        <is>
          <t>PRJ001</t>
        </is>
      </c>
      <c r="D75" t="inlineStr">
        <is>
          <t>梅见</t>
        </is>
      </c>
      <c r="E75" t="inlineStr">
        <is>
          <t>看着真惬意和朋友一起小酌一杯心情都变好了</t>
        </is>
      </c>
      <c r="F75" t="inlineStr">
        <is>
          <t>萍姐微醺局终于喝到好喝的梅见｜2025-07-11｜抖音</t>
        </is>
      </c>
      <c r="G75" t="inlineStr">
        <is>
          <t>抖音</t>
        </is>
      </c>
      <c r="H75" s="2" t="str">
        <f>=HYPERLINK("https://www.douyin.com/video/7661213968078401147", "https://www.douyin.com/video/7661213968078401147")</f>
        <v>https://www.douyin.com/video/7661213968078401147</v>
      </c>
      <c r="I75" s="3">
        <v>45849</v>
      </c>
      <c r="J75" s="4">
        <v>46243</v>
      </c>
      <c r="K75" t="inlineStr">
        <is>
          <t>梅见口感</t>
        </is>
      </c>
      <c r="L75"/>
      <c r="M75" t="inlineStr">
        <is>
          <t>DY-U0103</t>
        </is>
      </c>
      <c r="N75" t="inlineStr">
        <is>
          <t>公开评论</t>
        </is>
      </c>
      <c r="O75"/>
      <c r="P75" t="inlineStr">
        <is>
          <t>点赞数未成功识别，暂置空，禁止随机补值；当前日期来自视频发布时间，评论发布时间未识别</t>
        </is>
      </c>
      <c r="Q75" t="inlineStr">
        <is>
          <t>目标品牌</t>
        </is>
      </c>
      <c r="R75"/>
      <c r="S75" t="inlineStr">
        <is>
          <t>DY-SOC-0063_ANALYSIS_BASELINE_formal-attempt-0001_AI</t>
        </is>
      </c>
      <c r="T75" t="inlineStr">
        <is>
          <t>梅见反馈</t>
        </is>
      </c>
      <c r="U75" t="inlineStr">
        <is>
          <t>KEEP</t>
        </is>
      </c>
      <c r="V75" t="inlineStr">
        <is>
          <t>ANALYSIS_BASELINE</t>
        </is>
      </c>
      <c r="W75" t="inlineStr">
        <is>
          <t>可用</t>
        </is>
      </c>
      <c r="X75" t="inlineStr">
        <is>
          <t>品牌语料分析与洞察体系.xlsx#表1：原始语料库!75</t>
        </is>
      </c>
      <c r="Y75" t="inlineStr">
        <is>
          <t>FROZEN_419_V2</t>
        </is>
      </c>
    </row>
    <row r="76" ht="25.5" customHeight="1">
      <c r="A76" t="inlineStr">
        <is>
          <t>DY-SOC-0064</t>
        </is>
      </c>
      <c r="B76" t="inlineStr">
        <is>
          <t>梅见产品体验反馈</t>
        </is>
      </c>
      <c r="C76" t="inlineStr">
        <is>
          <t>PRJ001</t>
        </is>
      </c>
      <c r="D76" t="inlineStr">
        <is>
          <t>梅见</t>
        </is>
      </c>
      <c r="E76" t="inlineStr">
        <is>
          <t>我梅见大瓶3瓶倒[捂脸]</t>
        </is>
      </c>
      <c r="F76" t="inlineStr">
        <is>
          <t>喝酒一时爽喝完悔断肠｜2025-08-22｜抖音</t>
        </is>
      </c>
      <c r="G76" t="inlineStr">
        <is>
          <t>抖音</t>
        </is>
      </c>
      <c r="H76" s="2" t="str">
        <f>=HYPERLINK("https://www.douyin.com/video/7615205755860422373", "https://www.douyin.com/video/7615205755860422373")</f>
        <v>https://www.douyin.com/video/7615205755860422373</v>
      </c>
      <c r="I76" s="3">
        <v>45891</v>
      </c>
      <c r="J76" s="4">
        <v>46243</v>
      </c>
      <c r="K76" t="inlineStr">
        <is>
          <t>梅见上头</t>
        </is>
      </c>
      <c r="L76"/>
      <c r="M76" t="inlineStr">
        <is>
          <t>DY-U0109</t>
        </is>
      </c>
      <c r="N76" t="inlineStr">
        <is>
          <t>公开评论</t>
        </is>
      </c>
      <c r="O76"/>
      <c r="P76" t="inlineStr">
        <is>
          <t>点赞数未成功识别，暂置空，禁止随机补值；当前日期来自视频发布时间，评论发布时间未识别</t>
        </is>
      </c>
      <c r="Q76" t="inlineStr">
        <is>
          <t>目标品牌</t>
        </is>
      </c>
      <c r="R76"/>
      <c r="S76" t="inlineStr">
        <is>
          <t>DY-SOC-0064_ANALYSIS_BASELINE_formal-attempt-0001_AI</t>
        </is>
      </c>
      <c r="T76" t="inlineStr">
        <is>
          <t>梅见反馈</t>
        </is>
      </c>
      <c r="U76" t="inlineStr">
        <is>
          <t>KEEP</t>
        </is>
      </c>
      <c r="V76" t="inlineStr">
        <is>
          <t>ANALYSIS_BASELINE</t>
        </is>
      </c>
      <c r="W76" t="inlineStr">
        <is>
          <t>可用</t>
        </is>
      </c>
      <c r="X76" t="inlineStr">
        <is>
          <t>品牌语料分析与洞察体系.xlsx#表1：原始语料库!76</t>
        </is>
      </c>
      <c r="Y76" t="inlineStr">
        <is>
          <t>FROZEN_419_V2</t>
        </is>
      </c>
    </row>
    <row r="77" ht="25.5" customHeight="1">
      <c r="A77" t="inlineStr">
        <is>
          <t>DY-SOC-0065</t>
        </is>
      </c>
      <c r="B77" t="inlineStr">
        <is>
          <t>梅见产品体验反馈</t>
        </is>
      </c>
      <c r="C77" t="inlineStr">
        <is>
          <t>PRJ001</t>
        </is>
      </c>
      <c r="D77" t="inlineStr">
        <is>
          <t>梅见</t>
        </is>
      </c>
      <c r="E77" t="inlineStr">
        <is>
          <t>什么时候我们碰一下杯</t>
        </is>
      </c>
      <c r="F77" t="inlineStr">
        <is>
          <t>喝酒一时爽喝完悔断肠｜2025-08-22｜抖音</t>
        </is>
      </c>
      <c r="G77" t="inlineStr">
        <is>
          <t>抖音</t>
        </is>
      </c>
      <c r="H77" s="2" t="str">
        <f>=HYPERLINK("https://www.douyin.com/video/7615205755860422373", "https://www.douyin.com/video/7615205755860422373")</f>
        <v>https://www.douyin.com/video/7615205755860422373</v>
      </c>
      <c r="I77" s="3">
        <v>45891</v>
      </c>
      <c r="J77" s="4">
        <v>46243</v>
      </c>
      <c r="K77" t="inlineStr">
        <is>
          <t>梅见上头</t>
        </is>
      </c>
      <c r="L77"/>
      <c r="M77" t="inlineStr">
        <is>
          <t>DY-U0111</t>
        </is>
      </c>
      <c r="N77" t="inlineStr">
        <is>
          <t>公开评论</t>
        </is>
      </c>
      <c r="O77"/>
      <c r="P77" t="inlineStr">
        <is>
          <t>点赞数未成功识别，暂置空，禁止随机补值；当前日期来自视频发布时间，评论发布时间未识别</t>
        </is>
      </c>
      <c r="Q77" t="inlineStr">
        <is>
          <t>目标品牌</t>
        </is>
      </c>
      <c r="R77"/>
      <c r="S77" t="inlineStr">
        <is>
          <t>DY-SOC-0065_HOLDOUT_formal-attempt-0001_AI</t>
        </is>
      </c>
      <c r="T77" t="inlineStr">
        <is>
          <t>梅见反馈</t>
        </is>
      </c>
      <c r="U77" t="inlineStr">
        <is>
          <t>KEEP</t>
        </is>
      </c>
      <c r="V77" t="inlineStr">
        <is>
          <t>HOLDOUT</t>
        </is>
      </c>
      <c r="W77" t="inlineStr">
        <is>
          <t>可用</t>
        </is>
      </c>
      <c r="X77" t="inlineStr">
        <is>
          <t>品牌语料分析与洞察体系.xlsx#表1：原始语料库!77</t>
        </is>
      </c>
      <c r="Y77" t="inlineStr">
        <is>
          <t>FROZEN_419_V2</t>
        </is>
      </c>
    </row>
    <row r="78" ht="25.5" customHeight="1">
      <c r="A78" t="inlineStr">
        <is>
          <t>DY-SOC-0066</t>
        </is>
      </c>
      <c r="B78" t="inlineStr">
        <is>
          <t>梅见产品体验反馈</t>
        </is>
      </c>
      <c r="C78" t="inlineStr">
        <is>
          <t>PRJ001</t>
        </is>
      </c>
      <c r="D78" t="inlineStr">
        <is>
          <t>梅见</t>
        </is>
      </c>
      <c r="E78" t="inlineStr">
        <is>
          <t>尝尝我们山东的特产三鞭补酒</t>
        </is>
      </c>
      <c r="F78" t="inlineStr">
        <is>
          <t>喝酒一时爽喝完悔断肠｜2025-08-22｜抖音</t>
        </is>
      </c>
      <c r="G78" t="inlineStr">
        <is>
          <t>抖音</t>
        </is>
      </c>
      <c r="H78" s="2" t="str">
        <f>=HYPERLINK("https://www.douyin.com/video/7615205755860422373", "https://www.douyin.com/video/7615205755860422373")</f>
        <v>https://www.douyin.com/video/7615205755860422373</v>
      </c>
      <c r="I78" s="3">
        <v>45891</v>
      </c>
      <c r="J78" s="4">
        <v>46243</v>
      </c>
      <c r="K78" t="inlineStr">
        <is>
          <t>梅见上头</t>
        </is>
      </c>
      <c r="L78"/>
      <c r="M78" t="inlineStr">
        <is>
          <t>DY-U0114</t>
        </is>
      </c>
      <c r="N78" t="inlineStr">
        <is>
          <t>公开评论</t>
        </is>
      </c>
      <c r="O78"/>
      <c r="P78" t="inlineStr">
        <is>
          <t>点赞数未成功识别，暂置空，禁止随机补值；当前日期来自视频发布时间，评论发布时间未识别</t>
        </is>
      </c>
      <c r="Q78" t="inlineStr">
        <is>
          <t>目标品牌</t>
        </is>
      </c>
      <c r="R78"/>
      <c r="S78" t="inlineStr">
        <is>
          <t>DY-SOC-0066_CHALLENGE_POOL_formal-attempt-0001_AI</t>
        </is>
      </c>
      <c r="T78" t="inlineStr">
        <is>
          <t>梅见反馈</t>
        </is>
      </c>
      <c r="U78" t="inlineStr">
        <is>
          <t>KEEP</t>
        </is>
      </c>
      <c r="V78" t="inlineStr">
        <is>
          <t>CHALLENGE</t>
        </is>
      </c>
      <c r="W78" t="inlineStr">
        <is>
          <t>可用</t>
        </is>
      </c>
      <c r="X78" t="inlineStr">
        <is>
          <t>品牌语料分析与洞察体系.xlsx#表1：原始语料库!78</t>
        </is>
      </c>
      <c r="Y78" t="inlineStr">
        <is>
          <t>FROZEN_419_V2</t>
        </is>
      </c>
    </row>
    <row r="79" ht="25.5" customHeight="1">
      <c r="A79" t="inlineStr">
        <is>
          <t>DY-SOC-0067</t>
        </is>
      </c>
      <c r="B79" t="inlineStr">
        <is>
          <t>梅见产品体验反馈</t>
        </is>
      </c>
      <c r="C79" t="inlineStr">
        <is>
          <t>PRJ001</t>
        </is>
      </c>
      <c r="D79" t="inlineStr">
        <is>
          <t>梅见</t>
        </is>
      </c>
      <c r="E79" t="inlineStr">
        <is>
          <t>太会喝了我整瓶尝尝[舔屏]</t>
        </is>
      </c>
      <c r="F79" t="inlineStr">
        <is>
          <t>喝酒一时爽喝完悔断肠｜2025-08-22｜抖音</t>
        </is>
      </c>
      <c r="G79" t="inlineStr">
        <is>
          <t>抖音</t>
        </is>
      </c>
      <c r="H79" s="2" t="str">
        <f>=HYPERLINK("https://www.douyin.com/video/7615205755860422373", "https://www.douyin.com/video/7615205755860422373")</f>
        <v>https://www.douyin.com/video/7615205755860422373</v>
      </c>
      <c r="I79" s="3">
        <v>45891</v>
      </c>
      <c r="J79" s="4">
        <v>46243</v>
      </c>
      <c r="K79" t="inlineStr">
        <is>
          <t>梅见上头</t>
        </is>
      </c>
      <c r="L79"/>
      <c r="M79" t="inlineStr">
        <is>
          <t>DY-U0115</t>
        </is>
      </c>
      <c r="N79" t="inlineStr">
        <is>
          <t>公开评论</t>
        </is>
      </c>
      <c r="O79"/>
      <c r="P79" t="inlineStr">
        <is>
          <t>点赞数未成功识别，暂置空，禁止随机补值；当前日期来自视频发布时间，评论发布时间未识别</t>
        </is>
      </c>
      <c r="Q79" t="inlineStr">
        <is>
          <t>目标品牌</t>
        </is>
      </c>
      <c r="R79"/>
      <c r="S79" t="inlineStr">
        <is>
          <t>DY-SOC-0067_ANALYSIS_BASELINE_formal-attempt-0001_AI</t>
        </is>
      </c>
      <c r="T79" t="inlineStr">
        <is>
          <t>梅见反馈</t>
        </is>
      </c>
      <c r="U79" t="inlineStr">
        <is>
          <t>KEEP</t>
        </is>
      </c>
      <c r="V79" t="inlineStr">
        <is>
          <t>ANALYSIS_BASELINE</t>
        </is>
      </c>
      <c r="W79" t="inlineStr">
        <is>
          <t>可用</t>
        </is>
      </c>
      <c r="X79" t="inlineStr">
        <is>
          <t>品牌语料分析与洞察体系.xlsx#表1：原始语料库!79</t>
        </is>
      </c>
      <c r="Y79" t="inlineStr">
        <is>
          <t>FROZEN_419_V2</t>
        </is>
      </c>
    </row>
    <row r="80" ht="25.5" customHeight="1">
      <c r="A80" t="inlineStr">
        <is>
          <t>DY-SOC-0139</t>
        </is>
      </c>
      <c r="B80" t="inlineStr">
        <is>
          <t>梅见产品体验反馈</t>
        </is>
      </c>
      <c r="C80" t="inlineStr">
        <is>
          <t>PRJ001</t>
        </is>
      </c>
      <c r="D80" t="inlineStr">
        <is>
          <t>梅见</t>
        </is>
      </c>
      <c r="E80" t="inlineStr">
        <is>
          <t>不好喝我喝着一股白酒味[捂脸]</t>
        </is>
      </c>
      <c r="F80" t="inlineStr">
        <is>
          <t>喝酒一时爽喝完悔断肠｜2025-08-22｜抖音</t>
        </is>
      </c>
      <c r="G80" t="inlineStr">
        <is>
          <t>抖音</t>
        </is>
      </c>
      <c r="H80" s="2" t="str">
        <f>=HYPERLINK("https://www.douyin.com/video/7615205755860422373", "https://www.douyin.com/video/7615205755860422373")</f>
        <v>https://www.douyin.com/video/7615205755860422373</v>
      </c>
      <c r="I80" s="3">
        <v>45891</v>
      </c>
      <c r="J80" s="4">
        <v>46243</v>
      </c>
      <c r="K80" t="inlineStr">
        <is>
          <t>梅见上头</t>
        </is>
      </c>
      <c r="L80"/>
      <c r="M80" t="inlineStr">
        <is>
          <t>DY-U0116</t>
        </is>
      </c>
      <c r="N80" t="inlineStr">
        <is>
          <t>公开评论</t>
        </is>
      </c>
      <c r="O80"/>
      <c r="P80" t="inlineStr">
        <is>
          <t>点赞数未成功识别，暂置空，禁止随机补值；当前日期来自视频发布时间，评论发布时间未识别</t>
        </is>
      </c>
      <c r="Q80" t="inlineStr">
        <is>
          <t>目标品牌</t>
        </is>
      </c>
      <c r="R80"/>
      <c r="S80" t="inlineStr">
        <is>
          <t>DY-SOC-0139_ANALYSIS_BASELINE_formal-attempt-0001_AI</t>
        </is>
      </c>
      <c r="T80" t="inlineStr">
        <is>
          <t>梅见反馈</t>
        </is>
      </c>
      <c r="U80" t="inlineStr">
        <is>
          <t>KEEP</t>
        </is>
      </c>
      <c r="V80" t="inlineStr">
        <is>
          <t>ANALYSIS_BASELINE</t>
        </is>
      </c>
      <c r="W80" t="inlineStr">
        <is>
          <t>可用</t>
        </is>
      </c>
      <c r="X80" t="inlineStr">
        <is>
          <t>品牌语料分析与洞察体系.xlsx#表1：原始语料库!80</t>
        </is>
      </c>
      <c r="Y80" t="inlineStr">
        <is>
          <t>FROZEN_419_V2</t>
        </is>
      </c>
    </row>
    <row r="81" ht="25.5" customHeight="1">
      <c r="A81" t="inlineStr">
        <is>
          <t>DY-SOC-0141</t>
        </is>
      </c>
      <c r="B81" t="inlineStr">
        <is>
          <t>梅见产品体验反馈</t>
        </is>
      </c>
      <c r="C81" t="inlineStr">
        <is>
          <t>PRJ001</t>
        </is>
      </c>
      <c r="D81" t="inlineStr">
        <is>
          <t>梅见</t>
        </is>
      </c>
      <c r="E81" t="inlineStr">
        <is>
          <t>原来青梅要盐水浸泡去涩回家也要试试自制</t>
        </is>
      </c>
      <c r="F81" t="inlineStr">
        <is>
          <t>当一颗青梅从树上到杯里｜2025-02-04｜抖音</t>
        </is>
      </c>
      <c r="G81" t="inlineStr">
        <is>
          <t>抖音</t>
        </is>
      </c>
      <c r="H81" s="2" t="str">
        <f>=HYPERLINK("https://www.douyin.com/video/7631092113903553833", "https://www.douyin.com/video/7631092113903553833")</f>
        <v>https://www.douyin.com/video/7631092113903553833</v>
      </c>
      <c r="I81" s="3">
        <v>45692</v>
      </c>
      <c r="J81" s="4">
        <v>46243</v>
      </c>
      <c r="K81" t="inlineStr">
        <is>
          <t>梅见为什么火</t>
        </is>
      </c>
      <c r="L81"/>
      <c r="M81" t="inlineStr">
        <is>
          <t>DY-U0148</t>
        </is>
      </c>
      <c r="N81" t="inlineStr">
        <is>
          <t>公开评论</t>
        </is>
      </c>
      <c r="O81"/>
      <c r="P81" t="inlineStr">
        <is>
          <t>从EXCLUDE补回，内容有效且不重复</t>
        </is>
      </c>
      <c r="Q81" t="inlineStr">
        <is>
          <t>目标品牌</t>
        </is>
      </c>
      <c r="R81"/>
      <c r="S81"/>
      <c r="T81" t="inlineStr">
        <is>
          <t>梅见反馈</t>
        </is>
      </c>
      <c r="U81" t="inlineStr">
        <is>
          <t>KEEP</t>
        </is>
      </c>
      <c r="V81" t="inlineStr">
        <is>
          <t>HOLDOUT</t>
        </is>
      </c>
      <c r="W81" t="inlineStr">
        <is>
          <t>不可用</t>
        </is>
      </c>
      <c r="X81" t="inlineStr">
        <is>
          <t>原始母表#raw_id=DY-SOC-0141</t>
        </is>
      </c>
      <c r="Y81" t="inlineStr">
        <is>
          <t>FROZEN_419_V2</t>
        </is>
      </c>
    </row>
    <row r="82" ht="25.5" customHeight="1">
      <c r="A82" t="inlineStr">
        <is>
          <t>DY-SOC-0142</t>
        </is>
      </c>
      <c r="B82" t="inlineStr">
        <is>
          <t>梅见产品体验反馈</t>
        </is>
      </c>
      <c r="C82" t="inlineStr">
        <is>
          <t>PRJ001</t>
        </is>
      </c>
      <c r="D82" t="inlineStr">
        <is>
          <t>梅见</t>
        </is>
      </c>
      <c r="E82" t="inlineStr">
        <is>
          <t>人人都是生活艺术家</t>
        </is>
      </c>
      <c r="F82" t="inlineStr">
        <is>
          <t>当一颗青梅从树上到杯里｜2025-02-04｜抖音</t>
        </is>
      </c>
      <c r="G82" t="inlineStr">
        <is>
          <t>抖音</t>
        </is>
      </c>
      <c r="H82" s="2" t="str">
        <f>=HYPERLINK("https://www.douyin.com/video/7631092113903553833", "https://www.douyin.com/video/7631092113903553833")</f>
        <v>https://www.douyin.com/video/7631092113903553833</v>
      </c>
      <c r="I82" s="3">
        <v>45692</v>
      </c>
      <c r="J82" s="4">
        <v>46243</v>
      </c>
      <c r="K82" t="inlineStr">
        <is>
          <t>梅见为什么火</t>
        </is>
      </c>
      <c r="L82"/>
      <c r="M82" t="inlineStr">
        <is>
          <t>DY-U0150</t>
        </is>
      </c>
      <c r="N82" t="inlineStr">
        <is>
          <t>公开评论</t>
        </is>
      </c>
      <c r="O82"/>
      <c r="P82" t="inlineStr">
        <is>
          <t>点赞数未成功识别，暂置空，禁止随机补值；当前日期来自视频发布时间，评论发布时间未识别</t>
        </is>
      </c>
      <c r="Q82" t="inlineStr">
        <is>
          <t>目标品牌</t>
        </is>
      </c>
      <c r="R82"/>
      <c r="S82"/>
      <c r="T82" t="inlineStr">
        <is>
          <t>梅见反馈</t>
        </is>
      </c>
      <c r="U82" t="inlineStr">
        <is>
          <t>EXCLUDE</t>
        </is>
      </c>
      <c r="V82" t="inlineStr">
        <is>
          <t>EXCLUDE</t>
        </is>
      </c>
      <c r="W82" t="inlineStr">
        <is>
          <t>不可用</t>
        </is>
      </c>
      <c r="X82" t="inlineStr">
        <is>
          <t>原始母表#raw_id=DY-SOC-0142</t>
        </is>
      </c>
      <c r="Y82" t="inlineStr">
        <is>
          <t>FROZEN_419_V2</t>
        </is>
      </c>
    </row>
    <row r="83" ht="25.5" customHeight="1">
      <c r="A83" t="inlineStr">
        <is>
          <t>DY-SOC-0146</t>
        </is>
      </c>
      <c r="B83" t="inlineStr">
        <is>
          <t>梅见产品体验反馈</t>
        </is>
      </c>
      <c r="C83" t="inlineStr">
        <is>
          <t>PRJ001</t>
        </is>
      </c>
      <c r="D83" t="inlineStr">
        <is>
          <t>梅见</t>
        </is>
      </c>
      <c r="E83" t="inlineStr">
        <is>
          <t>那5000个陶坛的酒库也太壮观了</t>
        </is>
      </c>
      <c r="F83" t="inlineStr">
        <is>
          <t>当一颗青梅从树上到杯里｜2025-02-04｜抖音</t>
        </is>
      </c>
      <c r="G83" t="inlineStr">
        <is>
          <t>抖音</t>
        </is>
      </c>
      <c r="H83" s="2" t="str">
        <f>=HYPERLINK("https://www.douyin.com/video/7631092113903553833", "https://www.douyin.com/video/7631092113903553833")</f>
        <v>https://www.douyin.com/video/7631092113903553833</v>
      </c>
      <c r="I83" s="3">
        <v>45692</v>
      </c>
      <c r="J83" s="4">
        <v>46243</v>
      </c>
      <c r="K83" t="inlineStr">
        <is>
          <t>梅见为什么火</t>
        </is>
      </c>
      <c r="L83"/>
      <c r="M83" t="inlineStr">
        <is>
          <t>DY-U0156</t>
        </is>
      </c>
      <c r="N83" t="inlineStr">
        <is>
          <t>公开评论</t>
        </is>
      </c>
      <c r="O83"/>
      <c r="P83" t="inlineStr">
        <is>
          <t>点赞数未成功识别，暂置空，禁止随机补值；当前日期来自视频发布时间，评论发布时间未识别</t>
        </is>
      </c>
      <c r="Q83" t="inlineStr">
        <is>
          <t>目标品牌</t>
        </is>
      </c>
      <c r="R83"/>
      <c r="S83" t="inlineStr">
        <is>
          <t>DY-SOC-0146_ANALYSIS_BASELINE_formal-attempt-0001_AI</t>
        </is>
      </c>
      <c r="T83" t="inlineStr">
        <is>
          <t>梅见反馈</t>
        </is>
      </c>
      <c r="U83" t="inlineStr">
        <is>
          <t>KEEP</t>
        </is>
      </c>
      <c r="V83" t="inlineStr">
        <is>
          <t>ANALYSIS_BASELINE</t>
        </is>
      </c>
      <c r="W83" t="inlineStr">
        <is>
          <t>可用</t>
        </is>
      </c>
      <c r="X83" t="inlineStr">
        <is>
          <t>品牌语料分析与洞察体系.xlsx#表1：原始语料库!83</t>
        </is>
      </c>
      <c r="Y83" t="inlineStr">
        <is>
          <t>FROZEN_419_V2</t>
        </is>
      </c>
    </row>
    <row r="84" ht="25.5" customHeight="1">
      <c r="A84" t="inlineStr">
        <is>
          <t>DY-SOC-0147</t>
        </is>
      </c>
      <c r="B84" t="inlineStr">
        <is>
          <t>梅见产品体验反馈</t>
        </is>
      </c>
      <c r="C84" t="inlineStr">
        <is>
          <t>PRJ001</t>
        </is>
      </c>
      <c r="D84" t="inlineStr">
        <is>
          <t>梅见</t>
        </is>
      </c>
      <c r="E84" t="inlineStr">
        <is>
          <t>两个女孩闹掰的原因竟然是怀疑自己其实在对方的心里没那么重要</t>
        </is>
      </c>
      <c r="F84" t="inlineStr">
        <is>
          <t>闺蜜友情故事｜2025-04-24｜抖音</t>
        </is>
      </c>
      <c r="G84" t="inlineStr">
        <is>
          <t>抖音</t>
        </is>
      </c>
      <c r="H84" s="2" t="str">
        <f>=HYPERLINK("https://www.douyin.com/video/7631955535173445747", "https://www.douyin.com/video/7631955535173445747")</f>
        <v>https://www.douyin.com/video/7631955535173445747</v>
      </c>
      <c r="I84" s="3">
        <v>45771</v>
      </c>
      <c r="J84" s="4">
        <v>46243</v>
      </c>
      <c r="K84" t="inlineStr">
        <is>
          <t>梅见女生酒</t>
        </is>
      </c>
      <c r="L84"/>
      <c r="M84" t="inlineStr">
        <is>
          <t>DY-U0160</t>
        </is>
      </c>
      <c r="N84" t="inlineStr">
        <is>
          <t>公开评论</t>
        </is>
      </c>
      <c r="O84"/>
      <c r="P84" t="inlineStr">
        <is>
          <t>点赞数未成功识别，暂置空，禁止随机补值；当前日期来自视频发布时间，评论发布时间未识别</t>
        </is>
      </c>
      <c r="Q84" t="inlineStr">
        <is>
          <t>目标品牌</t>
        </is>
      </c>
      <c r="R84"/>
      <c r="S84"/>
      <c r="T84" t="inlineStr">
        <is>
          <t>梅见反馈</t>
        </is>
      </c>
      <c r="U84" t="inlineStr">
        <is>
          <t>EXCLUDE</t>
        </is>
      </c>
      <c r="V84" t="inlineStr">
        <is>
          <t>EXCLUDE</t>
        </is>
      </c>
      <c r="W84" t="inlineStr">
        <is>
          <t>不可用</t>
        </is>
      </c>
      <c r="X84" t="inlineStr">
        <is>
          <t>原始母表#raw_id=DY-SOC-0147</t>
        </is>
      </c>
      <c r="Y84" t="inlineStr">
        <is>
          <t>FROZEN_419_V2</t>
        </is>
      </c>
    </row>
    <row r="85" ht="25.5" customHeight="1">
      <c r="A85" t="inlineStr">
        <is>
          <t>DY-SOC-0148</t>
        </is>
      </c>
      <c r="B85" t="inlineStr">
        <is>
          <t>梅见产品体验反馈</t>
        </is>
      </c>
      <c r="C85" t="inlineStr">
        <is>
          <t>PRJ001</t>
        </is>
      </c>
      <c r="D85" t="inlineStr">
        <is>
          <t>梅见</t>
        </is>
      </c>
      <c r="E85" t="inlineStr">
        <is>
          <t>刚刚扣一快得雷霆</t>
        </is>
      </c>
      <c r="F85" t="inlineStr">
        <is>
          <t>闺蜜友情故事｜2025-04-24｜抖音</t>
        </is>
      </c>
      <c r="G85" t="inlineStr">
        <is>
          <t>抖音</t>
        </is>
      </c>
      <c r="H85" s="2" t="str">
        <f>=HYPERLINK("https://www.douyin.com/video/7631955535173445747", "https://www.douyin.com/video/7631955535173445747")</f>
        <v>https://www.douyin.com/video/7631955535173445747</v>
      </c>
      <c r="I85" s="3">
        <v>45771</v>
      </c>
      <c r="J85" s="4">
        <v>46243</v>
      </c>
      <c r="K85" t="inlineStr">
        <is>
          <t>梅见女生酒</t>
        </is>
      </c>
      <c r="L85"/>
      <c r="M85" t="inlineStr">
        <is>
          <t>DY-U0161</t>
        </is>
      </c>
      <c r="N85" t="inlineStr">
        <is>
          <t>公开评论</t>
        </is>
      </c>
      <c r="O85"/>
      <c r="P85" t="inlineStr">
        <is>
          <t>点赞数未成功识别，暂置空，禁止随机补值；当前日期来自视频发布时间，评论发布时间未识别</t>
        </is>
      </c>
      <c r="Q85" t="inlineStr">
        <is>
          <t>目标品牌</t>
        </is>
      </c>
      <c r="R85"/>
      <c r="S85"/>
      <c r="T85" t="inlineStr">
        <is>
          <t>梅见反馈</t>
        </is>
      </c>
      <c r="U85" t="inlineStr">
        <is>
          <t>EXCLUDE</t>
        </is>
      </c>
      <c r="V85" t="inlineStr">
        <is>
          <t>EXCLUDE</t>
        </is>
      </c>
      <c r="W85" t="inlineStr">
        <is>
          <t>不可用</t>
        </is>
      </c>
      <c r="X85" t="inlineStr">
        <is>
          <t>原始母表#raw_id=DY-SOC-0148</t>
        </is>
      </c>
      <c r="Y85" t="inlineStr">
        <is>
          <t>FROZEN_419_V2</t>
        </is>
      </c>
    </row>
    <row r="86" ht="25.5" customHeight="1">
      <c r="A86" t="inlineStr">
        <is>
          <t>DY-SOC-0149</t>
        </is>
      </c>
      <c r="B86" t="inlineStr">
        <is>
          <t>梅见产品体验反馈</t>
        </is>
      </c>
      <c r="C86" t="inlineStr">
        <is>
          <t>PRJ001</t>
        </is>
      </c>
      <c r="D86" t="inlineStr">
        <is>
          <t>梅见</t>
        </is>
      </c>
      <c r="E86" t="inlineStr">
        <is>
          <t>女生的友谊真的很莫名其妙看到她跟别人玩就不高兴</t>
        </is>
      </c>
      <c r="F86" t="inlineStr">
        <is>
          <t>闺蜜友情故事｜2025-04-24｜抖音</t>
        </is>
      </c>
      <c r="G86" t="inlineStr">
        <is>
          <t>抖音</t>
        </is>
      </c>
      <c r="H86" s="2" t="str">
        <f>=HYPERLINK("https://www.douyin.com/video/7631955535173445747", "https://www.douyin.com/video/7631955535173445747")</f>
        <v>https://www.douyin.com/video/7631955535173445747</v>
      </c>
      <c r="I86" s="3">
        <v>45771</v>
      </c>
      <c r="J86" s="4">
        <v>46243</v>
      </c>
      <c r="K86" t="inlineStr">
        <is>
          <t>梅见女生酒</t>
        </is>
      </c>
      <c r="L86"/>
      <c r="M86" t="inlineStr">
        <is>
          <t>DY-U0162</t>
        </is>
      </c>
      <c r="N86" t="inlineStr">
        <is>
          <t>公开评论</t>
        </is>
      </c>
      <c r="O86"/>
      <c r="P86" t="inlineStr">
        <is>
          <t>点赞数未成功识别，暂置空，禁止随机补值；当前日期来自视频发布时间，评论发布时间未识别</t>
        </is>
      </c>
      <c r="Q86" t="inlineStr">
        <is>
          <t>目标品牌</t>
        </is>
      </c>
      <c r="R86"/>
      <c r="S86"/>
      <c r="T86" t="inlineStr">
        <is>
          <t>梅见反馈</t>
        </is>
      </c>
      <c r="U86" t="inlineStr">
        <is>
          <t>EXCLUDE</t>
        </is>
      </c>
      <c r="V86" t="inlineStr">
        <is>
          <t>EXCLUDE</t>
        </is>
      </c>
      <c r="W86" t="inlineStr">
        <is>
          <t>不可用</t>
        </is>
      </c>
      <c r="X86" t="inlineStr">
        <is>
          <t>原始母表#raw_id=DY-SOC-0149</t>
        </is>
      </c>
      <c r="Y86" t="inlineStr">
        <is>
          <t>FROZEN_419_V2</t>
        </is>
      </c>
    </row>
    <row r="87" ht="25.5" customHeight="1">
      <c r="A87" t="inlineStr">
        <is>
          <t>DY-SOC-0150</t>
        </is>
      </c>
      <c r="B87" t="inlineStr">
        <is>
          <t>梅见产品体验反馈</t>
        </is>
      </c>
      <c r="C87" t="inlineStr">
        <is>
          <t>PRJ001</t>
        </is>
      </c>
      <c r="D87" t="inlineStr">
        <is>
          <t>梅见</t>
        </is>
      </c>
      <c r="E87" t="inlineStr">
        <is>
          <t>长大后好像各自都在忙各自的事情各自都有各自新的圈子就慢慢走散了</t>
        </is>
      </c>
      <c r="F87" t="inlineStr">
        <is>
          <t>闺蜜友情故事｜2025-04-24｜抖音</t>
        </is>
      </c>
      <c r="G87" t="inlineStr">
        <is>
          <t>抖音</t>
        </is>
      </c>
      <c r="H87" s="2" t="str">
        <f>=HYPERLINK("https://www.douyin.com/video/7631955535173445747", "https://www.douyin.com/video/7631955535173445747")</f>
        <v>https://www.douyin.com/video/7631955535173445747</v>
      </c>
      <c r="I87" s="3">
        <v>45771</v>
      </c>
      <c r="J87" s="4">
        <v>46243</v>
      </c>
      <c r="K87" t="inlineStr">
        <is>
          <t>梅见女生酒</t>
        </is>
      </c>
      <c r="L87"/>
      <c r="M87" t="inlineStr">
        <is>
          <t>DY-U0163</t>
        </is>
      </c>
      <c r="N87" t="inlineStr">
        <is>
          <t>公开评论</t>
        </is>
      </c>
      <c r="O87"/>
      <c r="P87" t="inlineStr">
        <is>
          <t>点赞数未成功识别，暂置空，禁止随机补值；当前日期来自视频发布时间，评论发布时间未识别</t>
        </is>
      </c>
      <c r="Q87" t="inlineStr">
        <is>
          <t>目标品牌</t>
        </is>
      </c>
      <c r="R87"/>
      <c r="S87"/>
      <c r="T87" t="inlineStr">
        <is>
          <t>梅见反馈</t>
        </is>
      </c>
      <c r="U87" t="inlineStr">
        <is>
          <t>EXCLUDE</t>
        </is>
      </c>
      <c r="V87" t="inlineStr">
        <is>
          <t>EXCLUDE</t>
        </is>
      </c>
      <c r="W87" t="inlineStr">
        <is>
          <t>不可用</t>
        </is>
      </c>
      <c r="X87" t="inlineStr">
        <is>
          <t>原始母表#raw_id=DY-SOC-0150</t>
        </is>
      </c>
      <c r="Y87" t="inlineStr">
        <is>
          <t>FROZEN_419_V2</t>
        </is>
      </c>
    </row>
    <row r="88" ht="25.5" customHeight="1">
      <c r="A88" t="inlineStr">
        <is>
          <t>DY-SOC-0151</t>
        </is>
      </c>
      <c r="B88" t="inlineStr">
        <is>
          <t>梅见产品体验反馈</t>
        </is>
      </c>
      <c r="C88" t="inlineStr">
        <is>
          <t>PRJ001</t>
        </is>
      </c>
      <c r="D88" t="inlineStr">
        <is>
          <t>梅见</t>
        </is>
      </c>
      <c r="E88" t="inlineStr">
        <is>
          <t>友情感觉就像我以爱人的标准挑选自己的亲人</t>
        </is>
      </c>
      <c r="F88" t="inlineStr">
        <is>
          <t>闺蜜友情故事｜2025-04-24｜抖音</t>
        </is>
      </c>
      <c r="G88" t="inlineStr">
        <is>
          <t>抖音</t>
        </is>
      </c>
      <c r="H88" s="2" t="str">
        <f>=HYPERLINK("https://www.douyin.com/video/7631955535173445747", "https://www.douyin.com/video/7631955535173445747")</f>
        <v>https://www.douyin.com/video/7631955535173445747</v>
      </c>
      <c r="I88" s="3">
        <v>45771</v>
      </c>
      <c r="J88" s="4">
        <v>46243</v>
      </c>
      <c r="K88" t="inlineStr">
        <is>
          <t>梅见女生酒</t>
        </is>
      </c>
      <c r="L88"/>
      <c r="M88" t="inlineStr">
        <is>
          <t>DY-U0164</t>
        </is>
      </c>
      <c r="N88" t="inlineStr">
        <is>
          <t>公开评论</t>
        </is>
      </c>
      <c r="O88"/>
      <c r="P88" t="inlineStr">
        <is>
          <t>点赞数未成功识别，暂置空，禁止随机补值；当前日期来自视频发布时间，评论发布时间未识别</t>
        </is>
      </c>
      <c r="Q88" t="inlineStr">
        <is>
          <t>目标品牌</t>
        </is>
      </c>
      <c r="R88"/>
      <c r="S88"/>
      <c r="T88" t="inlineStr">
        <is>
          <t>梅见反馈</t>
        </is>
      </c>
      <c r="U88" t="inlineStr">
        <is>
          <t>EXCLUDE</t>
        </is>
      </c>
      <c r="V88" t="inlineStr">
        <is>
          <t>EXCLUDE</t>
        </is>
      </c>
      <c r="W88" t="inlineStr">
        <is>
          <t>不可用</t>
        </is>
      </c>
      <c r="X88" t="inlineStr">
        <is>
          <t>原始母表#raw_id=DY-SOC-0151</t>
        </is>
      </c>
      <c r="Y88" t="inlineStr">
        <is>
          <t>FROZEN_419_V2</t>
        </is>
      </c>
    </row>
    <row r="89" ht="25.5" customHeight="1">
      <c r="A89" t="inlineStr">
        <is>
          <t>DY-SOC-0152</t>
        </is>
      </c>
      <c r="B89" t="inlineStr">
        <is>
          <t>梅见产品体验反馈</t>
        </is>
      </c>
      <c r="C89" t="inlineStr">
        <is>
          <t>PRJ001</t>
        </is>
      </c>
      <c r="D89" t="inlineStr">
        <is>
          <t>梅见</t>
        </is>
      </c>
      <c r="E89" t="inlineStr">
        <is>
          <t>所以友谊这条路到底有没有尽头呢</t>
        </is>
      </c>
      <c r="F89" t="inlineStr">
        <is>
          <t>闺蜜友情故事｜2025-04-24｜抖音</t>
        </is>
      </c>
      <c r="G89" t="inlineStr">
        <is>
          <t>抖音</t>
        </is>
      </c>
      <c r="H89" s="2" t="str">
        <f>=HYPERLINK("https://www.douyin.com/video/7631955535173445747", "https://www.douyin.com/video/7631955535173445747")</f>
        <v>https://www.douyin.com/video/7631955535173445747</v>
      </c>
      <c r="I89" s="3">
        <v>45771</v>
      </c>
      <c r="J89" s="4">
        <v>46243</v>
      </c>
      <c r="K89" t="inlineStr">
        <is>
          <t>梅见女生酒</t>
        </is>
      </c>
      <c r="L89"/>
      <c r="M89" t="inlineStr">
        <is>
          <t>DY-U0165</t>
        </is>
      </c>
      <c r="N89" t="inlineStr">
        <is>
          <t>公开评论</t>
        </is>
      </c>
      <c r="O89"/>
      <c r="P89" t="inlineStr">
        <is>
          <t>点赞数未成功识别，暂置空，禁止随机补值；当前日期来自视频发布时间，评论发布时间未识别</t>
        </is>
      </c>
      <c r="Q89" t="inlineStr">
        <is>
          <t>目标品牌</t>
        </is>
      </c>
      <c r="R89"/>
      <c r="S89"/>
      <c r="T89" t="inlineStr">
        <is>
          <t>梅见反馈</t>
        </is>
      </c>
      <c r="U89" t="inlineStr">
        <is>
          <t>EXCLUDE</t>
        </is>
      </c>
      <c r="V89" t="inlineStr">
        <is>
          <t>EXCLUDE</t>
        </is>
      </c>
      <c r="W89" t="inlineStr">
        <is>
          <t>不可用</t>
        </is>
      </c>
      <c r="X89" t="inlineStr">
        <is>
          <t>原始母表#raw_id=DY-SOC-0152</t>
        </is>
      </c>
      <c r="Y89" t="inlineStr">
        <is>
          <t>FROZEN_419_V2</t>
        </is>
      </c>
    </row>
    <row r="90" ht="25.5" customHeight="1">
      <c r="A90" t="inlineStr">
        <is>
          <t>DY-SOC-0153</t>
        </is>
      </c>
      <c r="B90" t="inlineStr">
        <is>
          <t>梅见产品体验反馈</t>
        </is>
      </c>
      <c r="C90" t="inlineStr">
        <is>
          <t>PRJ001</t>
        </is>
      </c>
      <c r="D90" t="inlineStr">
        <is>
          <t>梅见</t>
        </is>
      </c>
      <c r="E90" t="inlineStr">
        <is>
          <t>侧脸像一个韩国明星像谁来着那人叫啥来着</t>
        </is>
      </c>
      <c r="F90" t="inlineStr">
        <is>
          <t>晚上独饮的时候｜2025-07-25｜抖音</t>
        </is>
      </c>
      <c r="G90" t="inlineStr">
        <is>
          <t>抖音</t>
        </is>
      </c>
      <c r="H90" s="2" t="str">
        <f>=HYPERLINK("https://www.douyin.com/video/7669008237697792110", "https://www.douyin.com/video/7669008237697792110")</f>
        <v>https://www.douyin.com/video/7669008237697792110</v>
      </c>
      <c r="I90" s="3">
        <v>45863</v>
      </c>
      <c r="J90" s="4">
        <v>46243</v>
      </c>
      <c r="K90" t="inlineStr">
        <is>
          <t>梅见独饮①</t>
        </is>
      </c>
      <c r="L90"/>
      <c r="M90" t="inlineStr">
        <is>
          <t>DY-U0169</t>
        </is>
      </c>
      <c r="N90" t="inlineStr">
        <is>
          <t>公开评论</t>
        </is>
      </c>
      <c r="O90"/>
      <c r="P90" t="inlineStr">
        <is>
          <t>点赞数未成功识别，暂置空，禁止随机补值；当前日期来自视频发布时间，评论发布时间未识别</t>
        </is>
      </c>
      <c r="Q90" t="inlineStr">
        <is>
          <t>目标品牌</t>
        </is>
      </c>
      <c r="R90"/>
      <c r="S90"/>
      <c r="T90" t="inlineStr">
        <is>
          <t>梅见反馈</t>
        </is>
      </c>
      <c r="U90" t="inlineStr">
        <is>
          <t>EXCLUDE</t>
        </is>
      </c>
      <c r="V90" t="inlineStr">
        <is>
          <t>EXCLUDE</t>
        </is>
      </c>
      <c r="W90" t="inlineStr">
        <is>
          <t>不可用</t>
        </is>
      </c>
      <c r="X90" t="inlineStr">
        <is>
          <t>原始母表#raw_id=DY-SOC-0153</t>
        </is>
      </c>
      <c r="Y90" t="inlineStr">
        <is>
          <t>FROZEN_419_V2</t>
        </is>
      </c>
    </row>
    <row r="91" ht="25.5" customHeight="1">
      <c r="A91" t="inlineStr">
        <is>
          <t>DY-SOC-0154</t>
        </is>
      </c>
      <c r="B91" t="inlineStr">
        <is>
          <t>梅见产品体验反馈</t>
        </is>
      </c>
      <c r="C91" t="inlineStr">
        <is>
          <t>PRJ001</t>
        </is>
      </c>
      <c r="D91" t="inlineStr">
        <is>
          <t>梅见</t>
        </is>
      </c>
      <c r="E91" t="inlineStr">
        <is>
          <t>那个那个受不了[捂脸]</t>
        </is>
      </c>
      <c r="F91" t="inlineStr">
        <is>
          <t>晚上独饮的时候｜2025-07-25｜抖音</t>
        </is>
      </c>
      <c r="G91" t="inlineStr">
        <is>
          <t>抖音</t>
        </is>
      </c>
      <c r="H91" s="2" t="str">
        <f>=HYPERLINK("https://www.douyin.com/video/7669008237697792110", "https://www.douyin.com/video/7669008237697792110")</f>
        <v>https://www.douyin.com/video/7669008237697792110</v>
      </c>
      <c r="I91" s="3">
        <v>45863</v>
      </c>
      <c r="J91" s="4">
        <v>46243</v>
      </c>
      <c r="K91" t="inlineStr">
        <is>
          <t>梅见独饮①</t>
        </is>
      </c>
      <c r="L91"/>
      <c r="M91" t="inlineStr">
        <is>
          <t>DY-U0173</t>
        </is>
      </c>
      <c r="N91" t="inlineStr">
        <is>
          <t>公开评论</t>
        </is>
      </c>
      <c r="O91"/>
      <c r="P91" t="inlineStr">
        <is>
          <t>点赞数未成功识别，暂置空，禁止随机补值；当前日期来自视频发布时间，评论发布时间未识别</t>
        </is>
      </c>
      <c r="Q91" t="inlineStr">
        <is>
          <t>目标品牌</t>
        </is>
      </c>
      <c r="R91"/>
      <c r="S91"/>
      <c r="T91" t="inlineStr">
        <is>
          <t>梅见反馈</t>
        </is>
      </c>
      <c r="U91" t="inlineStr">
        <is>
          <t>EXCLUDE</t>
        </is>
      </c>
      <c r="V91" t="inlineStr">
        <is>
          <t>EXCLUDE</t>
        </is>
      </c>
      <c r="W91" t="inlineStr">
        <is>
          <t>不可用</t>
        </is>
      </c>
      <c r="X91" t="inlineStr">
        <is>
          <t>原始母表#raw_id=DY-SOC-0154</t>
        </is>
      </c>
      <c r="Y91" t="inlineStr">
        <is>
          <t>FROZEN_419_V2</t>
        </is>
      </c>
    </row>
    <row r="92" ht="25.5" customHeight="1">
      <c r="A92" t="inlineStr">
        <is>
          <t>DY-SOC-0155</t>
        </is>
      </c>
      <c r="B92" t="inlineStr">
        <is>
          <t>梅见产品体验反馈</t>
        </is>
      </c>
      <c r="C92" t="inlineStr">
        <is>
          <t>PRJ001</t>
        </is>
      </c>
      <c r="D92" t="inlineStr">
        <is>
          <t>梅见</t>
        </is>
      </c>
      <c r="E92" t="inlineStr">
        <is>
          <t>你需要的是一个懂你的而不是跟你说这个不行那个不行的</t>
        </is>
      </c>
      <c r="F92" t="inlineStr">
        <is>
          <t>晚上独饮的时候｜2025-07-25｜抖音</t>
        </is>
      </c>
      <c r="G92" t="inlineStr">
        <is>
          <t>抖音</t>
        </is>
      </c>
      <c r="H92" s="2" t="str">
        <f>=HYPERLINK("https://www.douyin.com/video/7669008237697792110", "https://www.douyin.com/video/7669008237697792110")</f>
        <v>https://www.douyin.com/video/7669008237697792110</v>
      </c>
      <c r="I92" s="3">
        <v>45863</v>
      </c>
      <c r="J92" s="4">
        <v>46243</v>
      </c>
      <c r="K92" t="inlineStr">
        <is>
          <t>梅见独饮①</t>
        </is>
      </c>
      <c r="L92"/>
      <c r="M92" t="inlineStr">
        <is>
          <t>DY-U0176</t>
        </is>
      </c>
      <c r="N92" t="inlineStr">
        <is>
          <t>公开评论</t>
        </is>
      </c>
      <c r="O92"/>
      <c r="P92" t="inlineStr">
        <is>
          <t>点赞数未成功识别，暂置空，禁止随机补值</t>
        </is>
      </c>
      <c r="Q92" t="inlineStr">
        <is>
          <t>目标品牌</t>
        </is>
      </c>
      <c r="R92"/>
      <c r="S92"/>
      <c r="T92" t="inlineStr">
        <is>
          <t>梅见反馈</t>
        </is>
      </c>
      <c r="U92" t="inlineStr">
        <is>
          <t>EXCLUDE</t>
        </is>
      </c>
      <c r="V92" t="inlineStr">
        <is>
          <t>EXCLUDE</t>
        </is>
      </c>
      <c r="W92" t="inlineStr">
        <is>
          <t>不可用</t>
        </is>
      </c>
      <c r="X92" t="inlineStr">
        <is>
          <t>原始母表#raw_id=DY-SOC-0155</t>
        </is>
      </c>
      <c r="Y92" t="inlineStr">
        <is>
          <t>FROZEN_419_V2</t>
        </is>
      </c>
    </row>
    <row r="93" ht="25.5" customHeight="1">
      <c r="A93" t="inlineStr">
        <is>
          <t>DY-SOC-0156</t>
        </is>
      </c>
      <c r="B93" t="inlineStr">
        <is>
          <t>梅见产品体验反馈</t>
        </is>
      </c>
      <c r="C93" t="inlineStr">
        <is>
          <t>PRJ001</t>
        </is>
      </c>
      <c r="D93" t="inlineStr">
        <is>
          <t>梅见</t>
        </is>
      </c>
      <c r="E93" t="inlineStr">
        <is>
          <t>这是黑暗荣耀里的河道英</t>
        </is>
      </c>
      <c r="F93" t="inlineStr">
        <is>
          <t>晚上独饮的时候｜2025-07-25｜抖音</t>
        </is>
      </c>
      <c r="G93" t="inlineStr">
        <is>
          <t>抖音</t>
        </is>
      </c>
      <c r="H93" s="2" t="str">
        <f>=HYPERLINK("https://www.douyin.com/video/7669008237697792110", "https://www.douyin.com/video/7669008237697792110")</f>
        <v>https://www.douyin.com/video/7669008237697792110</v>
      </c>
      <c r="I93" s="3">
        <v>45863</v>
      </c>
      <c r="J93" s="4">
        <v>46243</v>
      </c>
      <c r="K93" t="inlineStr">
        <is>
          <t>梅见独饮①</t>
        </is>
      </c>
      <c r="L93"/>
      <c r="M93" t="inlineStr">
        <is>
          <t>DY-U0177</t>
        </is>
      </c>
      <c r="N93" t="inlineStr">
        <is>
          <t>公开评论</t>
        </is>
      </c>
      <c r="O93"/>
      <c r="P93" t="inlineStr">
        <is>
          <t>点赞数未成功识别，暂置空，禁止随机补值；当前日期来自视频发布时间，评论发布时间未识别</t>
        </is>
      </c>
      <c r="Q93" t="inlineStr">
        <is>
          <t>目标品牌</t>
        </is>
      </c>
      <c r="R93"/>
      <c r="S93"/>
      <c r="T93" t="inlineStr">
        <is>
          <t>梅见反馈</t>
        </is>
      </c>
      <c r="U93" t="inlineStr">
        <is>
          <t>EXCLUDE</t>
        </is>
      </c>
      <c r="V93" t="inlineStr">
        <is>
          <t>EXCLUDE</t>
        </is>
      </c>
      <c r="W93" t="inlineStr">
        <is>
          <t>不可用</t>
        </is>
      </c>
      <c r="X93" t="inlineStr">
        <is>
          <t>原始母表#raw_id=DY-SOC-0156</t>
        </is>
      </c>
      <c r="Y93" t="inlineStr">
        <is>
          <t>FROZEN_419_V2</t>
        </is>
      </c>
    </row>
    <row r="94" ht="25.5" customHeight="1">
      <c r="A94" t="inlineStr">
        <is>
          <t>DY-SOC-0157</t>
        </is>
      </c>
      <c r="B94" t="inlineStr">
        <is>
          <t>梅见产品体验反馈</t>
        </is>
      </c>
      <c r="C94" t="inlineStr">
        <is>
          <t>PRJ001</t>
        </is>
      </c>
      <c r="D94" t="inlineStr">
        <is>
          <t>梅见</t>
        </is>
      </c>
      <c r="E94" t="inlineStr">
        <is>
          <t>杯子好看酒的颜色也诱人</t>
        </is>
      </c>
      <c r="F94" t="inlineStr">
        <is>
          <t>下班微醺这一刻太惬意｜2025-08-02｜抖音</t>
        </is>
      </c>
      <c r="G94" t="inlineStr">
        <is>
          <t>抖音</t>
        </is>
      </c>
      <c r="H94" s="2" t="str">
        <f>=HYPERLINK("https://www.douyin.com/video/7641146960553096778", "https://www.douyin.com/video/7641146960553096778")</f>
        <v>https://www.douyin.com/video/7641146960553096778</v>
      </c>
      <c r="I94" s="3">
        <v>45871</v>
      </c>
      <c r="J94" s="4">
        <v>46243</v>
      </c>
      <c r="K94" t="inlineStr">
        <is>
          <t>梅见独饮②</t>
        </is>
      </c>
      <c r="L94"/>
      <c r="M94" t="inlineStr">
        <is>
          <t>DY-U0179</t>
        </is>
      </c>
      <c r="N94" t="inlineStr">
        <is>
          <t>公开评论</t>
        </is>
      </c>
      <c r="O94"/>
      <c r="P94" t="inlineStr">
        <is>
          <t>点赞数未成功识别，暂置空，禁止随机补值</t>
        </is>
      </c>
      <c r="Q94" t="inlineStr">
        <is>
          <t>目标品牌</t>
        </is>
      </c>
      <c r="R94"/>
      <c r="S94" t="inlineStr">
        <is>
          <t>DY-SOC-0157_ANALYSIS_BASELINE_formal-attempt-0001_AI</t>
        </is>
      </c>
      <c r="T94" t="inlineStr">
        <is>
          <t>梅见反馈</t>
        </is>
      </c>
      <c r="U94" t="inlineStr">
        <is>
          <t>KEEP</t>
        </is>
      </c>
      <c r="V94" t="inlineStr">
        <is>
          <t>ANALYSIS_BASELINE</t>
        </is>
      </c>
      <c r="W94" t="inlineStr">
        <is>
          <t>可用</t>
        </is>
      </c>
      <c r="X94" t="inlineStr">
        <is>
          <t>品牌语料分析与洞察体系.xlsx#表1：原始语料库!94</t>
        </is>
      </c>
      <c r="Y94" t="inlineStr">
        <is>
          <t>FROZEN_419_V2</t>
        </is>
      </c>
    </row>
    <row r="95" ht="25.5" customHeight="1">
      <c r="A95" t="inlineStr">
        <is>
          <t>DY-SOC-0158</t>
        </is>
      </c>
      <c r="B95" t="inlineStr">
        <is>
          <t>梅见产品体验反馈</t>
        </is>
      </c>
      <c r="C95" t="inlineStr">
        <is>
          <t>PRJ001</t>
        </is>
      </c>
      <c r="D95" t="inlineStr">
        <is>
          <t>梅见</t>
        </is>
      </c>
      <c r="E95" t="inlineStr">
        <is>
          <t>烟熏梅见好喝吗求真实口感</t>
        </is>
      </c>
      <c r="F95" t="inlineStr">
        <is>
          <t>下班微醺这一刻太惬意｜2025-08-02｜抖音</t>
        </is>
      </c>
      <c r="G95" t="inlineStr">
        <is>
          <t>抖音</t>
        </is>
      </c>
      <c r="H95" s="2" t="str">
        <f>=HYPERLINK("https://www.douyin.com/video/7641146960553096778", "https://www.douyin.com/video/7641146960553096778")</f>
        <v>https://www.douyin.com/video/7641146960553096778</v>
      </c>
      <c r="I95" s="3">
        <v>45871</v>
      </c>
      <c r="J95" s="4">
        <v>46243</v>
      </c>
      <c r="K95" t="inlineStr">
        <is>
          <t>梅见独饮②</t>
        </is>
      </c>
      <c r="L95"/>
      <c r="M95" t="inlineStr">
        <is>
          <t>DY-U0180</t>
        </is>
      </c>
      <c r="N95" t="inlineStr">
        <is>
          <t>公开评论</t>
        </is>
      </c>
      <c r="O95"/>
      <c r="P95" t="inlineStr">
        <is>
          <t>点赞数未成功识别，暂置空，禁止随机补值</t>
        </is>
      </c>
      <c r="Q95" t="inlineStr">
        <is>
          <t>目标品牌</t>
        </is>
      </c>
      <c r="R95"/>
      <c r="S95" t="inlineStr">
        <is>
          <t>DY-SOC-0158_ANALYSIS_BASELINE_formal-attempt-0001_AI</t>
        </is>
      </c>
      <c r="T95" t="inlineStr">
        <is>
          <t>梅见反馈</t>
        </is>
      </c>
      <c r="U95" t="inlineStr">
        <is>
          <t>KEEP</t>
        </is>
      </c>
      <c r="V95" t="inlineStr">
        <is>
          <t>ANALYSIS_BASELINE</t>
        </is>
      </c>
      <c r="W95" t="inlineStr">
        <is>
          <t>可用</t>
        </is>
      </c>
      <c r="X95" t="inlineStr">
        <is>
          <t>品牌语料分析与洞察体系.xlsx#表1：原始语料库!95</t>
        </is>
      </c>
      <c r="Y95" t="inlineStr">
        <is>
          <t>FROZEN_419_V2</t>
        </is>
      </c>
    </row>
    <row r="96" ht="25.5" customHeight="1">
      <c r="A96" t="inlineStr">
        <is>
          <t>DY-SOC-0159</t>
        </is>
      </c>
      <c r="B96" t="inlineStr">
        <is>
          <t>梅见产品体验反馈</t>
        </is>
      </c>
      <c r="C96" t="inlineStr">
        <is>
          <t>PRJ001</t>
        </is>
      </c>
      <c r="D96" t="inlineStr">
        <is>
          <t>梅见</t>
        </is>
      </c>
      <c r="E96" t="inlineStr">
        <is>
          <t>梅见新口味一定要试试</t>
        </is>
      </c>
      <c r="F96" t="inlineStr">
        <is>
          <t>下班微醺这一刻太惬意｜2025-08-02｜抖音</t>
        </is>
      </c>
      <c r="G96" t="inlineStr">
        <is>
          <t>抖音</t>
        </is>
      </c>
      <c r="H96" s="2" t="str">
        <f>=HYPERLINK("https://www.douyin.com/video/7641146960553096778", "https://www.douyin.com/video/7641146960553096778")</f>
        <v>https://www.douyin.com/video/7641146960553096778</v>
      </c>
      <c r="I96" s="3">
        <v>45871</v>
      </c>
      <c r="J96" s="4">
        <v>46243</v>
      </c>
      <c r="K96" t="inlineStr">
        <is>
          <t>梅见独饮②</t>
        </is>
      </c>
      <c r="L96"/>
      <c r="M96" t="inlineStr">
        <is>
          <t>DY-U0181</t>
        </is>
      </c>
      <c r="N96" t="inlineStr">
        <is>
          <t>公开评论</t>
        </is>
      </c>
      <c r="O96"/>
      <c r="P96" t="inlineStr">
        <is>
          <t>点赞数未成功识别，暂置空，禁止随机补值</t>
        </is>
      </c>
      <c r="Q96" t="inlineStr">
        <is>
          <t>目标品牌</t>
        </is>
      </c>
      <c r="R96"/>
      <c r="S96" t="inlineStr">
        <is>
          <t>DY-SOC-0159_ANALYSIS_BASELINE_formal-attempt-0001_AI</t>
        </is>
      </c>
      <c r="T96" t="inlineStr">
        <is>
          <t>梅见反馈</t>
        </is>
      </c>
      <c r="U96" t="inlineStr">
        <is>
          <t>KEEP</t>
        </is>
      </c>
      <c r="V96" t="inlineStr">
        <is>
          <t>ANALYSIS_BASELINE</t>
        </is>
      </c>
      <c r="W96" t="inlineStr">
        <is>
          <t>可用</t>
        </is>
      </c>
      <c r="X96" t="inlineStr">
        <is>
          <t>品牌语料分析与洞察体系.xlsx#表1：原始语料库!96</t>
        </is>
      </c>
      <c r="Y96" t="inlineStr">
        <is>
          <t>FROZEN_419_V2</t>
        </is>
      </c>
    </row>
    <row r="97" ht="25.5" customHeight="1">
      <c r="A97" t="inlineStr">
        <is>
          <t>DY-SOC-0160</t>
        </is>
      </c>
      <c r="B97" t="inlineStr">
        <is>
          <t>梅见产品体验反馈</t>
        </is>
      </c>
      <c r="C97" t="inlineStr">
        <is>
          <t>PRJ001</t>
        </is>
      </c>
      <c r="D97" t="inlineStr">
        <is>
          <t>梅见</t>
        </is>
      </c>
      <c r="E97" t="inlineStr">
        <is>
          <t>开头歌曲是什么歌名[流泪]</t>
        </is>
      </c>
      <c r="F97" t="inlineStr">
        <is>
          <t>好久不见我的朋友｜2025-04-28｜抖音</t>
        </is>
      </c>
      <c r="G97" t="inlineStr">
        <is>
          <t>抖音</t>
        </is>
      </c>
      <c r="H97" s="2" t="str">
        <f>=HYPERLINK("https://www.douyin.com/video/7633748408986009262", "https://www.douyin.com/video/7633748408986009262")</f>
        <v>https://www.douyin.com/video/7633748408986009262</v>
      </c>
      <c r="I97" s="3">
        <v>45775</v>
      </c>
      <c r="J97" s="4">
        <v>46243</v>
      </c>
      <c r="K97" t="inlineStr">
        <is>
          <t>梅见朋友聚会①</t>
        </is>
      </c>
      <c r="L97"/>
      <c r="M97" t="inlineStr">
        <is>
          <t>DY-U0187</t>
        </is>
      </c>
      <c r="N97" t="inlineStr">
        <is>
          <t>公开评论</t>
        </is>
      </c>
      <c r="O97"/>
      <c r="P97" t="inlineStr">
        <is>
          <t>点赞数未成功识别，暂置空，禁止随机补值；当前日期来自视频发布时间，评论发布时间未识别</t>
        </is>
      </c>
      <c r="Q97" t="inlineStr">
        <is>
          <t>目标品牌</t>
        </is>
      </c>
      <c r="R97"/>
      <c r="S97"/>
      <c r="T97" t="inlineStr">
        <is>
          <t>梅见反馈</t>
        </is>
      </c>
      <c r="U97" t="inlineStr">
        <is>
          <t>EXCLUDE</t>
        </is>
      </c>
      <c r="V97" t="inlineStr">
        <is>
          <t>EXCLUDE</t>
        </is>
      </c>
      <c r="W97" t="inlineStr">
        <is>
          <t>不可用</t>
        </is>
      </c>
      <c r="X97" t="inlineStr">
        <is>
          <t>原始母表#raw_id=DY-SOC-0160</t>
        </is>
      </c>
      <c r="Y97" t="inlineStr">
        <is>
          <t>FROZEN_419_V2</t>
        </is>
      </c>
    </row>
    <row r="98" ht="25.5" customHeight="1">
      <c r="A98" t="inlineStr">
        <is>
          <t>DY-SOC-0161</t>
        </is>
      </c>
      <c r="B98" t="inlineStr">
        <is>
          <t>梅见产品体验反馈</t>
        </is>
      </c>
      <c r="C98" t="inlineStr">
        <is>
          <t>PRJ001</t>
        </is>
      </c>
      <c r="D98" t="inlineStr">
        <is>
          <t>梅见</t>
        </is>
      </c>
      <c r="E98" t="inlineStr">
        <is>
          <t>每一个down的加班夜她都会期待下楼能看到你</t>
        </is>
      </c>
      <c r="F98" t="inlineStr">
        <is>
          <t>好久不见我的朋友｜2025-04-28｜抖音</t>
        </is>
      </c>
      <c r="G98" t="inlineStr">
        <is>
          <t>抖音</t>
        </is>
      </c>
      <c r="H98" s="2" t="str">
        <f>=HYPERLINK("https://www.douyin.com/video/7633748408986009262", "https://www.douyin.com/video/7633748408986009262")</f>
        <v>https://www.douyin.com/video/7633748408986009262</v>
      </c>
      <c r="I98" s="3">
        <v>45775</v>
      </c>
      <c r="J98" s="4">
        <v>46243</v>
      </c>
      <c r="K98" t="inlineStr">
        <is>
          <t>梅见朋友聚会①</t>
        </is>
      </c>
      <c r="L98"/>
      <c r="M98" t="inlineStr">
        <is>
          <t>DY-U0188</t>
        </is>
      </c>
      <c r="N98" t="inlineStr">
        <is>
          <t>公开评论</t>
        </is>
      </c>
      <c r="O98"/>
      <c r="P98" t="inlineStr">
        <is>
          <t>点赞数未成功识别，暂置空，禁止随机补值；当前日期来自视频发布时间，评论发布时间未识别</t>
        </is>
      </c>
      <c r="Q98" t="inlineStr">
        <is>
          <t>目标品牌</t>
        </is>
      </c>
      <c r="R98"/>
      <c r="S98"/>
      <c r="T98" t="inlineStr">
        <is>
          <t>梅见反馈</t>
        </is>
      </c>
      <c r="U98" t="inlineStr">
        <is>
          <t>EXCLUDE</t>
        </is>
      </c>
      <c r="V98" t="inlineStr">
        <is>
          <t>EXCLUDE</t>
        </is>
      </c>
      <c r="W98" t="inlineStr">
        <is>
          <t>不可用</t>
        </is>
      </c>
      <c r="X98" t="inlineStr">
        <is>
          <t>原始母表#raw_id=DY-SOC-0161</t>
        </is>
      </c>
      <c r="Y98" t="inlineStr">
        <is>
          <t>FROZEN_419_V2</t>
        </is>
      </c>
    </row>
    <row r="99" ht="25.5" customHeight="1">
      <c r="A99" t="inlineStr">
        <is>
          <t>DY-SOC-0162</t>
        </is>
      </c>
      <c r="B99" t="inlineStr">
        <is>
          <t>梅见产品体验反馈</t>
        </is>
      </c>
      <c r="C99" t="inlineStr">
        <is>
          <t>PRJ001</t>
        </is>
      </c>
      <c r="D99" t="inlineStr">
        <is>
          <t>梅见</t>
        </is>
      </c>
      <c r="E99" t="inlineStr">
        <is>
          <t>我也down能来找我不</t>
        </is>
      </c>
      <c r="F99" t="inlineStr">
        <is>
          <t>好久不见我的朋友｜2025-04-28｜抖音</t>
        </is>
      </c>
      <c r="G99" t="inlineStr">
        <is>
          <t>抖音</t>
        </is>
      </c>
      <c r="H99" s="2" t="str">
        <f>=HYPERLINK("https://www.douyin.com/video/7633748408986009262", "https://www.douyin.com/video/7633748408986009262")</f>
        <v>https://www.douyin.com/video/7633748408986009262</v>
      </c>
      <c r="I99" s="3">
        <v>45775</v>
      </c>
      <c r="J99" s="4">
        <v>46243</v>
      </c>
      <c r="K99" t="inlineStr">
        <is>
          <t>梅见朋友聚会①</t>
        </is>
      </c>
      <c r="L99"/>
      <c r="M99" t="inlineStr">
        <is>
          <t>DY-U0189</t>
        </is>
      </c>
      <c r="N99" t="inlineStr">
        <is>
          <t>公开评论</t>
        </is>
      </c>
      <c r="O99"/>
      <c r="P99" t="inlineStr">
        <is>
          <t>点赞数未成功识别，暂置空，禁止随机补值；当前日期来自视频发布时间，评论发布时间未识别</t>
        </is>
      </c>
      <c r="Q99" t="inlineStr">
        <is>
          <t>目标品牌</t>
        </is>
      </c>
      <c r="R99"/>
      <c r="S99"/>
      <c r="T99" t="inlineStr">
        <is>
          <t>梅见反馈</t>
        </is>
      </c>
      <c r="U99" t="inlineStr">
        <is>
          <t>EXCLUDE</t>
        </is>
      </c>
      <c r="V99" t="inlineStr">
        <is>
          <t>EXCLUDE</t>
        </is>
      </c>
      <c r="W99" t="inlineStr">
        <is>
          <t>不可用</t>
        </is>
      </c>
      <c r="X99" t="inlineStr">
        <is>
          <t>原始母表#raw_id=DY-SOC-0162</t>
        </is>
      </c>
      <c r="Y99" t="inlineStr">
        <is>
          <t>FROZEN_419_V2</t>
        </is>
      </c>
    </row>
    <row r="100" ht="25.5" customHeight="1">
      <c r="A100" t="inlineStr">
        <is>
          <t>DY-SOC-0163</t>
        </is>
      </c>
      <c r="B100" t="inlineStr">
        <is>
          <t>梅见产品体验反馈</t>
        </is>
      </c>
      <c r="C100" t="inlineStr">
        <is>
          <t>PRJ001</t>
        </is>
      </c>
      <c r="D100" t="inlineStr">
        <is>
          <t>梅见</t>
        </is>
      </c>
      <c r="E100" t="inlineStr">
        <is>
          <t>当年毕业那天和室友说好每年都要见一次直到后来都默契地决定顶峰相见</t>
        </is>
      </c>
      <c r="F100" t="inlineStr">
        <is>
          <t>好久不见我的朋友｜2025-04-28｜抖音</t>
        </is>
      </c>
      <c r="G100" t="inlineStr">
        <is>
          <t>抖音</t>
        </is>
      </c>
      <c r="H100" s="2" t="str">
        <f>=HYPERLINK("https://www.douyin.com/video/7633748408986009262", "https://www.douyin.com/video/7633748408986009262")</f>
        <v>https://www.douyin.com/video/7633748408986009262</v>
      </c>
      <c r="I100" s="3">
        <v>45775</v>
      </c>
      <c r="J100" s="4">
        <v>46243</v>
      </c>
      <c r="K100" t="inlineStr">
        <is>
          <t>梅见朋友聚会①</t>
        </is>
      </c>
      <c r="L100"/>
      <c r="M100" t="inlineStr">
        <is>
          <t>DY-U0190</t>
        </is>
      </c>
      <c r="N100" t="inlineStr">
        <is>
          <t>公开评论</t>
        </is>
      </c>
      <c r="O100"/>
      <c r="P100" t="inlineStr">
        <is>
          <t>从EXCLUDE补回，内容有效且不重复</t>
        </is>
      </c>
      <c r="Q100" t="inlineStr">
        <is>
          <t>目标品牌</t>
        </is>
      </c>
      <c r="R100"/>
      <c r="S100"/>
      <c r="T100" t="inlineStr">
        <is>
          <t>梅见反馈</t>
        </is>
      </c>
      <c r="U100" t="inlineStr">
        <is>
          <t>KEEP</t>
        </is>
      </c>
      <c r="V100" t="inlineStr">
        <is>
          <t>GOLD</t>
        </is>
      </c>
      <c r="W100" t="inlineStr">
        <is>
          <t>不可用</t>
        </is>
      </c>
      <c r="X100" t="inlineStr">
        <is>
          <t>原始母表#raw_id=DY-SOC-0163</t>
        </is>
      </c>
      <c r="Y100" t="inlineStr">
        <is>
          <t>FROZEN_419_V2</t>
        </is>
      </c>
    </row>
    <row r="101" ht="25.5" customHeight="1">
      <c r="A101" t="inlineStr">
        <is>
          <t>DY-SOC-0164</t>
        </is>
      </c>
      <c r="B101" t="inlineStr">
        <is>
          <t>梅见产品体验反馈</t>
        </is>
      </c>
      <c r="C101" t="inlineStr">
        <is>
          <t>PRJ001</t>
        </is>
      </c>
      <c r="D101" t="inlineStr">
        <is>
          <t>梅见</t>
        </is>
      </c>
      <c r="E101" t="inlineStr">
        <is>
          <t>可惜这辈子没有这么好的朋友</t>
        </is>
      </c>
      <c r="F101" t="inlineStr">
        <is>
          <t>好久不见我的朋友｜2025-04-28｜抖音</t>
        </is>
      </c>
      <c r="G101" t="inlineStr">
        <is>
          <t>抖音</t>
        </is>
      </c>
      <c r="H101" s="2" t="str">
        <f>=HYPERLINK("https://www.douyin.com/video/7633748408986009262", "https://www.douyin.com/video/7633748408986009262")</f>
        <v>https://www.douyin.com/video/7633748408986009262</v>
      </c>
      <c r="I101" s="3">
        <v>45775</v>
      </c>
      <c r="J101" s="4">
        <v>46243</v>
      </c>
      <c r="K101" t="inlineStr">
        <is>
          <t>梅见朋友聚会①</t>
        </is>
      </c>
      <c r="L101"/>
      <c r="M101" t="inlineStr">
        <is>
          <t>DY-U0191</t>
        </is>
      </c>
      <c r="N101" t="inlineStr">
        <is>
          <t>公开评论</t>
        </is>
      </c>
      <c r="O101"/>
      <c r="P101" t="inlineStr">
        <is>
          <t>点赞数未成功识别，暂置空，禁止随机补值；当前日期来自视频发布时间，评论发布时间未识别</t>
        </is>
      </c>
      <c r="Q101" t="inlineStr">
        <is>
          <t>目标品牌</t>
        </is>
      </c>
      <c r="R101"/>
      <c r="S101"/>
      <c r="T101" t="inlineStr">
        <is>
          <t>梅见反馈</t>
        </is>
      </c>
      <c r="U101" t="inlineStr">
        <is>
          <t>EXCLUDE</t>
        </is>
      </c>
      <c r="V101" t="inlineStr">
        <is>
          <t>EXCLUDE</t>
        </is>
      </c>
      <c r="W101" t="inlineStr">
        <is>
          <t>不可用</t>
        </is>
      </c>
      <c r="X101" t="inlineStr">
        <is>
          <t>原始母表#raw_id=DY-SOC-0164</t>
        </is>
      </c>
      <c r="Y101" t="inlineStr">
        <is>
          <t>FROZEN_419_V2</t>
        </is>
      </c>
    </row>
    <row r="102" ht="25.5" customHeight="1">
      <c r="A102" t="inlineStr">
        <is>
          <t>DY-SOC-0165</t>
        </is>
      </c>
      <c r="B102" t="inlineStr">
        <is>
          <t>梅见产品体验反馈</t>
        </is>
      </c>
      <c r="C102" t="inlineStr">
        <is>
          <t>PRJ001</t>
        </is>
      </c>
      <c r="D102" t="inlineStr">
        <is>
          <t>梅见</t>
        </is>
      </c>
      <c r="E102" t="inlineStr">
        <is>
          <t>之前上高中天天在一起现在也很久没见了但是我清明节去找她玩咯</t>
        </is>
      </c>
      <c r="F102" t="inlineStr">
        <is>
          <t>好久不见我的朋友｜2025-04-28｜抖音</t>
        </is>
      </c>
      <c r="G102" t="inlineStr">
        <is>
          <t>抖音</t>
        </is>
      </c>
      <c r="H102" s="2" t="str">
        <f>=HYPERLINK("https://www.douyin.com/video/7633748408986009262", "https://www.douyin.com/video/7633748408986009262")</f>
        <v>https://www.douyin.com/video/7633748408986009262</v>
      </c>
      <c r="I102" s="3">
        <v>45775</v>
      </c>
      <c r="J102" s="4">
        <v>46243</v>
      </c>
      <c r="K102" t="inlineStr">
        <is>
          <t>梅见朋友聚会①</t>
        </is>
      </c>
      <c r="L102"/>
      <c r="M102" t="inlineStr">
        <is>
          <t>DY-U0192</t>
        </is>
      </c>
      <c r="N102" t="inlineStr">
        <is>
          <t>公开评论</t>
        </is>
      </c>
      <c r="O102"/>
      <c r="P102" t="inlineStr">
        <is>
          <t>点赞数未成功识别，暂置空，禁止随机补值；当前日期来自视频发布时间，评论发布时间未识别</t>
        </is>
      </c>
      <c r="Q102" t="inlineStr">
        <is>
          <t>目标品牌</t>
        </is>
      </c>
      <c r="R102"/>
      <c r="S102"/>
      <c r="T102" t="inlineStr">
        <is>
          <t>梅见反馈</t>
        </is>
      </c>
      <c r="U102" t="inlineStr">
        <is>
          <t>EXCLUDE</t>
        </is>
      </c>
      <c r="V102" t="inlineStr">
        <is>
          <t>EXCLUDE</t>
        </is>
      </c>
      <c r="W102" t="inlineStr">
        <is>
          <t>不可用</t>
        </is>
      </c>
      <c r="X102" t="inlineStr">
        <is>
          <t>原始母表#raw_id=DY-SOC-0165</t>
        </is>
      </c>
      <c r="Y102" t="inlineStr">
        <is>
          <t>FROZEN_419_V2</t>
        </is>
      </c>
    </row>
    <row r="103" ht="25.5" customHeight="1">
      <c r="A103" t="inlineStr">
        <is>
          <t>DY-SOC-0166</t>
        </is>
      </c>
      <c r="B103" t="inlineStr">
        <is>
          <t>梅见产品体验反馈</t>
        </is>
      </c>
      <c r="C103" t="inlineStr">
        <is>
          <t>PRJ001</t>
        </is>
      </c>
      <c r="D103" t="inlineStr">
        <is>
          <t>梅见</t>
        </is>
      </c>
      <c r="E103" t="inlineStr">
        <is>
          <t>果断三连助力博主</t>
        </is>
      </c>
      <c r="F103" t="inlineStr">
        <is>
          <t>人生几何知己见面喝酒｜2025-05-19｜抖音</t>
        </is>
      </c>
      <c r="G103" t="inlineStr">
        <is>
          <t>抖音</t>
        </is>
      </c>
      <c r="H103" s="2" t="str">
        <f>=HYPERLINK("https://www.douyin.com/video/7506039236925066533", "https://www.douyin.com/video/7506039236925066533")</f>
        <v>https://www.douyin.com/video/7506039236925066533</v>
      </c>
      <c r="I103" s="3">
        <v>45796</v>
      </c>
      <c r="J103" s="4">
        <v>46243</v>
      </c>
      <c r="K103" t="inlineStr">
        <is>
          <t>梅见朋友聚会②</t>
        </is>
      </c>
      <c r="L103"/>
      <c r="M103" t="inlineStr">
        <is>
          <t>DY-U0196</t>
        </is>
      </c>
      <c r="N103" t="inlineStr">
        <is>
          <t>公开评论</t>
        </is>
      </c>
      <c r="O103"/>
      <c r="P103" t="inlineStr">
        <is>
          <t>点赞数未成功识别，暂置空，禁止随机补值；当前日期来自视频发布时间，评论发布时间未识别</t>
        </is>
      </c>
      <c r="Q103" t="inlineStr">
        <is>
          <t>目标品牌</t>
        </is>
      </c>
      <c r="R103"/>
      <c r="S103"/>
      <c r="T103" t="inlineStr">
        <is>
          <t>梅见反馈</t>
        </is>
      </c>
      <c r="U103" t="inlineStr">
        <is>
          <t>EXCLUDE</t>
        </is>
      </c>
      <c r="V103" t="inlineStr">
        <is>
          <t>EXCLUDE</t>
        </is>
      </c>
      <c r="W103" t="inlineStr">
        <is>
          <t>不可用</t>
        </is>
      </c>
      <c r="X103" t="inlineStr">
        <is>
          <t>原始母表#raw_id=DY-SOC-0166</t>
        </is>
      </c>
      <c r="Y103" t="inlineStr">
        <is>
          <t>FROZEN_419_V2</t>
        </is>
      </c>
    </row>
    <row r="104" ht="25.5" customHeight="1">
      <c r="A104" t="inlineStr">
        <is>
          <t>DY-SOC-0167</t>
        </is>
      </c>
      <c r="B104" t="inlineStr">
        <is>
          <t>梅见产品体验反馈</t>
        </is>
      </c>
      <c r="C104" t="inlineStr">
        <is>
          <t>PRJ001</t>
        </is>
      </c>
      <c r="D104" t="inlineStr">
        <is>
          <t>梅见</t>
        </is>
      </c>
      <c r="E104" t="inlineStr">
        <is>
          <t>有没有什么抽奖活动可以抽粉丝到你家吃饭呢</t>
        </is>
      </c>
      <c r="F104" t="inlineStr">
        <is>
          <t>人生几何知己见面喝酒｜2025-05-19｜抖音</t>
        </is>
      </c>
      <c r="G104" t="inlineStr">
        <is>
          <t>抖音</t>
        </is>
      </c>
      <c r="H104" s="2" t="str">
        <f>=HYPERLINK("https://www.douyin.com/video/7506039236925066533", "https://www.douyin.com/video/7506039236925066533")</f>
        <v>https://www.douyin.com/video/7506039236925066533</v>
      </c>
      <c r="I104" s="3">
        <v>45796</v>
      </c>
      <c r="J104" s="4">
        <v>46243</v>
      </c>
      <c r="K104" t="inlineStr">
        <is>
          <t>梅见朋友聚会②</t>
        </is>
      </c>
      <c r="L104"/>
      <c r="M104" t="inlineStr">
        <is>
          <t>DY-U0197</t>
        </is>
      </c>
      <c r="N104" t="inlineStr">
        <is>
          <t>公开评论</t>
        </is>
      </c>
      <c r="O104"/>
      <c r="P104" t="inlineStr">
        <is>
          <t>点赞数未成功识别，暂置空，禁止随机补值；当前日期来自视频发布时间，评论发布时间未识别</t>
        </is>
      </c>
      <c r="Q104" t="inlineStr">
        <is>
          <t>目标品牌</t>
        </is>
      </c>
      <c r="R104"/>
      <c r="S104"/>
      <c r="T104" t="inlineStr">
        <is>
          <t>梅见反馈</t>
        </is>
      </c>
      <c r="U104" t="inlineStr">
        <is>
          <t>EXCLUDE</t>
        </is>
      </c>
      <c r="V104" t="inlineStr">
        <is>
          <t>EXCLUDE</t>
        </is>
      </c>
      <c r="W104" t="inlineStr">
        <is>
          <t>不可用</t>
        </is>
      </c>
      <c r="X104" t="inlineStr">
        <is>
          <t>原始母表#raw_id=DY-SOC-0167</t>
        </is>
      </c>
      <c r="Y104" t="inlineStr">
        <is>
          <t>FROZEN_419_V2</t>
        </is>
      </c>
    </row>
    <row r="105" ht="25.5" customHeight="1">
      <c r="A105" t="inlineStr">
        <is>
          <t>DY-SOC-0170</t>
        </is>
      </c>
      <c r="B105" t="inlineStr">
        <is>
          <t>梅见产品体验反馈</t>
        </is>
      </c>
      <c r="C105" t="inlineStr">
        <is>
          <t>PRJ001</t>
        </is>
      </c>
      <c r="D105" t="inlineStr">
        <is>
          <t>梅见</t>
        </is>
      </c>
      <c r="E105" t="inlineStr">
        <is>
          <t>转场效果很出色流畅</t>
        </is>
      </c>
      <c r="F105" t="inlineStr">
        <is>
          <t>人生几何知己见面喝酒｜2025-05-19｜抖音</t>
        </is>
      </c>
      <c r="G105" t="inlineStr">
        <is>
          <t>抖音</t>
        </is>
      </c>
      <c r="H105" s="2" t="str">
        <f>=HYPERLINK("https://www.douyin.com/video/7506039236925066533", "https://www.douyin.com/video/7506039236925066533")</f>
        <v>https://www.douyin.com/video/7506039236925066533</v>
      </c>
      <c r="I105" s="3">
        <v>45796</v>
      </c>
      <c r="J105" s="4">
        <v>46243</v>
      </c>
      <c r="K105" t="inlineStr">
        <is>
          <t>梅见朋友聚会②</t>
        </is>
      </c>
      <c r="L105"/>
      <c r="M105" t="inlineStr">
        <is>
          <t>DY-U0202</t>
        </is>
      </c>
      <c r="N105" t="inlineStr">
        <is>
          <t>公开评论</t>
        </is>
      </c>
      <c r="O105"/>
      <c r="P105" t="inlineStr">
        <is>
          <t>点赞数未成功识别，暂置空，禁止随机补值；当前日期来自视频发布时间，评论发布时间未识别</t>
        </is>
      </c>
      <c r="Q105" t="inlineStr">
        <is>
          <t>目标品牌</t>
        </is>
      </c>
      <c r="R105"/>
      <c r="S105"/>
      <c r="T105" t="inlineStr">
        <is>
          <t>梅见反馈</t>
        </is>
      </c>
      <c r="U105" t="inlineStr">
        <is>
          <t>EXCLUDE</t>
        </is>
      </c>
      <c r="V105" t="inlineStr">
        <is>
          <t>EXCLUDE</t>
        </is>
      </c>
      <c r="W105" t="inlineStr">
        <is>
          <t>不可用</t>
        </is>
      </c>
      <c r="X105" t="inlineStr">
        <is>
          <t>原始母表#raw_id=DY-SOC-0170</t>
        </is>
      </c>
      <c r="Y105" t="inlineStr">
        <is>
          <t>FROZEN_419_V2</t>
        </is>
      </c>
    </row>
    <row r="106" ht="25.5" customHeight="1">
      <c r="A106" t="inlineStr">
        <is>
          <t>DY-SOC-0171</t>
        </is>
      </c>
      <c r="B106" t="inlineStr">
        <is>
          <t>梅见产品体验反馈</t>
        </is>
      </c>
      <c r="C106" t="inlineStr">
        <is>
          <t>PRJ001</t>
        </is>
      </c>
      <c r="D106" t="inlineStr">
        <is>
          <t>梅见</t>
        </is>
      </c>
      <c r="E106" t="inlineStr">
        <is>
          <t>太羡慕这样的生活了[举手]</t>
        </is>
      </c>
      <c r="F106" t="inlineStr">
        <is>
          <t>人生几何知己见面喝酒｜2025-05-19｜抖音</t>
        </is>
      </c>
      <c r="G106" t="inlineStr">
        <is>
          <t>抖音</t>
        </is>
      </c>
      <c r="H106" s="2" t="str">
        <f>=HYPERLINK("https://www.douyin.com/video/7506039236925066533", "https://www.douyin.com/video/7506039236925066533")</f>
        <v>https://www.douyin.com/video/7506039236925066533</v>
      </c>
      <c r="I106" s="3">
        <v>45796</v>
      </c>
      <c r="J106" s="4">
        <v>46243</v>
      </c>
      <c r="K106" t="inlineStr">
        <is>
          <t>梅见朋友聚会②</t>
        </is>
      </c>
      <c r="L106"/>
      <c r="M106" t="inlineStr">
        <is>
          <t>DY-U0203</t>
        </is>
      </c>
      <c r="N106" t="inlineStr">
        <is>
          <t>公开评论</t>
        </is>
      </c>
      <c r="O106"/>
      <c r="P106" t="inlineStr">
        <is>
          <t>点赞数未成功识别，暂置空，禁止随机补值；当前日期来自视频发布时间，评论发布时间未识别</t>
        </is>
      </c>
      <c r="Q106" t="inlineStr">
        <is>
          <t>目标品牌</t>
        </is>
      </c>
      <c r="R106"/>
      <c r="S106"/>
      <c r="T106" t="inlineStr">
        <is>
          <t>梅见反馈</t>
        </is>
      </c>
      <c r="U106" t="inlineStr">
        <is>
          <t>EXCLUDE</t>
        </is>
      </c>
      <c r="V106" t="inlineStr">
        <is>
          <t>EXCLUDE</t>
        </is>
      </c>
      <c r="W106" t="inlineStr">
        <is>
          <t>不可用</t>
        </is>
      </c>
      <c r="X106" t="inlineStr">
        <is>
          <t>原始母表#raw_id=DY-SOC-0171</t>
        </is>
      </c>
      <c r="Y106" t="inlineStr">
        <is>
          <t>FROZEN_419_V2</t>
        </is>
      </c>
    </row>
    <row r="107" ht="25.5" customHeight="1">
      <c r="A107" t="inlineStr">
        <is>
          <t>DY-SOC-0172</t>
        </is>
      </c>
      <c r="B107" t="inlineStr">
        <is>
          <t>梅见产品体验反馈</t>
        </is>
      </c>
      <c r="C107" t="inlineStr">
        <is>
          <t>PRJ001</t>
        </is>
      </c>
      <c r="D107" t="inlineStr">
        <is>
          <t>梅见</t>
        </is>
      </c>
      <c r="E107" t="inlineStr">
        <is>
          <t>什么时候才能这样嗨</t>
        </is>
      </c>
      <c r="F107" t="inlineStr">
        <is>
          <t>如果幸福是吃顿小火锅｜2025-07-31｜抖音</t>
        </is>
      </c>
      <c r="G107" t="inlineStr">
        <is>
          <t>抖音</t>
        </is>
      </c>
      <c r="H107" s="2" t="str">
        <f>=HYPERLINK("https://www.douyin.com/video/7668613884207135978", "https://www.douyin.com/video/7668613884207135978")</f>
        <v>https://www.douyin.com/video/7668613884207135978</v>
      </c>
      <c r="I107" s="3">
        <v>45869</v>
      </c>
      <c r="J107" s="4">
        <v>46243</v>
      </c>
      <c r="K107" t="inlineStr">
        <is>
          <t>梅见火锅①</t>
        </is>
      </c>
      <c r="L107"/>
      <c r="M107" t="inlineStr">
        <is>
          <t>DY-U0206</t>
        </is>
      </c>
      <c r="N107" t="inlineStr">
        <is>
          <t>公开评论</t>
        </is>
      </c>
      <c r="O107"/>
      <c r="P107" t="inlineStr">
        <is>
          <t>点赞数未成功识别，暂置空，禁止随机补值；当前日期来自视频发布时间，评论发布时间未识别</t>
        </is>
      </c>
      <c r="Q107" t="inlineStr">
        <is>
          <t>目标品牌</t>
        </is>
      </c>
      <c r="R107"/>
      <c r="S107"/>
      <c r="T107" t="inlineStr">
        <is>
          <t>梅见反馈</t>
        </is>
      </c>
      <c r="U107" t="inlineStr">
        <is>
          <t>EXCLUDE</t>
        </is>
      </c>
      <c r="V107" t="inlineStr">
        <is>
          <t>EXCLUDE</t>
        </is>
      </c>
      <c r="W107" t="inlineStr">
        <is>
          <t>不可用</t>
        </is>
      </c>
      <c r="X107" t="inlineStr">
        <is>
          <t>原始母表#raw_id=DY-SOC-0172</t>
        </is>
      </c>
      <c r="Y107" t="inlineStr">
        <is>
          <t>FROZEN_419_V2</t>
        </is>
      </c>
    </row>
    <row r="108" ht="25.5" customHeight="1">
      <c r="A108" t="inlineStr">
        <is>
          <t>DY-SOC-0173</t>
        </is>
      </c>
      <c r="B108" t="inlineStr">
        <is>
          <t>梅见产品体验反馈</t>
        </is>
      </c>
      <c r="C108" t="inlineStr">
        <is>
          <t>PRJ001</t>
        </is>
      </c>
      <c r="D108" t="inlineStr">
        <is>
          <t>梅见</t>
        </is>
      </c>
      <c r="E108" t="inlineStr">
        <is>
          <t>流量来我家看看吧[流泪][流泪]</t>
        </is>
      </c>
      <c r="F108" t="inlineStr">
        <is>
          <t>如果幸福是吃顿小火锅｜2025-07-31｜抖音</t>
        </is>
      </c>
      <c r="G108" t="inlineStr">
        <is>
          <t>抖音</t>
        </is>
      </c>
      <c r="H108" s="2" t="str">
        <f>=HYPERLINK("https://www.douyin.com/video/7668613884207135978", "https://www.douyin.com/video/7668613884207135978")</f>
        <v>https://www.douyin.com/video/7668613884207135978</v>
      </c>
      <c r="I108" s="3">
        <v>45869</v>
      </c>
      <c r="J108" s="4">
        <v>46243</v>
      </c>
      <c r="K108" t="inlineStr">
        <is>
          <t>梅见火锅①</t>
        </is>
      </c>
      <c r="L108"/>
      <c r="M108" t="inlineStr">
        <is>
          <t>DY-U0207</t>
        </is>
      </c>
      <c r="N108" t="inlineStr">
        <is>
          <t>公开评论</t>
        </is>
      </c>
      <c r="O108"/>
      <c r="P108" t="inlineStr">
        <is>
          <t>点赞数未成功识别，暂置空，禁止随机补值；当前日期来自视频发布时间，评论发布时间未识别</t>
        </is>
      </c>
      <c r="Q108" t="inlineStr">
        <is>
          <t>目标品牌</t>
        </is>
      </c>
      <c r="R108"/>
      <c r="S108"/>
      <c r="T108" t="inlineStr">
        <is>
          <t>梅见反馈</t>
        </is>
      </c>
      <c r="U108" t="inlineStr">
        <is>
          <t>EXCLUDE</t>
        </is>
      </c>
      <c r="V108" t="inlineStr">
        <is>
          <t>EXCLUDE</t>
        </is>
      </c>
      <c r="W108" t="inlineStr">
        <is>
          <t>不可用</t>
        </is>
      </c>
      <c r="X108" t="inlineStr">
        <is>
          <t>原始母表#raw_id=DY-SOC-0173</t>
        </is>
      </c>
      <c r="Y108" t="inlineStr">
        <is>
          <t>FROZEN_419_V2</t>
        </is>
      </c>
    </row>
    <row r="109" ht="25.5" customHeight="1">
      <c r="A109" t="inlineStr">
        <is>
          <t>DY-SOC-0174</t>
        </is>
      </c>
      <c r="B109" t="inlineStr">
        <is>
          <t>梅见产品体验反馈</t>
        </is>
      </c>
      <c r="C109" t="inlineStr">
        <is>
          <t>PRJ001</t>
        </is>
      </c>
      <c r="D109" t="inlineStr">
        <is>
          <t>梅见</t>
        </is>
      </c>
      <c r="E109" t="inlineStr">
        <is>
          <t>热辣涮肉快乐超够</t>
        </is>
      </c>
      <c r="F109" t="inlineStr">
        <is>
          <t>如果幸福是吃顿小火锅｜2025-07-31｜抖音</t>
        </is>
      </c>
      <c r="G109" t="inlineStr">
        <is>
          <t>抖音</t>
        </is>
      </c>
      <c r="H109" s="2" t="str">
        <f>=HYPERLINK("https://www.douyin.com/video/7668613884207135978", "https://www.douyin.com/video/7668613884207135978")</f>
        <v>https://www.douyin.com/video/7668613884207135978</v>
      </c>
      <c r="I109" s="3">
        <v>45869</v>
      </c>
      <c r="J109" s="4">
        <v>46243</v>
      </c>
      <c r="K109" t="inlineStr">
        <is>
          <t>梅见火锅①</t>
        </is>
      </c>
      <c r="L109"/>
      <c r="M109" t="inlineStr">
        <is>
          <t>DY-U0209</t>
        </is>
      </c>
      <c r="N109" t="inlineStr">
        <is>
          <t>公开评论</t>
        </is>
      </c>
      <c r="O109"/>
      <c r="P109" t="inlineStr">
        <is>
          <t>点赞数未成功识别，暂置空，禁止随机补值</t>
        </is>
      </c>
      <c r="Q109" t="inlineStr">
        <is>
          <t>目标品牌</t>
        </is>
      </c>
      <c r="R109"/>
      <c r="S109"/>
      <c r="T109" t="inlineStr">
        <is>
          <t>梅见反馈</t>
        </is>
      </c>
      <c r="U109" t="inlineStr">
        <is>
          <t>EXCLUDE</t>
        </is>
      </c>
      <c r="V109" t="inlineStr">
        <is>
          <t>EXCLUDE</t>
        </is>
      </c>
      <c r="W109" t="inlineStr">
        <is>
          <t>不可用</t>
        </is>
      </c>
      <c r="X109" t="inlineStr">
        <is>
          <t>原始母表#raw_id=DY-SOC-0174</t>
        </is>
      </c>
      <c r="Y109" t="inlineStr">
        <is>
          <t>FROZEN_419_V2</t>
        </is>
      </c>
    </row>
    <row r="110" ht="25.5" customHeight="1">
      <c r="A110" t="inlineStr">
        <is>
          <t>DY-SOC-0175</t>
        </is>
      </c>
      <c r="B110" t="inlineStr">
        <is>
          <t>梅见产品体验反馈</t>
        </is>
      </c>
      <c r="C110" t="inlineStr">
        <is>
          <t>PRJ001</t>
        </is>
      </c>
      <c r="D110" t="inlineStr">
        <is>
          <t>梅见</t>
        </is>
      </c>
      <c r="E110" t="inlineStr">
        <is>
          <t>吃饱喝足岁岁有福</t>
        </is>
      </c>
      <c r="F110" t="inlineStr">
        <is>
          <t>如果幸福是吃顿小火锅｜2025-07-31｜抖音</t>
        </is>
      </c>
      <c r="G110" t="inlineStr">
        <is>
          <t>抖音</t>
        </is>
      </c>
      <c r="H110" s="2" t="str">
        <f>=HYPERLINK("https://www.douyin.com/video/7668613884207135978", "https://www.douyin.com/video/7668613884207135978")</f>
        <v>https://www.douyin.com/video/7668613884207135978</v>
      </c>
      <c r="I110" s="3">
        <v>45869</v>
      </c>
      <c r="J110" s="4">
        <v>46243</v>
      </c>
      <c r="K110" t="inlineStr">
        <is>
          <t>梅见火锅①</t>
        </is>
      </c>
      <c r="L110"/>
      <c r="M110" t="inlineStr">
        <is>
          <t>DY-U0210</t>
        </is>
      </c>
      <c r="N110" t="inlineStr">
        <is>
          <t>公开评论</t>
        </is>
      </c>
      <c r="O110"/>
      <c r="P110" t="inlineStr">
        <is>
          <t>点赞数未成功识别，暂置空，禁止随机补值</t>
        </is>
      </c>
      <c r="Q110" t="inlineStr">
        <is>
          <t>目标品牌</t>
        </is>
      </c>
      <c r="R110"/>
      <c r="S110"/>
      <c r="T110" t="inlineStr">
        <is>
          <t>梅见反馈</t>
        </is>
      </c>
      <c r="U110" t="inlineStr">
        <is>
          <t>EXCLUDE</t>
        </is>
      </c>
      <c r="V110" t="inlineStr">
        <is>
          <t>EXCLUDE</t>
        </is>
      </c>
      <c r="W110" t="inlineStr">
        <is>
          <t>不可用</t>
        </is>
      </c>
      <c r="X110" t="inlineStr">
        <is>
          <t>原始母表#raw_id=DY-SOC-0175</t>
        </is>
      </c>
      <c r="Y110" t="inlineStr">
        <is>
          <t>FROZEN_419_V2</t>
        </is>
      </c>
    </row>
    <row r="111" ht="25.5" customHeight="1">
      <c r="A111" t="inlineStr">
        <is>
          <t>XHS-SOC-0195</t>
        </is>
      </c>
      <c r="B111" t="inlineStr">
        <is>
          <t>梅见产品体验反馈</t>
        </is>
      </c>
      <c r="C111" t="inlineStr">
        <is>
          <t>PRJ001</t>
        </is>
      </c>
      <c r="D111" t="inlineStr">
        <is>
          <t>梅见</t>
        </is>
      </c>
      <c r="E111" t="inlineStr">
        <is>
          <t>其实日本的梅见真的很好喝我感觉国内的梅见跟日本的梅见不是一个东西</t>
        </is>
      </c>
      <c r="F111" t="inlineStr">
        <is>
          <t>梅见成分分析-浓缩汁勾兑｜2025-10-01｜小红书</t>
        </is>
      </c>
      <c r="G111" t="inlineStr">
        <is>
          <t>小红书</t>
        </is>
      </c>
      <c r="H111" s="2" t="str">
        <f>=HYPERLINK("https://www.xiaohongshu.com/search_result/梅见测评", "https://www.xiaohongshu.com/search_result/梅见测评")</f>
        <v>https://www.xiaohongshu.com/search_result/梅见测评</v>
      </c>
      <c r="I111" s="3">
        <v>46139</v>
      </c>
      <c r="J111" s="4">
        <v>46243</v>
      </c>
      <c r="K111" t="inlineStr">
        <is>
          <t>梅见测评</t>
        </is>
      </c>
      <c r="L111">
        <v>3</v>
      </c>
      <c r="M111" t="inlineStr">
        <is>
          <t>XHS-U0107</t>
        </is>
      </c>
      <c r="N111" t="inlineStr">
        <is>
          <t>公开评论</t>
        </is>
      </c>
      <c r="O111"/>
      <c r="P111" t="inlineStr">
        <is>
          <t>原始:04-27;年份推定·新加坡；当前为搜索结果页链接，正式入库前需补原笔记链接</t>
        </is>
      </c>
      <c r="Q111" t="inlineStr">
        <is>
          <t>目标品牌</t>
        </is>
      </c>
      <c r="R111"/>
      <c r="S111" t="inlineStr">
        <is>
          <t>XHS-SOC-0195_ANALYSIS_BASELINE_formal-attempt-0001_AI</t>
        </is>
      </c>
      <c r="T111" t="inlineStr">
        <is>
          <t>梅见反馈</t>
        </is>
      </c>
      <c r="U111" t="inlineStr">
        <is>
          <t>KEEP</t>
        </is>
      </c>
      <c r="V111" t="inlineStr">
        <is>
          <t>ANALYSIS_BASELINE</t>
        </is>
      </c>
      <c r="W111" t="inlineStr">
        <is>
          <t>可用</t>
        </is>
      </c>
      <c r="X111" t="inlineStr">
        <is>
          <t>品牌语料分析与洞察体系.xlsx#表1：原始语料库!111</t>
        </is>
      </c>
      <c r="Y111" t="inlineStr">
        <is>
          <t>FROZEN_419_V2</t>
        </is>
      </c>
    </row>
    <row r="112" ht="25.5" customHeight="1">
      <c r="A112" t="inlineStr">
        <is>
          <t>XHS-SOC-0200</t>
        </is>
      </c>
      <c r="B112" t="inlineStr">
        <is>
          <t>梅见产品体验反馈</t>
        </is>
      </c>
      <c r="C112" t="inlineStr">
        <is>
          <t>PRJ001</t>
        </is>
      </c>
      <c r="D112" t="inlineStr">
        <is>
          <t>梅见</t>
        </is>
      </c>
      <c r="E112" t="inlineStr">
        <is>
          <t>尝了一口感觉像是止咳糖浆的味道</t>
        </is>
      </c>
      <c r="F112" t="inlineStr">
        <is>
          <t>梅见成分分析-浓缩汁勾兑｜2025-10-01｜小红书</t>
        </is>
      </c>
      <c r="G112" t="inlineStr">
        <is>
          <t>小红书</t>
        </is>
      </c>
      <c r="H112" s="2" t="str">
        <f>=HYPERLINK("https://www.xiaohongshu.com/search_result/梅见测评", "https://www.xiaohongshu.com/search_result/梅见测评")</f>
        <v>https://www.xiaohongshu.com/search_result/梅见测评</v>
      </c>
      <c r="I112" s="3">
        <v>46049</v>
      </c>
      <c r="J112" s="4">
        <v>46243</v>
      </c>
      <c r="K112" t="inlineStr">
        <is>
          <t>梅见测评</t>
        </is>
      </c>
      <c r="L112">
        <v>2</v>
      </c>
      <c r="M112" t="inlineStr">
        <is>
          <t>XHS-U0105</t>
        </is>
      </c>
      <c r="N112" t="inlineStr">
        <is>
          <t>公开评论</t>
        </is>
      </c>
      <c r="O112"/>
      <c r="P112" t="inlineStr">
        <is>
          <t>原始:01-27;年份推定·河南；当前为搜索结果页链接，正式入库前需补原笔记链接</t>
        </is>
      </c>
      <c r="Q112" t="inlineStr">
        <is>
          <t>目标品牌</t>
        </is>
      </c>
      <c r="R112"/>
      <c r="S112" t="inlineStr">
        <is>
          <t>XHS-SOC-0200_ANALYSIS_DEMO_DELTA_formal-attempt-0001_AI</t>
        </is>
      </c>
      <c r="T112" t="inlineStr">
        <is>
          <t>梅见反馈</t>
        </is>
      </c>
      <c r="U112" t="inlineStr">
        <is>
          <t>KEEP</t>
        </is>
      </c>
      <c r="V112" t="inlineStr">
        <is>
          <t>CURATED_DEMO_DELTA</t>
        </is>
      </c>
      <c r="W112" t="inlineStr">
        <is>
          <t>可用</t>
        </is>
      </c>
      <c r="X112" t="inlineStr">
        <is>
          <t>品牌语料分析与洞察体系.xlsx#表1：原始语料库!112</t>
        </is>
      </c>
      <c r="Y112" t="inlineStr">
        <is>
          <t>FROZEN_419_V2</t>
        </is>
      </c>
    </row>
    <row r="113" ht="25.5" customHeight="1">
      <c r="A113" t="inlineStr">
        <is>
          <t>XHS-SOC-0249</t>
        </is>
      </c>
      <c r="B113" t="inlineStr">
        <is>
          <t>梅见产品体验反馈</t>
        </is>
      </c>
      <c r="C113" t="inlineStr">
        <is>
          <t>PRJ001</t>
        </is>
      </c>
      <c r="D113" t="inlineStr">
        <is>
          <t>梅见</t>
        </is>
      </c>
      <c r="E113" t="inlineStr">
        <is>
          <t>早点刷到就好了，是真的难喝，梅子味几乎没有，就是酒味，非常割裂</t>
        </is>
      </c>
      <c r="F113" t="inlineStr">
        <is>
          <t>梅见避雷-劣质香精味｜2025-04-03｜小红书</t>
        </is>
      </c>
      <c r="G113" t="inlineStr">
        <is>
          <t>小红书</t>
        </is>
      </c>
      <c r="H113" s="2" t="str">
        <f>=HYPERLINK("https://www.xiaohongshu.com/search_result/梅见值不值得买", "https://www.xiaohongshu.com/search_result/梅见值不值得买")</f>
        <v>https://www.xiaohongshu.com/search_result/梅见值不值得买</v>
      </c>
      <c r="I113" s="3">
        <v>46113</v>
      </c>
      <c r="J113" s="4">
        <v>46243</v>
      </c>
      <c r="K113" t="inlineStr">
        <is>
          <t>梅见值不值得买</t>
        </is>
      </c>
      <c r="L113">
        <v>0</v>
      </c>
      <c r="M113" t="inlineStr">
        <is>
          <t>XHS-U0319</t>
        </is>
      </c>
      <c r="N113" t="inlineStr">
        <is>
          <t>公开评论</t>
        </is>
      </c>
      <c r="O113"/>
      <c r="P113" t="inlineStr">
        <is>
          <t>原始:04-01;年份推定·陕西；当前为搜索结果页链接，正式入库前需补原笔记链接</t>
        </is>
      </c>
      <c r="Q113" t="inlineStr">
        <is>
          <t>目标品牌</t>
        </is>
      </c>
      <c r="R113"/>
      <c r="S113" t="inlineStr">
        <is>
          <t>XHS-SOC-0249_CHALLENGE_POOL_formal-attempt-0001_AI</t>
        </is>
      </c>
      <c r="T113" t="inlineStr">
        <is>
          <t>梅见反馈</t>
        </is>
      </c>
      <c r="U113" t="inlineStr">
        <is>
          <t>KEEP</t>
        </is>
      </c>
      <c r="V113" t="inlineStr">
        <is>
          <t>CHALLENGE</t>
        </is>
      </c>
      <c r="W113" t="inlineStr">
        <is>
          <t>可用</t>
        </is>
      </c>
      <c r="X113" t="inlineStr">
        <is>
          <t>品牌语料分析与洞察体系.xlsx#表1：原始语料库!113</t>
        </is>
      </c>
      <c r="Y113" t="inlineStr">
        <is>
          <t>FROZEN_419_V2</t>
        </is>
      </c>
    </row>
    <row r="114" ht="25.5" customHeight="1">
      <c r="A114" t="inlineStr">
        <is>
          <t>XHS-SOC-0250</t>
        </is>
      </c>
      <c r="B114" t="inlineStr">
        <is>
          <t>梅见产品体验反馈</t>
        </is>
      </c>
      <c r="C114" t="inlineStr">
        <is>
          <t>PRJ001</t>
        </is>
      </c>
      <c r="D114" t="inlineStr">
        <is>
          <t>梅见</t>
        </is>
      </c>
      <c r="E114" t="inlineStr">
        <is>
          <t>哈哈哈哈，梅见现在高端产品线橡木桶梅见更好喝</t>
        </is>
      </c>
      <c r="F114" t="inlineStr">
        <is>
          <t>给梅见道歉-会回购｜2025-07-03｜小红书</t>
        </is>
      </c>
      <c r="G114" t="inlineStr">
        <is>
          <t>小红书</t>
        </is>
      </c>
      <c r="H114" s="2" t="str">
        <f>=HYPERLINK("https://www.xiaohongshu.com/search_result/梅见回购", "https://www.xiaohongshu.com/search_result/梅见回购")</f>
        <v>https://www.xiaohongshu.com/search_result/梅见回购</v>
      </c>
      <c r="I114" s="3">
        <v>46169</v>
      </c>
      <c r="J114" s="4">
        <v>46243</v>
      </c>
      <c r="K114" t="inlineStr">
        <is>
          <t>梅见回购</t>
        </is>
      </c>
      <c r="L114">
        <v>0</v>
      </c>
      <c r="M114" t="inlineStr">
        <is>
          <t>XHS-U0334</t>
        </is>
      </c>
      <c r="N114" t="inlineStr">
        <is>
          <t>公开评论</t>
        </is>
      </c>
      <c r="O114"/>
      <c r="P114" t="inlineStr">
        <is>
          <t>原始:05-27;年份推定·四川；当前为搜索结果页链接，正式入库前需补原笔记链接</t>
        </is>
      </c>
      <c r="Q114" t="inlineStr">
        <is>
          <t>目标品牌</t>
        </is>
      </c>
      <c r="R114"/>
      <c r="S114" t="inlineStr">
        <is>
          <t>XHS-SOC-0250_ANALYSIS_BASELINE_formal-attempt-0001_AI</t>
        </is>
      </c>
      <c r="T114" t="inlineStr">
        <is>
          <t>梅见反馈</t>
        </is>
      </c>
      <c r="U114" t="inlineStr">
        <is>
          <t>KEEP</t>
        </is>
      </c>
      <c r="V114" t="inlineStr">
        <is>
          <t>ANALYSIS_BASELINE</t>
        </is>
      </c>
      <c r="W114" t="inlineStr">
        <is>
          <t>可用</t>
        </is>
      </c>
      <c r="X114" t="inlineStr">
        <is>
          <t>品牌语料分析与洞察体系.xlsx#表1：原始语料库!114</t>
        </is>
      </c>
      <c r="Y114" t="inlineStr">
        <is>
          <t>FROZEN_419_V2</t>
        </is>
      </c>
    </row>
    <row r="115" ht="25.5" customHeight="1">
      <c r="A115" t="inlineStr">
        <is>
          <t>XHS-SOC-0257</t>
        </is>
      </c>
      <c r="B115" t="inlineStr">
        <is>
          <t>梅见产品体验反馈</t>
        </is>
      </c>
      <c r="C115" t="inlineStr">
        <is>
          <t>PRJ001</t>
        </is>
      </c>
      <c r="D115" t="inlineStr">
        <is>
          <t>梅见</t>
        </is>
      </c>
      <c r="E115" t="inlineStr">
        <is>
          <t>加椰子水 好喝</t>
        </is>
      </c>
      <c r="F115" t="inlineStr">
        <is>
          <t>梅见青梅酒调酒搭配｜2025-08-27｜小红书</t>
        </is>
      </c>
      <c r="G115" t="inlineStr">
        <is>
          <t>小红书</t>
        </is>
      </c>
      <c r="H115" s="2" t="str">
        <f>=HYPERLINK("https://www.xiaohongshu.com/search_result/梅见配什么", "https://www.xiaohongshu.com/search_result/梅见配什么")</f>
        <v>https://www.xiaohongshu.com/search_result/梅见配什么</v>
      </c>
      <c r="I115" s="3">
        <v>46023</v>
      </c>
      <c r="J115" s="4">
        <v>46243</v>
      </c>
      <c r="K115" t="inlineStr">
        <is>
          <t>梅见配什么</t>
        </is>
      </c>
      <c r="L115">
        <v>2</v>
      </c>
      <c r="M115" t="inlineStr">
        <is>
          <t>XHS-U0343</t>
        </is>
      </c>
      <c r="N115" t="inlineStr">
        <is>
          <t>公开评论</t>
        </is>
      </c>
      <c r="O115"/>
      <c r="P115" t="inlineStr">
        <is>
          <t>原始:01-01;年份推定·河北；当前为搜索结果页链接，正式入库前需补原笔记链接</t>
        </is>
      </c>
      <c r="Q115" t="inlineStr">
        <is>
          <t>目标品牌</t>
        </is>
      </c>
      <c r="R115"/>
      <c r="S115" t="inlineStr">
        <is>
          <t>XHS-SOC-0257_ANALYSIS_BASELINE_formal-attempt-0001_AI</t>
        </is>
      </c>
      <c r="T115" t="inlineStr">
        <is>
          <t>梅见反馈</t>
        </is>
      </c>
      <c r="U115" t="inlineStr">
        <is>
          <t>KEEP</t>
        </is>
      </c>
      <c r="V115" t="inlineStr">
        <is>
          <t>ANALYSIS_BASELINE</t>
        </is>
      </c>
      <c r="W115" t="inlineStr">
        <is>
          <t>可用</t>
        </is>
      </c>
      <c r="X115" t="inlineStr">
        <is>
          <t>品牌语料分析与洞察体系.xlsx#表1：原始语料库!115</t>
        </is>
      </c>
      <c r="Y115" t="inlineStr">
        <is>
          <t>FROZEN_419_V2</t>
        </is>
      </c>
    </row>
    <row r="116" ht="25.5" customHeight="1">
      <c r="A116" t="inlineStr">
        <is>
          <t>XHS-SOC-0258</t>
        </is>
      </c>
      <c r="B116" t="inlineStr">
        <is>
          <t>梅见产品体验反馈</t>
        </is>
      </c>
      <c r="C116" t="inlineStr">
        <is>
          <t>PRJ001</t>
        </is>
      </c>
      <c r="D116" t="inlineStr">
        <is>
          <t>梅见</t>
        </is>
      </c>
      <c r="E116" t="inlineStr">
        <is>
          <t>这个超好喝</t>
        </is>
      </c>
      <c r="F116" t="inlineStr">
        <is>
          <t>给梅见道歉-会回购｜2025-07-03｜小红书</t>
        </is>
      </c>
      <c r="G116" t="inlineStr">
        <is>
          <t>小红书</t>
        </is>
      </c>
      <c r="H116" s="2" t="str">
        <f>=HYPERLINK("https://www.xiaohongshu.com/search_result/梅见回购", "https://www.xiaohongshu.com/search_result/梅见回购")</f>
        <v>https://www.xiaohongshu.com/search_result/梅见回购</v>
      </c>
      <c r="I116" s="3">
        <v>46107</v>
      </c>
      <c r="J116" s="4">
        <v>46243</v>
      </c>
      <c r="K116" t="inlineStr">
        <is>
          <t>梅见回购</t>
        </is>
      </c>
      <c r="L116">
        <v>0</v>
      </c>
      <c r="M116" t="inlineStr">
        <is>
          <t>XHS-U0335</t>
        </is>
      </c>
      <c r="N116" t="inlineStr">
        <is>
          <t>公开评论</t>
        </is>
      </c>
      <c r="O116"/>
      <c r="P116" t="inlineStr">
        <is>
          <t>原始:03-26;年份推定·浙江；当前为搜索结果页链接，正式入库前需补原笔记链接</t>
        </is>
      </c>
      <c r="Q116" t="inlineStr">
        <is>
          <t>目标品牌</t>
        </is>
      </c>
      <c r="R116"/>
      <c r="S116" t="inlineStr">
        <is>
          <t>XHS-SOC-0258_ANALYSIS_BASELINE_formal-attempt-0001_AI</t>
        </is>
      </c>
      <c r="T116" t="inlineStr">
        <is>
          <t>梅见反馈</t>
        </is>
      </c>
      <c r="U116" t="inlineStr">
        <is>
          <t>KEEP</t>
        </is>
      </c>
      <c r="V116" t="inlineStr">
        <is>
          <t>ANALYSIS_BASELINE</t>
        </is>
      </c>
      <c r="W116" t="inlineStr">
        <is>
          <t>可用</t>
        </is>
      </c>
      <c r="X116" t="inlineStr">
        <is>
          <t>品牌语料分析与洞察体系.xlsx#表1：原始语料库!116</t>
        </is>
      </c>
      <c r="Y116" t="inlineStr">
        <is>
          <t>FROZEN_419_V2</t>
        </is>
      </c>
    </row>
    <row r="117" ht="25.5" customHeight="1">
      <c r="A117" t="inlineStr">
        <is>
          <t>XHS-SOC-0259</t>
        </is>
      </c>
      <c r="B117" t="inlineStr">
        <is>
          <t>梅见产品体验反馈</t>
        </is>
      </c>
      <c r="C117" t="inlineStr">
        <is>
          <t>PRJ001</t>
        </is>
      </c>
      <c r="D117" t="inlineStr">
        <is>
          <t>梅见</t>
        </is>
      </c>
      <c r="E117" t="inlineStr">
        <is>
          <t>这个好喝</t>
        </is>
      </c>
      <c r="F117" t="inlineStr">
        <is>
          <t>给梅见道歉-会回购｜2025-07-03｜小红书</t>
        </is>
      </c>
      <c r="G117" t="inlineStr">
        <is>
          <t>小红书</t>
        </is>
      </c>
      <c r="H117" s="2" t="str">
        <f>=HYPERLINK("https://www.xiaohongshu.com/search_result/梅见回购", "https://www.xiaohongshu.com/search_result/梅见回购")</f>
        <v>https://www.xiaohongshu.com/search_result/梅见回购</v>
      </c>
      <c r="I117" s="3">
        <v>46107</v>
      </c>
      <c r="J117" s="4">
        <v>46243</v>
      </c>
      <c r="K117" t="inlineStr">
        <is>
          <t>梅见回购</t>
        </is>
      </c>
      <c r="L117">
        <v>1</v>
      </c>
      <c r="M117" t="inlineStr">
        <is>
          <t>XHS-U0336</t>
        </is>
      </c>
      <c r="N117" t="inlineStr">
        <is>
          <t>公开评论</t>
        </is>
      </c>
      <c r="O117"/>
      <c r="P117" t="inlineStr">
        <is>
          <t>原始:03-26;年份推定·广东；当前为搜索结果页链接，正式入库前需补原笔记链接</t>
        </is>
      </c>
      <c r="Q117" t="inlineStr">
        <is>
          <t>目标品牌</t>
        </is>
      </c>
      <c r="R117"/>
      <c r="S117" t="inlineStr">
        <is>
          <t>XHS-SOC-0259_ANALYSIS_BASELINE_formal-attempt-0001_AI</t>
        </is>
      </c>
      <c r="T117" t="inlineStr">
        <is>
          <t>梅见反馈</t>
        </is>
      </c>
      <c r="U117" t="inlineStr">
        <is>
          <t>KEEP</t>
        </is>
      </c>
      <c r="V117" t="inlineStr">
        <is>
          <t>ANALYSIS_BASELINE</t>
        </is>
      </c>
      <c r="W117" t="inlineStr">
        <is>
          <t>可用</t>
        </is>
      </c>
      <c r="X117" t="inlineStr">
        <is>
          <t>品牌语料分析与洞察体系.xlsx#表1：原始语料库!117</t>
        </is>
      </c>
      <c r="Y117" t="inlineStr">
        <is>
          <t>FROZEN_419_V2</t>
        </is>
      </c>
    </row>
    <row r="118" ht="25.5" customHeight="1">
      <c r="A118" t="inlineStr">
        <is>
          <t>DY-SOC-0261</t>
        </is>
      </c>
      <c r="B118" t="inlineStr">
        <is>
          <t>梅见产品体验反馈</t>
        </is>
      </c>
      <c r="C118" t="inlineStr">
        <is>
          <t>PRJ001</t>
        </is>
      </c>
      <c r="D118" t="inlineStr">
        <is>
          <t>梅见</t>
        </is>
      </c>
      <c r="E118" t="inlineStr">
        <is>
          <t>这就是大数据吗[泣不成声]</t>
        </is>
      </c>
      <c r="F118" t="inlineStr">
        <is>
          <t>小火锅冰梅见｜2025-07-31｜抖音</t>
        </is>
      </c>
      <c r="G118" t="inlineStr">
        <is>
          <t>抖音</t>
        </is>
      </c>
      <c r="H118" s="2" t="str">
        <f>=HYPERLINK("https://www.douyin.com/video/7666766488133402725", "https://www.douyin.com/video/7666766488133402725")</f>
        <v>https://www.douyin.com/video/7666766488133402725</v>
      </c>
      <c r="I118" s="3">
        <v>45869</v>
      </c>
      <c r="J118" s="4">
        <v>46243</v>
      </c>
      <c r="K118" t="inlineStr">
        <is>
          <t>梅见火锅③</t>
        </is>
      </c>
      <c r="L118"/>
      <c r="M118" t="inlineStr">
        <is>
          <t>DY-U0235</t>
        </is>
      </c>
      <c r="N118" t="inlineStr">
        <is>
          <t>公开评论</t>
        </is>
      </c>
      <c r="O118"/>
      <c r="P118" t="inlineStr">
        <is>
          <t>点赞数未成功识别，暂置空，禁止随机补值；当前日期来自视频发布时间，评论发布时间未识别</t>
        </is>
      </c>
      <c r="Q118" t="inlineStr">
        <is>
          <t>目标品牌</t>
        </is>
      </c>
      <c r="R118"/>
      <c r="S118"/>
      <c r="T118" t="inlineStr">
        <is>
          <t>梅见反馈</t>
        </is>
      </c>
      <c r="U118" t="inlineStr">
        <is>
          <t>EXCLUDE</t>
        </is>
      </c>
      <c r="V118" t="inlineStr">
        <is>
          <t>EXCLUDE</t>
        </is>
      </c>
      <c r="W118" t="inlineStr">
        <is>
          <t>不可用</t>
        </is>
      </c>
      <c r="X118" t="inlineStr">
        <is>
          <t>原始母表#raw_id=DY-SOC-0261</t>
        </is>
      </c>
      <c r="Y118" t="inlineStr">
        <is>
          <t>FROZEN_419_V2</t>
        </is>
      </c>
    </row>
    <row r="119" ht="25.5" customHeight="1">
      <c r="A119" t="inlineStr">
        <is>
          <t>DY-SOC-0262</t>
        </is>
      </c>
      <c r="B119" t="inlineStr">
        <is>
          <t>梅见产品体验反馈</t>
        </is>
      </c>
      <c r="C119" t="inlineStr">
        <is>
          <t>PRJ001</t>
        </is>
      </c>
      <c r="D119" t="inlineStr">
        <is>
          <t>梅见</t>
        </is>
      </c>
      <c r="E119" t="inlineStr">
        <is>
          <t>马上安排一杯冰梅见</t>
        </is>
      </c>
      <c r="F119" t="inlineStr">
        <is>
          <t>小火锅冰梅见｜2025-07-31｜抖音</t>
        </is>
      </c>
      <c r="G119" t="inlineStr">
        <is>
          <t>抖音</t>
        </is>
      </c>
      <c r="H119" s="2" t="str">
        <f>=HYPERLINK("https://www.douyin.com/video/7666766488133402725", "https://www.douyin.com/video/7666766488133402725")</f>
        <v>https://www.douyin.com/video/7666766488133402725</v>
      </c>
      <c r="I119" s="3">
        <v>45869</v>
      </c>
      <c r="J119" s="4">
        <v>46243</v>
      </c>
      <c r="K119" t="inlineStr">
        <is>
          <t>梅见火锅③</t>
        </is>
      </c>
      <c r="L119"/>
      <c r="M119" t="inlineStr">
        <is>
          <t>DY-U0236</t>
        </is>
      </c>
      <c r="N119" t="inlineStr">
        <is>
          <t>公开评论</t>
        </is>
      </c>
      <c r="O119"/>
      <c r="P119" t="inlineStr">
        <is>
          <t>点赞数未成功识别，暂置空，禁止随机补值；当前日期来自视频发布时间，评论发布时间未识别</t>
        </is>
      </c>
      <c r="Q119" t="inlineStr">
        <is>
          <t>目标品牌</t>
        </is>
      </c>
      <c r="R119"/>
      <c r="S119" t="inlineStr">
        <is>
          <t>DY-SOC-0262_HOLDOUT_formal-attempt-0001_AI</t>
        </is>
      </c>
      <c r="T119" t="inlineStr">
        <is>
          <t>梅见反馈</t>
        </is>
      </c>
      <c r="U119" t="inlineStr">
        <is>
          <t>KEEP</t>
        </is>
      </c>
      <c r="V119" t="inlineStr">
        <is>
          <t>HOLDOUT</t>
        </is>
      </c>
      <c r="W119" t="inlineStr">
        <is>
          <t>可用</t>
        </is>
      </c>
      <c r="X119" t="inlineStr">
        <is>
          <t>品牌语料分析与洞察体系.xlsx#表1：原始语料库!119</t>
        </is>
      </c>
      <c r="Y119" t="inlineStr">
        <is>
          <t>FROZEN_419_V2</t>
        </is>
      </c>
    </row>
    <row r="120" ht="25.5" customHeight="1">
      <c r="A120" t="inlineStr">
        <is>
          <t>DY-SOC-0263</t>
        </is>
      </c>
      <c r="B120" t="inlineStr">
        <is>
          <t>梅见产品体验反馈</t>
        </is>
      </c>
      <c r="C120" t="inlineStr">
        <is>
          <t>PRJ001</t>
        </is>
      </c>
      <c r="D120" t="inlineStr">
        <is>
          <t>梅见</t>
        </is>
      </c>
      <c r="E120" t="inlineStr">
        <is>
          <t>看完这个视频我已经在去买的的路上了</t>
        </is>
      </c>
      <c r="F120" t="inlineStr">
        <is>
          <t>小火锅冰梅见2｜2025-07-31｜抖音</t>
        </is>
      </c>
      <c r="G120" t="inlineStr">
        <is>
          <t>抖音</t>
        </is>
      </c>
      <c r="H120" s="2" t="str">
        <f>=HYPERLINK("https://www.douyin.com/video/7667775159961274021", "https://www.douyin.com/video/7667775159961274021")</f>
        <v>https://www.douyin.com/video/7667775159961274021</v>
      </c>
      <c r="I120" s="3">
        <v>45869</v>
      </c>
      <c r="J120" s="4">
        <v>46243</v>
      </c>
      <c r="K120" t="inlineStr">
        <is>
          <t>梅见火锅④</t>
        </is>
      </c>
      <c r="L120"/>
      <c r="M120" t="inlineStr">
        <is>
          <t>DY-U0240</t>
        </is>
      </c>
      <c r="N120" t="inlineStr">
        <is>
          <t>公开评论</t>
        </is>
      </c>
      <c r="O120"/>
      <c r="P120" t="inlineStr">
        <is>
          <t>点赞数未成功识别，暂置空，禁止随机补值</t>
        </is>
      </c>
      <c r="Q120" t="inlineStr">
        <is>
          <t>目标品牌</t>
        </is>
      </c>
      <c r="R120"/>
      <c r="S120" t="inlineStr">
        <is>
          <t>DY-SOC-0263_ANALYSIS_BASELINE_formal-attempt-0001_AI</t>
        </is>
      </c>
      <c r="T120" t="inlineStr">
        <is>
          <t>梅见反馈</t>
        </is>
      </c>
      <c r="U120" t="inlineStr">
        <is>
          <t>KEEP</t>
        </is>
      </c>
      <c r="V120" t="inlineStr">
        <is>
          <t>ANALYSIS_BASELINE</t>
        </is>
      </c>
      <c r="W120" t="inlineStr">
        <is>
          <t>可用</t>
        </is>
      </c>
      <c r="X120" t="inlineStr">
        <is>
          <t>品牌语料分析与洞察体系.xlsx#表1：原始语料库!120</t>
        </is>
      </c>
      <c r="Y120" t="inlineStr">
        <is>
          <t>FROZEN_419_V2</t>
        </is>
      </c>
    </row>
    <row r="121" ht="25.5" customHeight="1">
      <c r="A121" t="inlineStr">
        <is>
          <t>DY-SOC-0264</t>
        </is>
      </c>
      <c r="B121" t="inlineStr">
        <is>
          <t>梅见产品体验反馈</t>
        </is>
      </c>
      <c r="C121" t="inlineStr">
        <is>
          <t>PRJ001</t>
        </is>
      </c>
      <c r="D121" t="inlineStr">
        <is>
          <t>梅见</t>
        </is>
      </c>
      <c r="E121" t="inlineStr">
        <is>
          <t>这到底是不是酒啊</t>
        </is>
      </c>
      <c r="F121" t="inlineStr">
        <is>
          <t>小火锅冰梅见2｜2025-07-31｜抖音</t>
        </is>
      </c>
      <c r="G121" t="inlineStr">
        <is>
          <t>抖音</t>
        </is>
      </c>
      <c r="H121" s="2" t="str">
        <f>=HYPERLINK("https://www.douyin.com/video/7667775159961274021", "https://www.douyin.com/video/7667775159961274021")</f>
        <v>https://www.douyin.com/video/7667775159961274021</v>
      </c>
      <c r="I121" s="3">
        <v>45869</v>
      </c>
      <c r="J121" s="4">
        <v>46243</v>
      </c>
      <c r="K121" t="inlineStr">
        <is>
          <t>梅见火锅④</t>
        </is>
      </c>
      <c r="L121"/>
      <c r="M121" t="inlineStr">
        <is>
          <t>DY-U0241</t>
        </is>
      </c>
      <c r="N121" t="inlineStr">
        <is>
          <t>公开评论</t>
        </is>
      </c>
      <c r="O121"/>
      <c r="P121" t="inlineStr">
        <is>
          <t>点赞数未成功识别，暂置空，禁止随机补值；当前日期来自视频发布时间，评论发布时间未识别</t>
        </is>
      </c>
      <c r="Q121" t="inlineStr">
        <is>
          <t>目标品牌</t>
        </is>
      </c>
      <c r="R121"/>
      <c r="S121" t="inlineStr">
        <is>
          <t>DY-SOC-0264_ANALYSIS_BASELINE_formal-attempt-0001_AI</t>
        </is>
      </c>
      <c r="T121" t="inlineStr">
        <is>
          <t>梅见反馈</t>
        </is>
      </c>
      <c r="U121" t="inlineStr">
        <is>
          <t>KEEP</t>
        </is>
      </c>
      <c r="V121" t="inlineStr">
        <is>
          <t>ANALYSIS_BASELINE</t>
        </is>
      </c>
      <c r="W121" t="inlineStr">
        <is>
          <t>可用</t>
        </is>
      </c>
      <c r="X121" t="inlineStr">
        <is>
          <t>品牌语料分析与洞察体系.xlsx#表1：原始语料库!121</t>
        </is>
      </c>
      <c r="Y121" t="inlineStr">
        <is>
          <t>FROZEN_419_V2</t>
        </is>
      </c>
    </row>
    <row r="122" ht="25.5" customHeight="1">
      <c r="A122" t="inlineStr">
        <is>
          <t>DY-SOC-0265</t>
        </is>
      </c>
      <c r="B122" t="inlineStr">
        <is>
          <t>梅见产品体验反馈</t>
        </is>
      </c>
      <c r="C122" t="inlineStr">
        <is>
          <t>PRJ001</t>
        </is>
      </c>
      <c r="D122" t="inlineStr">
        <is>
          <t>低度酒</t>
        </is>
      </c>
      <c r="E122" t="inlineStr">
        <is>
          <t>真露的这个梅花秀我喝过很好喝适合女生</t>
        </is>
      </c>
      <c r="F122" t="inlineStr">
        <is>
          <t>喝完这三瓶谁是你心中的白月光｜2025-08-08｜抖音</t>
        </is>
      </c>
      <c r="G122" t="inlineStr">
        <is>
          <t>抖音</t>
        </is>
      </c>
      <c r="H122" s="2" t="str">
        <f>=HYPERLINK("https://www.douyin.com/video/7625642082769669382", "https://www.douyin.com/video/7625642082769669382")</f>
        <v>https://www.douyin.com/video/7625642082769669382</v>
      </c>
      <c r="I122" s="3">
        <v>45877</v>
      </c>
      <c r="J122" s="4">
        <v>46243</v>
      </c>
      <c r="K122" t="inlineStr">
        <is>
          <t>青梅酒推荐①</t>
        </is>
      </c>
      <c r="L122"/>
      <c r="M122" t="inlineStr">
        <is>
          <t>DY-U0272</t>
        </is>
      </c>
      <c r="N122" t="inlineStr">
        <is>
          <t>公开评论</t>
        </is>
      </c>
      <c r="O122"/>
      <c r="P122" t="inlineStr">
        <is>
          <t>点赞数未成功识别，暂置空，禁止随机补值；当前日期来自视频发布时间，评论发布时间未识别</t>
        </is>
      </c>
      <c r="Q122" t="inlineStr">
        <is>
          <t>低度酒品类</t>
        </is>
      </c>
      <c r="R122"/>
      <c r="S122" t="inlineStr">
        <is>
          <t>DY-SOC-0265_ANALYSIS_BASELINE_formal-attempt-0001_AI</t>
        </is>
      </c>
      <c r="T122" t="inlineStr">
        <is>
          <t>梅见反馈</t>
        </is>
      </c>
      <c r="U122" t="inlineStr">
        <is>
          <t>KEEP</t>
        </is>
      </c>
      <c r="V122" t="inlineStr">
        <is>
          <t>ANALYSIS_BASELINE</t>
        </is>
      </c>
      <c r="W122" t="inlineStr">
        <is>
          <t>可用</t>
        </is>
      </c>
      <c r="X122" t="inlineStr">
        <is>
          <t>品牌语料分析与洞察体系.xlsx#表1：原始语料库!122</t>
        </is>
      </c>
      <c r="Y122" t="inlineStr">
        <is>
          <t>FROZEN_419_V2</t>
        </is>
      </c>
    </row>
    <row r="123" ht="25.5" customHeight="1">
      <c r="A123" t="inlineStr">
        <is>
          <t>DY-SOC-0274</t>
        </is>
      </c>
      <c r="B123" t="inlineStr">
        <is>
          <t>梅见产品体验反馈</t>
        </is>
      </c>
      <c r="C123" t="inlineStr">
        <is>
          <t>PRJ001</t>
        </is>
      </c>
      <c r="D123" t="inlineStr">
        <is>
          <t>低度酒</t>
        </is>
      </c>
      <c r="E123" t="inlineStr">
        <is>
          <t>因为那些饮料里边儿都有大量的二氧化碳这些碳酸饮料可以加速酒精进入血液</t>
        </is>
      </c>
      <c r="F123" t="inlineStr">
        <is>
          <t>超市小甜水上头测评｜2025-03-14｜抖音</t>
        </is>
      </c>
      <c r="G123" t="inlineStr">
        <is>
          <t>抖音</t>
        </is>
      </c>
      <c r="H123" s="2" t="str">
        <f>=HYPERLINK("https://www.douyin.com/video/7591112215512917489", "https://www.douyin.com/video/7591112215512917489")</f>
        <v>https://www.douyin.com/video/7591112215512917489</v>
      </c>
      <c r="I123" s="3">
        <v>45730</v>
      </c>
      <c r="J123" s="4">
        <v>46243</v>
      </c>
      <c r="K123" t="inlineStr">
        <is>
          <t>低度酒推荐③</t>
        </is>
      </c>
      <c r="L123"/>
      <c r="M123" t="inlineStr">
        <is>
          <t>DY-U0308</t>
        </is>
      </c>
      <c r="N123" t="inlineStr">
        <is>
          <t>公开评论</t>
        </is>
      </c>
      <c r="O123"/>
      <c r="P123" t="inlineStr">
        <is>
          <t>点赞数未成功识别，暂置空，禁止随机补值；当前日期来自视频发布时间，评论发布时间未识别</t>
        </is>
      </c>
      <c r="Q123" t="inlineStr">
        <is>
          <t>低度酒品类</t>
        </is>
      </c>
      <c r="R123"/>
      <c r="S123" t="inlineStr">
        <is>
          <t>DY-SOC-0274_ANALYSIS_BASELINE_formal-attempt-0001_AI</t>
        </is>
      </c>
      <c r="T123" t="inlineStr">
        <is>
          <t>梅见反馈</t>
        </is>
      </c>
      <c r="U123" t="inlineStr">
        <is>
          <t>KEEP</t>
        </is>
      </c>
      <c r="V123" t="inlineStr">
        <is>
          <t>ANALYSIS_BASELINE</t>
        </is>
      </c>
      <c r="W123" t="inlineStr">
        <is>
          <t>可用</t>
        </is>
      </c>
      <c r="X123" t="inlineStr">
        <is>
          <t>品牌语料分析与洞察体系.xlsx#表1：原始语料库!123</t>
        </is>
      </c>
      <c r="Y123" t="inlineStr">
        <is>
          <t>FROZEN_419_V2</t>
        </is>
      </c>
    </row>
    <row r="124" ht="25.5" customHeight="1">
      <c r="A124" t="inlineStr">
        <is>
          <t>DY-SOC-0276</t>
        </is>
      </c>
      <c r="B124" t="inlineStr">
        <is>
          <t>梅见产品体验反馈</t>
        </is>
      </c>
      <c r="C124" t="inlineStr">
        <is>
          <t>PRJ001</t>
        </is>
      </c>
      <c r="D124" t="inlineStr">
        <is>
          <t>低度酒</t>
        </is>
      </c>
      <c r="E124" t="inlineStr">
        <is>
          <t>浓缩苹果汁就是糖是脱色脱酸苹果汁然后再浓缩</t>
        </is>
      </c>
      <c r="F124" t="inlineStr">
        <is>
          <t>超市小甜水上头测评｜2025-03-14｜抖音</t>
        </is>
      </c>
      <c r="G124" t="inlineStr">
        <is>
          <t>抖音</t>
        </is>
      </c>
      <c r="H124" s="2" t="str">
        <f>=HYPERLINK("https://www.douyin.com/video/7591112215512917489", "https://www.douyin.com/video/7591112215512917489")</f>
        <v>https://www.douyin.com/video/7591112215512917489</v>
      </c>
      <c r="I124" s="3">
        <v>45730</v>
      </c>
      <c r="J124" s="4">
        <v>46243</v>
      </c>
      <c r="K124" t="inlineStr">
        <is>
          <t>低度酒推荐③</t>
        </is>
      </c>
      <c r="L124"/>
      <c r="M124" t="inlineStr">
        <is>
          <t>DY-U0310</t>
        </is>
      </c>
      <c r="N124" t="inlineStr">
        <is>
          <t>公开评论</t>
        </is>
      </c>
      <c r="O124"/>
      <c r="P124" t="inlineStr">
        <is>
          <t>点赞数未成功识别，暂置空，禁止随机补值；当前日期来自视频发布时间，评论发布时间未识别</t>
        </is>
      </c>
      <c r="Q124" t="inlineStr">
        <is>
          <t>低度酒品类</t>
        </is>
      </c>
      <c r="R124"/>
      <c r="S124" t="inlineStr">
        <is>
          <t>DY-SOC-0276_HOLDOUT_formal-attempt-0001_AI</t>
        </is>
      </c>
      <c r="T124" t="inlineStr">
        <is>
          <t>梅见反馈</t>
        </is>
      </c>
      <c r="U124" t="inlineStr">
        <is>
          <t>KEEP</t>
        </is>
      </c>
      <c r="V124" t="inlineStr">
        <is>
          <t>HOLDOUT</t>
        </is>
      </c>
      <c r="W124" t="inlineStr">
        <is>
          <t>可用</t>
        </is>
      </c>
      <c r="X124" t="inlineStr">
        <is>
          <t>品牌语料分析与洞察体系.xlsx#表1：原始语料库!124</t>
        </is>
      </c>
      <c r="Y124" t="inlineStr">
        <is>
          <t>FROZEN_419_V2</t>
        </is>
      </c>
    </row>
    <row r="125" ht="25.5" customHeight="1">
      <c r="A125" t="inlineStr">
        <is>
          <t>JD-20260809-051</t>
        </is>
      </c>
      <c r="B125" t="inlineStr">
        <is>
          <t>梅见产品体验反馈</t>
        </is>
      </c>
      <c r="C125" t="inlineStr">
        <is>
          <t>PRJ001</t>
        </is>
      </c>
      <c r="D125" t="inlineStr">
        <is>
          <t>梅见｜【原味梅见】330ml*6</t>
        </is>
      </c>
      <c r="E125" t="inlineStr">
        <is>
          <t>梅见这款原味青梅酒真是太适合女生小聚了！12度微醺刚刚好，不会醉却很有氛围。开瓶就是清新的青梅香气，入口酸甜柔顺，不涩不辣，加冰喝简直绝配。330ml小瓶装一人一瓶刚刚好，整箱囤货聚会随时开。冰镇后配火锅或烧烤特别解腻，比普通饮料更有仪式感。已经回购好几次了，闺蜜们都夸好喝。想找一款不踩雷的微醺甜酒，选梅见准没错！</t>
        </is>
      </c>
      <c r="F125" t="inlineStr">
        <is>
          <t>品牌：梅见｜商品/规格：【原味梅见】330ml*6｜SKU：100013267874</t>
        </is>
      </c>
      <c r="G125" t="inlineStr">
        <is>
          <t>京东</t>
        </is>
      </c>
      <c r="H125" s="2" t="str">
        <f>=HYPERLINK("https://item.jd.com/100013267874.html", "https://item.jd.com/100013267874.html")</f>
        <v>https://item.jd.com/100013267874.html</v>
      </c>
      <c r="I125" s="3">
        <v>46169</v>
      </c>
      <c r="J125" s="4">
        <v>46243</v>
      </c>
      <c r="K125" t="inlineStr">
        <is>
          <t>梅见 青梅酒 商品评价</t>
        </is>
      </c>
      <c r="L125"/>
      <c r="M125" t="inlineStr">
        <is>
          <t>JD-U-20260809-051</t>
        </is>
      </c>
      <c r="N125" t="inlineStr">
        <is>
          <t>公开评论</t>
        </is>
      </c>
      <c r="O125"/>
      <c r="P125" t="inlineStr">
        <is>
          <t>情绪粗标：正面；主题粗标：酒精感；香气；酸甜度；入口感；加冰；规格；聚会；搭餐；回购；京东商品评价弹层核验；已排除商家回复与用户名；评价页未展示评论点赞/有用数，点赞数留空；疑似模板化表达，仅作为原始语料导入，表2需人工复核</t>
        </is>
      </c>
      <c r="Q125" t="inlineStr">
        <is>
          <t>目标品牌</t>
        </is>
      </c>
      <c r="R125"/>
      <c r="S125" t="inlineStr">
        <is>
          <t>JD-20260809-051_ANALYSIS_BASELINE_formal-attempt-0001_AI</t>
        </is>
      </c>
      <c r="T125" t="inlineStr">
        <is>
          <t>梅见反馈</t>
        </is>
      </c>
      <c r="U125" t="inlineStr">
        <is>
          <t>KEEP</t>
        </is>
      </c>
      <c r="V125" t="inlineStr">
        <is>
          <t>ANALYSIS_BASELINE</t>
        </is>
      </c>
      <c r="W125" t="inlineStr">
        <is>
          <t>可用</t>
        </is>
      </c>
      <c r="X125" t="inlineStr">
        <is>
          <t>品牌语料分析与洞察体系.xlsx#表1：原始语料库!125</t>
        </is>
      </c>
      <c r="Y125" t="inlineStr">
        <is>
          <t>FROZEN_419_V2</t>
        </is>
      </c>
    </row>
    <row r="126" ht="25.5" customHeight="1">
      <c r="A126" t="inlineStr">
        <is>
          <t>JD-20260809-052</t>
        </is>
      </c>
      <c r="B126" t="inlineStr">
        <is>
          <t>梅见产品体验反馈</t>
        </is>
      </c>
      <c r="C126" t="inlineStr">
        <is>
          <t>PRJ001</t>
        </is>
      </c>
      <c r="D126" t="inlineStr">
        <is>
          <t>梅见｜【原味梅见】330ml</t>
        </is>
      </c>
      <c r="E126" t="inlineStr">
        <is>
          <t>很好喝的一款梅子酒，味道不错，酸甜平衡，酒精度数也不高，香味醇厚很浓郁，甜度也合适，整体性价比很高，喝完很舒服 不难受，不错</t>
        </is>
      </c>
      <c r="F126" t="inlineStr">
        <is>
          <t>品牌：梅见｜商品/规格：【原味梅见】330ml｜SKU：100013267874</t>
        </is>
      </c>
      <c r="G126" t="inlineStr">
        <is>
          <t>京东</t>
        </is>
      </c>
      <c r="H126" s="2" t="str">
        <f>=HYPERLINK("https://item.jd.com/100013267874.html", "https://item.jd.com/100013267874.html")</f>
        <v>https://item.jd.com/100013267874.html</v>
      </c>
      <c r="I126" s="3">
        <v>46165</v>
      </c>
      <c r="J126" s="4">
        <v>46243</v>
      </c>
      <c r="K126" t="inlineStr">
        <is>
          <t>梅见 青梅酒 商品评价</t>
        </is>
      </c>
      <c r="L126"/>
      <c r="M126" t="inlineStr">
        <is>
          <t>JD-U-20260809-052</t>
        </is>
      </c>
      <c r="N126" t="inlineStr">
        <is>
          <t>公开评论</t>
        </is>
      </c>
      <c r="O126"/>
      <c r="P126" t="inlineStr">
        <is>
          <t>情绪粗标：正面；主题粗标：酸甜度；酒精感；香气；甜度；性价比；身体负担；京东商品评价弹层核验；已排除商家回复与用户名；评价页未展示评论点赞/有用数，点赞数留空</t>
        </is>
      </c>
      <c r="Q126" t="inlineStr">
        <is>
          <t>目标品牌</t>
        </is>
      </c>
      <c r="R126"/>
      <c r="S126" t="inlineStr">
        <is>
          <t>JD-20260809-052_ANALYSIS_BASELINE_formal-attempt-0001_AI</t>
        </is>
      </c>
      <c r="T126" t="inlineStr">
        <is>
          <t>梅见反馈</t>
        </is>
      </c>
      <c r="U126" t="inlineStr">
        <is>
          <t>KEEP</t>
        </is>
      </c>
      <c r="V126" t="inlineStr">
        <is>
          <t>ANALYSIS_BASELINE</t>
        </is>
      </c>
      <c r="W126" t="inlineStr">
        <is>
          <t>可用</t>
        </is>
      </c>
      <c r="X126" t="inlineStr">
        <is>
          <t>品牌语料分析与洞察体系.xlsx#表1：原始语料库!126</t>
        </is>
      </c>
      <c r="Y126" t="inlineStr">
        <is>
          <t>FROZEN_419_V2</t>
        </is>
      </c>
    </row>
    <row r="127" ht="25.5" customHeight="1">
      <c r="A127" t="inlineStr">
        <is>
          <t>JD-20260809-056</t>
        </is>
      </c>
      <c r="B127" t="inlineStr">
        <is>
          <t>梅见产品体验反馈</t>
        </is>
      </c>
      <c r="C127" t="inlineStr">
        <is>
          <t>PRJ001</t>
        </is>
      </c>
      <c r="D127" t="inlineStr">
        <is>
          <t>梅见｜【原味梅见】330ml*6</t>
        </is>
      </c>
      <c r="E127" t="inlineStr">
        <is>
          <t>这个酒怎么说呢，平时没事的时候喝还是不错的，就是觉得还是有点甜，应该小酒量的人喝还是很不错的，可以买来偶尔喝一喝这样子的</t>
        </is>
      </c>
      <c r="F127" t="inlineStr">
        <is>
          <t>品牌：梅见｜商品/规格：【原味梅见】330ml*6｜SKU：100013267874</t>
        </is>
      </c>
      <c r="G127" t="inlineStr">
        <is>
          <t>京东</t>
        </is>
      </c>
      <c r="H127" s="2" t="str">
        <f>=HYPERLINK("https://item.jd.com/100013267874.html", "https://item.jd.com/100013267874.html")</f>
        <v>https://item.jd.com/100013267874.html</v>
      </c>
      <c r="I127" s="3">
        <v>46104</v>
      </c>
      <c r="J127" s="4">
        <v>46243</v>
      </c>
      <c r="K127" t="inlineStr">
        <is>
          <t>梅见 青梅酒 商品评价</t>
        </is>
      </c>
      <c r="L127"/>
      <c r="M127" t="inlineStr">
        <is>
          <t>JD-U-20260809-056</t>
        </is>
      </c>
      <c r="N127" t="inlineStr">
        <is>
          <t>公开评论</t>
        </is>
      </c>
      <c r="O127"/>
      <c r="P127" t="inlineStr">
        <is>
          <t>情绪粗标：中性；主题粗标：甜度偏高；小酒量；日常小酌；京东商品评价弹层核验；已排除商家回复与用户名；评价页未展示评论点赞/有用数，点赞数留空</t>
        </is>
      </c>
      <c r="Q127" t="inlineStr">
        <is>
          <t>目标品牌</t>
        </is>
      </c>
      <c r="R127"/>
      <c r="S127" t="inlineStr">
        <is>
          <t>JD-20260809-056_GOLD_人工标注_人工,JD-20260809-056_GOLD_attempt-0002_AI_矫正前,JD-20260809-056_GOLD_attempt-0006_AI_矫正后</t>
        </is>
      </c>
      <c r="T127" t="inlineStr">
        <is>
          <t>梅见反馈</t>
        </is>
      </c>
      <c r="U127" t="inlineStr">
        <is>
          <t>KEEP</t>
        </is>
      </c>
      <c r="V127" t="inlineStr">
        <is>
          <t>GOLD</t>
        </is>
      </c>
      <c r="W127" t="inlineStr">
        <is>
          <t>不可用</t>
        </is>
      </c>
      <c r="X127" t="inlineStr">
        <is>
          <t>原始母表#raw_id=JD-20260809-056</t>
        </is>
      </c>
      <c r="Y127" t="inlineStr">
        <is>
          <t>FROZEN_419_V2</t>
        </is>
      </c>
    </row>
    <row r="128" ht="25.5" customHeight="1">
      <c r="A128" t="inlineStr">
        <is>
          <t>JD-20260809-060</t>
        </is>
      </c>
      <c r="B128" t="inlineStr">
        <is>
          <t>梅见产品体验反馈</t>
        </is>
      </c>
      <c r="C128" t="inlineStr">
        <is>
          <t>PRJ001</t>
        </is>
      </c>
      <c r="D128" t="inlineStr">
        <is>
          <t>梅见｜【杨梅梅见】330ml</t>
        </is>
      </c>
      <c r="E128" t="inlineStr">
        <is>
          <t>梅见青梅酒真的太适合女生了！12 度低度微醺，酸甜清爽不腻口，梅子香气浓郁，加冰喝更绝！330ml 小瓶装聚会自饮都方便，颜值高还能当花瓶，姐妹们冲！</t>
        </is>
      </c>
      <c r="F128" t="inlineStr">
        <is>
          <t>品牌：梅见｜商品/规格：【杨梅梅见】330ml｜SKU：100034280635</t>
        </is>
      </c>
      <c r="G128" t="inlineStr">
        <is>
          <t>京东</t>
        </is>
      </c>
      <c r="H128" s="2" t="str">
        <f>=HYPERLINK("https://item.jd.com/100034280635.html", "https://item.jd.com/100034280635.html")</f>
        <v>https://item.jd.com/100034280635.html</v>
      </c>
      <c r="I128" s="3">
        <v>46166</v>
      </c>
      <c r="J128" s="4">
        <v>46243</v>
      </c>
      <c r="K128" t="inlineStr">
        <is>
          <t>梅见 青梅酒 商品评价</t>
        </is>
      </c>
      <c r="L128"/>
      <c r="M128" t="inlineStr">
        <is>
          <t>JD-U-20260809-060</t>
        </is>
      </c>
      <c r="N128" t="inlineStr">
        <is>
          <t>公开评论</t>
        </is>
      </c>
      <c r="O128"/>
      <c r="P128" t="inlineStr">
        <is>
          <t>情绪粗标：正面；主题粗标：杨梅；酒精感；酸甜度；香气；加冰；规格；包装再利用；京东商品评价弹层核验；已排除商家回复与用户名；评价页未展示评论点赞/有用数，点赞数留空；疑似模板化表达，仅作为原始语料导入，表2需人工复核</t>
        </is>
      </c>
      <c r="Q128" t="inlineStr">
        <is>
          <t>目标品牌</t>
        </is>
      </c>
      <c r="R128"/>
      <c r="S128" t="inlineStr">
        <is>
          <t>JD-20260809-060_CHALLENGE_POOL_formal-attempt-0001_AI</t>
        </is>
      </c>
      <c r="T128" t="inlineStr">
        <is>
          <t>梅见反馈</t>
        </is>
      </c>
      <c r="U128" t="inlineStr">
        <is>
          <t>KEEP</t>
        </is>
      </c>
      <c r="V128" t="inlineStr">
        <is>
          <t>CHALLENGE</t>
        </is>
      </c>
      <c r="W128" t="inlineStr">
        <is>
          <t>可用</t>
        </is>
      </c>
      <c r="X128" t="inlineStr">
        <is>
          <t>品牌语料分析与洞察体系.xlsx#表1：原始语料库!128</t>
        </is>
      </c>
      <c r="Y128" t="inlineStr">
        <is>
          <t>FROZEN_419_V2</t>
        </is>
      </c>
    </row>
    <row r="129" ht="25.5" customHeight="1">
      <c r="A129" t="inlineStr">
        <is>
          <t>JD-20260809-061</t>
        </is>
      </c>
      <c r="B129" t="inlineStr">
        <is>
          <t>梅见产品体验反馈</t>
        </is>
      </c>
      <c r="C129" t="inlineStr">
        <is>
          <t>PRJ001</t>
        </is>
      </c>
      <c r="D129" t="inlineStr">
        <is>
          <t>梅见｜【清爽梅见】330ml</t>
        </is>
      </c>
      <c r="E129" t="inlineStr">
        <is>
          <t>第一次买这个酒，是在小红书种草的，还不错，冰一下很好喝，度数不高，很好入口。偶尔换换口味不错。京东配送真好。直接放到家门口。</t>
        </is>
      </c>
      <c r="F129" t="inlineStr">
        <is>
          <t>品牌：梅见｜商品/规格：【清爽梅见】330ml｜SKU：100034280635</t>
        </is>
      </c>
      <c r="G129" t="inlineStr">
        <is>
          <t>京东</t>
        </is>
      </c>
      <c r="H129" s="2" t="str">
        <f>=HYPERLINK("https://item.jd.com/100034280635.html", "https://item.jd.com/100034280635.html")</f>
        <v>https://item.jd.com/100034280635.html</v>
      </c>
      <c r="I129" s="3">
        <v>46167</v>
      </c>
      <c r="J129" s="4">
        <v>46243</v>
      </c>
      <c r="K129" t="inlineStr">
        <is>
          <t>梅见 青梅酒 商品评价</t>
        </is>
      </c>
      <c r="L129"/>
      <c r="M129" t="inlineStr">
        <is>
          <t>JD-U-20260809-061</t>
        </is>
      </c>
      <c r="N129" t="inlineStr">
        <is>
          <t>公开评论</t>
        </is>
      </c>
      <c r="O129"/>
      <c r="P129" t="inlineStr">
        <is>
          <t>情绪粗标：正面；主题粗标：小红书种草；清爽；冰镇；酒精感；入口感；换口味；京东商品评价弹层核验；已排除商家回复与用户名；评价页未展示评论点赞/有用数，点赞数留空</t>
        </is>
      </c>
      <c r="Q129" t="inlineStr">
        <is>
          <t>目标品牌</t>
        </is>
      </c>
      <c r="R129"/>
      <c r="S129" t="inlineStr">
        <is>
          <t>JD-20260809-061_ANALYSIS_BASELINE_formal-attempt-0001_AI</t>
        </is>
      </c>
      <c r="T129" t="inlineStr">
        <is>
          <t>梅见反馈</t>
        </is>
      </c>
      <c r="U129" t="inlineStr">
        <is>
          <t>KEEP</t>
        </is>
      </c>
      <c r="V129" t="inlineStr">
        <is>
          <t>ANALYSIS_BASELINE</t>
        </is>
      </c>
      <c r="W129" t="inlineStr">
        <is>
          <t>可用</t>
        </is>
      </c>
      <c r="X129" t="inlineStr">
        <is>
          <t>品牌语料分析与洞察体系.xlsx#表1：原始语料库!129</t>
        </is>
      </c>
      <c r="Y129" t="inlineStr">
        <is>
          <t>FROZEN_419_V2</t>
        </is>
      </c>
    </row>
    <row r="130" ht="25.5" customHeight="1">
      <c r="A130" t="inlineStr">
        <is>
          <t>JD-20260809-062</t>
        </is>
      </c>
      <c r="B130" t="inlineStr">
        <is>
          <t>梅见产品体验反馈</t>
        </is>
      </c>
      <c r="C130" t="inlineStr">
        <is>
          <t>PRJ001</t>
        </is>
      </c>
      <c r="D130" t="inlineStr">
        <is>
          <t>梅见｜【超酸梅见】330ml</t>
        </is>
      </c>
      <c r="E130" t="inlineStr">
        <is>
          <t>超酸版本很不错，原果原酿很干净，梅香正、酸度适口，加冰超好喝。微醺不头疼，颜值高、包装精致，自饮送礼都可，无限回购。赞一个</t>
        </is>
      </c>
      <c r="F130" t="inlineStr">
        <is>
          <t>品牌：梅见｜商品/规格：【超酸梅见】330ml｜SKU：100034280635</t>
        </is>
      </c>
      <c r="G130" t="inlineStr">
        <is>
          <t>京东</t>
        </is>
      </c>
      <c r="H130" s="2" t="str">
        <f>=HYPERLINK("https://item.jd.com/100034280635.html", "https://item.jd.com/100034280635.html")</f>
        <v>https://item.jd.com/100034280635.html</v>
      </c>
      <c r="I130" s="3">
        <v>46169</v>
      </c>
      <c r="J130" s="4">
        <v>46243</v>
      </c>
      <c r="K130" t="inlineStr">
        <is>
          <t>梅见 青梅酒 商品评价</t>
        </is>
      </c>
      <c r="L130"/>
      <c r="M130" t="inlineStr">
        <is>
          <t>JD-U-20260809-062</t>
        </is>
      </c>
      <c r="N130" t="inlineStr">
        <is>
          <t>公开评论</t>
        </is>
      </c>
      <c r="O130"/>
      <c r="P130" t="inlineStr">
        <is>
          <t>情绪粗标：正面；主题粗标：超酸；配料；香气；酸度；加冰；不头疼；包装；礼赠；回购；京东商品评价弹层核验；已排除商家回复与用户名；评价页未展示评论点赞/有用数，点赞数留空；疑似模板化表达，仅作为原始语料导入，表2需人工复核</t>
        </is>
      </c>
      <c r="Q130" t="inlineStr">
        <is>
          <t>目标品牌</t>
        </is>
      </c>
      <c r="R130"/>
      <c r="S130" t="inlineStr">
        <is>
          <t>JD-20260809-062_GOLD_人工标注_人工,JD-20260809-062_GOLD_attempt-0002_AI_矫正前,JD-20260809-062_GOLD_attempt-0006_AI_矫正后</t>
        </is>
      </c>
      <c r="T130" t="inlineStr">
        <is>
          <t>梅见反馈</t>
        </is>
      </c>
      <c r="U130" t="inlineStr">
        <is>
          <t>KEEP</t>
        </is>
      </c>
      <c r="V130" t="inlineStr">
        <is>
          <t>GOLD</t>
        </is>
      </c>
      <c r="W130" t="inlineStr">
        <is>
          <t>不可用</t>
        </is>
      </c>
      <c r="X130" t="inlineStr">
        <is>
          <t>原始母表#raw_id=JD-20260809-062</t>
        </is>
      </c>
      <c r="Y130" t="inlineStr">
        <is>
          <t>FROZEN_419_V2</t>
        </is>
      </c>
    </row>
    <row r="131" ht="25.5" customHeight="1">
      <c r="A131" t="inlineStr">
        <is>
          <t>JD-20260809-063</t>
        </is>
      </c>
      <c r="B131" t="inlineStr">
        <is>
          <t>梅见产品体验反馈</t>
        </is>
      </c>
      <c r="C131" t="inlineStr">
        <is>
          <t>PRJ001</t>
        </is>
      </c>
      <c r="D131" t="inlineStr">
        <is>
          <t>梅见｜【尝鲜装】烟熏 150ml*1瓶</t>
        </is>
      </c>
      <c r="E131" t="inlineStr">
        <is>
          <t>梅见青梅酒真的太懂女生了✨，清清爽爽的青梅果香中和了酒精的厚重感，入口酸甜柔和，度数不高很适合小聚浅酌。瓶身设计也很清新，不管是独饮小酌还是朋友聚会都很合适～</t>
        </is>
      </c>
      <c r="F131" t="inlineStr">
        <is>
          <t>品牌：梅见｜商品/规格：【尝鲜装】烟熏 150ml*1瓶｜SKU：100034280635</t>
        </is>
      </c>
      <c r="G131" t="inlineStr">
        <is>
          <t>京东</t>
        </is>
      </c>
      <c r="H131" s="2" t="str">
        <f>=HYPERLINK("https://item.jd.com/100034280635.html", "https://item.jd.com/100034280635.html")</f>
        <v>https://item.jd.com/100034280635.html</v>
      </c>
      <c r="I131" s="3">
        <v>46159</v>
      </c>
      <c r="J131" s="4">
        <v>46243</v>
      </c>
      <c r="K131" t="inlineStr">
        <is>
          <t>梅见 青梅酒 商品评价</t>
        </is>
      </c>
      <c r="L131"/>
      <c r="M131" t="inlineStr">
        <is>
          <t>JD-U-20260809-063</t>
        </is>
      </c>
      <c r="N131" t="inlineStr">
        <is>
          <t>公开评论</t>
        </is>
      </c>
      <c r="O131"/>
      <c r="P131" t="inlineStr">
        <is>
          <t>情绪粗标：正面；主题粗标：烟熏150ml；果香；酒精感；酸甜度；入口感；包装；聚会；京东商品评价弹层核验；已排除商家回复与用户名；评价页未展示评论点赞/有用数，点赞数留空；疑似模板化表达，仅作为原始语料导入，表2需人工复核</t>
        </is>
      </c>
      <c r="Q131" t="inlineStr">
        <is>
          <t>目标品牌</t>
        </is>
      </c>
      <c r="R131"/>
      <c r="S131" t="inlineStr">
        <is>
          <t>JD-20260809-063_GOLD_人工标注_人工,JD-20260809-063_GOLD_attempt-0002_AI_矫正前,JD-20260809-063_GOLD_attempt-0006_AI_矫正后</t>
        </is>
      </c>
      <c r="T131" t="inlineStr">
        <is>
          <t>梅见反馈</t>
        </is>
      </c>
      <c r="U131" t="inlineStr">
        <is>
          <t>KEEP</t>
        </is>
      </c>
      <c r="V131" t="inlineStr">
        <is>
          <t>GOLD</t>
        </is>
      </c>
      <c r="W131" t="inlineStr">
        <is>
          <t>不可用</t>
        </is>
      </c>
      <c r="X131" t="inlineStr">
        <is>
          <t>原始母表#raw_id=JD-20260809-063</t>
        </is>
      </c>
      <c r="Y131" t="inlineStr">
        <is>
          <t>FROZEN_419_V2</t>
        </is>
      </c>
    </row>
    <row r="132" ht="25.5" customHeight="1">
      <c r="A132" t="inlineStr">
        <is>
          <t>JD-20260809-068</t>
        </is>
      </c>
      <c r="B132" t="inlineStr">
        <is>
          <t>梅见产品体验反馈</t>
        </is>
      </c>
      <c r="C132" t="inlineStr">
        <is>
          <t>PRJ001</t>
        </is>
      </c>
      <c r="D132" t="inlineStr">
        <is>
          <t>梅见｜【金桂梅见】330ml</t>
        </is>
      </c>
      <c r="E132" t="inlineStr">
        <is>
          <t>新口味金桂梅酒，味道可以，不会喝酒的也能喝一杯，哈哈哈
香气浓郁度：很香
酒精度数：酒精度数比较低。</t>
        </is>
      </c>
      <c r="F132" t="inlineStr">
        <is>
          <t>品牌：梅见｜商品/规格：【金桂梅见】330ml｜SKU：100064573496</t>
        </is>
      </c>
      <c r="G132" t="inlineStr">
        <is>
          <t>京东</t>
        </is>
      </c>
      <c r="H132" s="2" t="str">
        <f>=HYPERLINK("https://item.jd.com/100064573496.html", "https://item.jd.com/100064573496.html")</f>
        <v>https://item.jd.com/100064573496.html</v>
      </c>
      <c r="I132" s="3">
        <v>46110</v>
      </c>
      <c r="J132" s="4">
        <v>46243</v>
      </c>
      <c r="K132" t="inlineStr">
        <is>
          <t>梅见 青梅酒 商品评价</t>
        </is>
      </c>
      <c r="L132"/>
      <c r="M132" t="inlineStr">
        <is>
          <t>JD-U-20260809-068</t>
        </is>
      </c>
      <c r="N132" t="inlineStr">
        <is>
          <t>公开评论</t>
        </is>
      </c>
      <c r="O132"/>
      <c r="P132" t="inlineStr">
        <is>
          <t>情绪粗标：中性；主题粗标：金桂；香气；酒精度低；低酒量适配；京东中评弹层核验；已排除商家回复与用户名；评价页未展示评论点赞/有用数，点赞数留空</t>
        </is>
      </c>
      <c r="Q132" t="inlineStr">
        <is>
          <t>目标品牌</t>
        </is>
      </c>
      <c r="R132"/>
      <c r="S132" t="inlineStr">
        <is>
          <t>JD-20260809-068_HOLDOUT_formal-attempt-0001_AI</t>
        </is>
      </c>
      <c r="T132" t="inlineStr">
        <is>
          <t>梅见反馈</t>
        </is>
      </c>
      <c r="U132" t="inlineStr">
        <is>
          <t>KEEP</t>
        </is>
      </c>
      <c r="V132" t="inlineStr">
        <is>
          <t>HOLDOUT</t>
        </is>
      </c>
      <c r="W132" t="inlineStr">
        <is>
          <t>可用</t>
        </is>
      </c>
      <c r="X132" t="inlineStr">
        <is>
          <t>品牌语料分析与洞察体系.xlsx#表1：原始语料库!132</t>
        </is>
      </c>
      <c r="Y132" t="inlineStr">
        <is>
          <t>FROZEN_419_V2</t>
        </is>
      </c>
    </row>
    <row r="133" ht="25.5" customHeight="1">
      <c r="A133" t="inlineStr">
        <is>
          <t>TB-20260809-032</t>
        </is>
      </c>
      <c r="B133" t="inlineStr">
        <is>
          <t>梅见产品体验反馈</t>
        </is>
      </c>
      <c r="C133" t="inlineStr">
        <is>
          <t>PRJ001</t>
        </is>
      </c>
      <c r="D133" t="inlineStr">
        <is>
          <t>梅见｜12度发酵330ml</t>
        </is>
      </c>
      <c r="E133" t="inlineStr">
        <is>
          <t>本来只是随便买来试试，没想到味道这么好。口感清爽不甜腻，喝起来很顺滑没有怪味，冰镇之后喝更舒服，已经安利给身边朋友了</t>
        </is>
      </c>
      <c r="F133" t="inlineStr">
        <is>
          <t>品牌：梅见｜商品/规格：12度发酵330ml｜SKU：681094845930</t>
        </is>
      </c>
      <c r="G133" t="inlineStr">
        <is>
          <t>淘宝</t>
        </is>
      </c>
      <c r="H133" s="2" t="str">
        <f>=HYPERLINK("https://detail.tmall.com/item.htm?id=681094845930", "https://detail.tmall.com/item.htm?id=681094845930")</f>
        <v>https://detail.tmall.com/item.htm?id=681094845930</v>
      </c>
      <c r="I133" s="3">
        <v>46212</v>
      </c>
      <c r="J133" s="4">
        <v>46243</v>
      </c>
      <c r="K133" t="inlineStr">
        <is>
          <t>梅见 青梅酒 商品评价</t>
        </is>
      </c>
      <c r="L133"/>
      <c r="M133" t="inlineStr">
        <is>
          <t>TB-U-20260809-032</t>
        </is>
      </c>
      <c r="N133" t="inlineStr">
        <is>
          <t>公开评论</t>
        </is>
      </c>
      <c r="O133"/>
      <c r="P133" t="inlineStr">
        <is>
          <t>情绪粗标：正面；主题粗标：购买动机；甜度；入口感；冰镇；推荐理由；梅见旗舰店商品评价；未记录用户名；已排除商家回复；评价页未展示评论点赞/有用数，点赞数留空</t>
        </is>
      </c>
      <c r="Q133" t="inlineStr">
        <is>
          <t>目标品牌</t>
        </is>
      </c>
      <c r="R133"/>
      <c r="S133" t="inlineStr">
        <is>
          <t>TB-20260809-032_CHALLENGE_POOL_formal-attempt-0001_AI</t>
        </is>
      </c>
      <c r="T133" t="inlineStr">
        <is>
          <t>梅见反馈</t>
        </is>
      </c>
      <c r="U133" t="inlineStr">
        <is>
          <t>KEEP</t>
        </is>
      </c>
      <c r="V133" t="inlineStr">
        <is>
          <t>CHALLENGE</t>
        </is>
      </c>
      <c r="W133" t="inlineStr">
        <is>
          <t>可用</t>
        </is>
      </c>
      <c r="X133" t="inlineStr">
        <is>
          <t>品牌语料分析与洞察体系.xlsx#表1：原始语料库!133</t>
        </is>
      </c>
      <c r="Y133" t="inlineStr">
        <is>
          <t>FROZEN_419_V2</t>
        </is>
      </c>
    </row>
    <row r="134" ht="25.5" customHeight="1">
      <c r="A134" t="inlineStr">
        <is>
          <t>JD-RAW-0105</t>
        </is>
      </c>
      <c r="B134" t="inlineStr">
        <is>
          <t>梅见产品体验反馈</t>
        </is>
      </c>
      <c r="C134" t="inlineStr">
        <is>
          <t>PRJ001</t>
        </is>
      </c>
      <c r="D134" t="inlineStr">
        <is>
          <t>梅见</t>
        </is>
      </c>
      <c r="E134" t="inlineStr">
        <is>
          <t>果酒颜色正，喝起来顺口，喝着酸溜溜。</t>
        </is>
      </c>
      <c r="F134" t="inlineStr">
        <is>
          <t>商品：12度发酵330ml；SKU：681094845930</t>
        </is>
      </c>
      <c r="G134" t="inlineStr">
        <is>
          <t>淘宝</t>
        </is>
      </c>
      <c r="H134" s="2" t="str">
        <f>=HYPERLINK("https://detail.tmall.com/item.htm?id=681094845930", "https://detail.tmall.com/item.htm?id=681094845930")</f>
        <v>https://detail.tmall.com/item.htm?id=681094845930</v>
      </c>
      <c r="I134" s="3">
        <v>46207</v>
      </c>
      <c r="J134" s="4">
        <v>46243</v>
      </c>
      <c r="K134" t="inlineStr">
        <is>
          <t>梅见 青梅酒 口感 评价</t>
        </is>
      </c>
      <c r="L134"/>
      <c r="M134" t="inlineStr">
        <is>
          <t>MJ-TB-U-003</t>
        </is>
      </c>
      <c r="N134" t="inlineStr">
        <is>
          <t>公开评论</t>
        </is>
      </c>
      <c r="O134"/>
      <c r="P134" t="inlineStr">
        <is>
          <t>与TB-20260809-036原始内容完全重复；历史编号错误，实际平台为淘宝（PREFIX_MISMATCH）</t>
        </is>
      </c>
      <c r="Q134" t="inlineStr">
        <is>
          <t>目标品牌</t>
        </is>
      </c>
      <c r="R134"/>
      <c r="S134" t="inlineStr">
        <is>
          <t>JD-RAW-0105_HOLDOUT_formal-attempt-0001_AI</t>
        </is>
      </c>
      <c r="T134" t="inlineStr">
        <is>
          <t>梅见反馈</t>
        </is>
      </c>
      <c r="U134" t="inlineStr">
        <is>
          <t>EXCLUDE</t>
        </is>
      </c>
      <c r="V134" t="inlineStr">
        <is>
          <t>EXCLUDE</t>
        </is>
      </c>
      <c r="W134" t="inlineStr">
        <is>
          <t>可用</t>
        </is>
      </c>
      <c r="X134" t="inlineStr">
        <is>
          <t>品牌语料分析与洞察体系.xlsx#表1：原始语料库!134</t>
        </is>
      </c>
      <c r="Y134" t="inlineStr">
        <is>
          <t>FROZEN_419_V2</t>
        </is>
      </c>
    </row>
    <row r="135" ht="25.5" customHeight="1">
      <c r="A135" t="inlineStr">
        <is>
          <t>TB-20260809-039</t>
        </is>
      </c>
      <c r="B135" t="inlineStr">
        <is>
          <t>梅见产品体验反馈</t>
        </is>
      </c>
      <c r="C135" t="inlineStr">
        <is>
          <t>PRJ001</t>
        </is>
      </c>
      <c r="D135" t="inlineStr">
        <is>
          <t>梅见｜12度发酵330ml</t>
        </is>
      </c>
      <c r="E135" t="inlineStr">
        <is>
          <t>瓶子很漂亮，口感也是酸酸甜甜的，酒精度也不高很适合女孩子喝</t>
        </is>
      </c>
      <c r="F135" t="inlineStr">
        <is>
          <t>品牌：梅见｜商品/规格：12度发酵330ml｜SKU：681094845930</t>
        </is>
      </c>
      <c r="G135" t="inlineStr">
        <is>
          <t>淘宝</t>
        </is>
      </c>
      <c r="H135" s="2" t="str">
        <f>=HYPERLINK("https://detail.tmall.com/item.htm?id=681094845930", "https://detail.tmall.com/item.htm?id=681094845930")</f>
        <v>https://detail.tmall.com/item.htm?id=681094845930</v>
      </c>
      <c r="I135" s="3">
        <v>46178</v>
      </c>
      <c r="J135" s="4">
        <v>46243</v>
      </c>
      <c r="K135" t="inlineStr">
        <is>
          <t>梅见 青梅酒 商品评价</t>
        </is>
      </c>
      <c r="L135"/>
      <c r="M135" t="inlineStr">
        <is>
          <t>TB-U-20260809-039</t>
        </is>
      </c>
      <c r="N135" t="inlineStr">
        <is>
          <t>公开评论</t>
        </is>
      </c>
      <c r="O135"/>
      <c r="P135" t="inlineStr">
        <is>
          <t>情绪粗标：正面；主题粗标：包装外观；酸甜度；酒精感；适饮人群；梅见旗舰店商品评价；未记录用户名；已排除商家回复；评价页未展示评论点赞/有用数，点赞数留空</t>
        </is>
      </c>
      <c r="Q135" t="inlineStr">
        <is>
          <t>目标品牌</t>
        </is>
      </c>
      <c r="R135"/>
      <c r="S135" t="inlineStr">
        <is>
          <t>TB-20260809-039_GOLD_人工标注_人工,TB-20260809-039_GOLD_attempt-0002_AI_矫正前,TB-20260809-039_GOLD_attempt-0006_AI_矫正后</t>
        </is>
      </c>
      <c r="T135" t="inlineStr">
        <is>
          <t>梅见反馈</t>
        </is>
      </c>
      <c r="U135" t="inlineStr">
        <is>
          <t>KEEP</t>
        </is>
      </c>
      <c r="V135" t="inlineStr">
        <is>
          <t>GOLD</t>
        </is>
      </c>
      <c r="W135" t="inlineStr">
        <is>
          <t>不可用</t>
        </is>
      </c>
      <c r="X135" t="inlineStr">
        <is>
          <t>原始母表#raw_id=TB-20260809-039</t>
        </is>
      </c>
      <c r="Y135" t="inlineStr">
        <is>
          <t>FROZEN_419_V2</t>
        </is>
      </c>
    </row>
    <row r="136" ht="25.5" customHeight="1">
      <c r="A136" t="inlineStr">
        <is>
          <t>TB-20260809-041</t>
        </is>
      </c>
      <c r="B136" t="inlineStr">
        <is>
          <t>梅见产品体验反馈</t>
        </is>
      </c>
      <c r="C136" t="inlineStr">
        <is>
          <t>PRJ001</t>
        </is>
      </c>
      <c r="D136" t="inlineStr">
        <is>
          <t>梅见｜12度金桂330ml</t>
        </is>
      </c>
      <c r="E136" t="inlineStr">
        <is>
          <t>果酒喝起来酸爽不刺口，挺适合我口味的。</t>
        </is>
      </c>
      <c r="F136" t="inlineStr">
        <is>
          <t>品牌：梅见｜商品/规格：12度金桂330ml｜SKU：681094845930</t>
        </is>
      </c>
      <c r="G136" t="inlineStr">
        <is>
          <t>淘宝</t>
        </is>
      </c>
      <c r="H136" s="2" t="str">
        <f>=HYPERLINK("https://detail.tmall.com/item.htm?id=681094845930", "https://detail.tmall.com/item.htm?id=681094845930")</f>
        <v>https://detail.tmall.com/item.htm?id=681094845930</v>
      </c>
      <c r="I136" s="3">
        <v>46229</v>
      </c>
      <c r="J136" s="4">
        <v>46243</v>
      </c>
      <c r="K136" t="inlineStr">
        <is>
          <t>梅见 青梅酒 商品评价</t>
        </is>
      </c>
      <c r="L136"/>
      <c r="M136" t="inlineStr">
        <is>
          <t>TB-U-20260809-041</t>
        </is>
      </c>
      <c r="N136" t="inlineStr">
        <is>
          <t>公开评论</t>
        </is>
      </c>
      <c r="O136"/>
      <c r="P136" t="inlineStr">
        <is>
          <t>情绪粗标：正面；主题粗标：酸度；入口感；适口性；梅见旗舰店商品评价；未记录用户名；已排除商家回复；评价页未展示评论点赞/有用数，点赞数留空</t>
        </is>
      </c>
      <c r="Q136" t="inlineStr">
        <is>
          <t>目标品牌</t>
        </is>
      </c>
      <c r="R136"/>
      <c r="S136" t="inlineStr">
        <is>
          <t>TB-20260809-041_ANALYSIS_BASELINE_formal-attempt-0001_AI</t>
        </is>
      </c>
      <c r="T136" t="inlineStr">
        <is>
          <t>梅见反馈</t>
        </is>
      </c>
      <c r="U136" t="inlineStr">
        <is>
          <t>KEEP</t>
        </is>
      </c>
      <c r="V136" t="inlineStr">
        <is>
          <t>ANALYSIS_BASELINE</t>
        </is>
      </c>
      <c r="W136" t="inlineStr">
        <is>
          <t>可用</t>
        </is>
      </c>
      <c r="X136" t="inlineStr">
        <is>
          <t>品牌语料分析与洞察体系.xlsx#表1：原始语料库!136</t>
        </is>
      </c>
      <c r="Y136" t="inlineStr">
        <is>
          <t>FROZEN_419_V2</t>
        </is>
      </c>
    </row>
    <row r="137" ht="25.5" customHeight="1">
      <c r="A137" t="inlineStr">
        <is>
          <t>TB-20260809-043</t>
        </is>
      </c>
      <c r="B137" t="inlineStr">
        <is>
          <t>梅见产品体验反馈</t>
        </is>
      </c>
      <c r="C137" t="inlineStr">
        <is>
          <t>PRJ001</t>
        </is>
      </c>
      <c r="D137" t="inlineStr">
        <is>
          <t>梅见｜超酸梅见150ml</t>
        </is>
      </c>
      <c r="E137" t="inlineStr">
        <is>
          <t>微酸偏甜，很清口，生产日期新鲜</t>
        </is>
      </c>
      <c r="F137" t="inlineStr">
        <is>
          <t>品牌：梅见｜商品/规格：超酸梅见150ml｜SKU：935881887671</t>
        </is>
      </c>
      <c r="G137" t="inlineStr">
        <is>
          <t>淘宝</t>
        </is>
      </c>
      <c r="H137" s="2" t="str">
        <f>=HYPERLINK("https://detail.tmall.com/item.htm?id=935881887671", "https://detail.tmall.com/item.htm?id=935881887671")</f>
        <v>https://detail.tmall.com/item.htm?id=935881887671</v>
      </c>
      <c r="I137" s="3">
        <v>46158</v>
      </c>
      <c r="J137" s="4">
        <v>46243</v>
      </c>
      <c r="K137" t="inlineStr">
        <is>
          <t>梅见 青梅酒 商品评价</t>
        </is>
      </c>
      <c r="L137"/>
      <c r="M137" t="inlineStr">
        <is>
          <t>TB-U-20260809-043</t>
        </is>
      </c>
      <c r="N137" t="inlineStr">
        <is>
          <t>公开评论</t>
        </is>
      </c>
      <c r="O137"/>
      <c r="P137" t="inlineStr">
        <is>
          <t>情绪粗标：中性；主题粗标：酸甜度；入口感；生产日期；时光梅旗舰店商品评价；日期按规则放宽；未记录用户名；已排除商家回复；评价页未展示评论点赞/有用数，点赞数留空</t>
        </is>
      </c>
      <c r="Q137" t="inlineStr">
        <is>
          <t>目标品牌</t>
        </is>
      </c>
      <c r="R137"/>
      <c r="S137" t="inlineStr">
        <is>
          <t>TB-20260809-043_ANALYSIS_BASELINE_formal-attempt-0001_AI</t>
        </is>
      </c>
      <c r="T137" t="inlineStr">
        <is>
          <t>梅见反馈</t>
        </is>
      </c>
      <c r="U137" t="inlineStr">
        <is>
          <t>KEEP</t>
        </is>
      </c>
      <c r="V137" t="inlineStr">
        <is>
          <t>ANALYSIS_BASELINE</t>
        </is>
      </c>
      <c r="W137" t="inlineStr">
        <is>
          <t>可用</t>
        </is>
      </c>
      <c r="X137" t="inlineStr">
        <is>
          <t>品牌语料分析与洞察体系.xlsx#表1：原始语料库!137</t>
        </is>
      </c>
      <c r="Y137" t="inlineStr">
        <is>
          <t>FROZEN_419_V2</t>
        </is>
      </c>
    </row>
    <row r="138" ht="25.5" customHeight="1">
      <c r="A138" t="inlineStr">
        <is>
          <t>TB-20260809-044</t>
        </is>
      </c>
      <c r="B138" t="inlineStr">
        <is>
          <t>梅见产品体验反馈</t>
        </is>
      </c>
      <c r="C138" t="inlineStr">
        <is>
          <t>PRJ001</t>
        </is>
      </c>
      <c r="D138" t="inlineStr">
        <is>
          <t>梅见｜乌梅梅见150ml</t>
        </is>
      </c>
      <c r="E138" t="inlineStr">
        <is>
          <t>小资产阶级，跟闺蜜吃饭时一人一瓶正好，酒量不好就是喝着开心，一瓶下肚微醺</t>
        </is>
      </c>
      <c r="F138" t="inlineStr">
        <is>
          <t>品牌：梅见｜商品/规格：乌梅梅见150ml｜SKU：935881887671</t>
        </is>
      </c>
      <c r="G138" t="inlineStr">
        <is>
          <t>淘宝</t>
        </is>
      </c>
      <c r="H138" s="2" t="str">
        <f>=HYPERLINK("https://detail.tmall.com/item.htm?id=935881887671", "https://detail.tmall.com/item.htm?id=935881887671")</f>
        <v>https://detail.tmall.com/item.htm?id=935881887671</v>
      </c>
      <c r="I138" s="3">
        <v>46129</v>
      </c>
      <c r="J138" s="4">
        <v>46243</v>
      </c>
      <c r="K138" t="inlineStr">
        <is>
          <t>梅见 青梅酒 商品评价</t>
        </is>
      </c>
      <c r="L138"/>
      <c r="M138" t="inlineStr">
        <is>
          <t>TB-U-20260809-044</t>
        </is>
      </c>
      <c r="N138" t="inlineStr">
        <is>
          <t>公开评论</t>
        </is>
      </c>
      <c r="O138"/>
      <c r="P138" t="inlineStr">
        <is>
          <t>情绪粗标：正面；主题粗标：150ml规格；饮用场景；酒量；微醺；时光梅旗舰店商品评价；日期按规则放宽；未记录用户名；已排除商家回复；评价页未展示评论点赞/有用数，点赞数留空</t>
        </is>
      </c>
      <c r="Q138" t="inlineStr">
        <is>
          <t>目标品牌</t>
        </is>
      </c>
      <c r="R138"/>
      <c r="S138" t="inlineStr">
        <is>
          <t>TB-20260809-044_ANALYSIS_BASELINE_formal-attempt-0001_AI</t>
        </is>
      </c>
      <c r="T138" t="inlineStr">
        <is>
          <t>梅见反馈</t>
        </is>
      </c>
      <c r="U138" t="inlineStr">
        <is>
          <t>KEEP</t>
        </is>
      </c>
      <c r="V138" t="inlineStr">
        <is>
          <t>ANALYSIS_BASELINE</t>
        </is>
      </c>
      <c r="W138" t="inlineStr">
        <is>
          <t>可用</t>
        </is>
      </c>
      <c r="X138" t="inlineStr">
        <is>
          <t>品牌语料分析与洞察体系.xlsx#表1：原始语料库!138</t>
        </is>
      </c>
      <c r="Y138" t="inlineStr">
        <is>
          <t>FROZEN_419_V2</t>
        </is>
      </c>
    </row>
    <row r="139" ht="25.5" customHeight="1">
      <c r="A139" t="inlineStr">
        <is>
          <t>TB-20260809-048</t>
        </is>
      </c>
      <c r="B139" t="inlineStr">
        <is>
          <t>梅见产品体验反馈</t>
        </is>
      </c>
      <c r="C139" t="inlineStr">
        <is>
          <t>PRJ001</t>
        </is>
      </c>
      <c r="D139" t="inlineStr">
        <is>
          <t>梅见｜超酸梅见150ml</t>
        </is>
      </c>
      <c r="E139" t="inlineStr">
        <is>
          <t>✨这款青梅酒真的超赞！🌟酸甜度刚刚好，入口顺滑不呛喉，低度微醺太适合女生啦～😋包装精致小巧，随身携带也方便，冰镇后口感更绝！💯喝完还想回购的神仙饮品～</t>
        </is>
      </c>
      <c r="F139" t="inlineStr">
        <is>
          <t>品牌：梅见｜商品/规格：超酸梅见150ml｜SKU：935881887671</t>
        </is>
      </c>
      <c r="G139" t="inlineStr">
        <is>
          <t>淘宝</t>
        </is>
      </c>
      <c r="H139" s="2" t="str">
        <f>=HYPERLINK("https://detail.tmall.com/item.htm?id=935881887671", "https://detail.tmall.com/item.htm?id=935881887671")</f>
        <v>https://detail.tmall.com/item.htm?id=935881887671</v>
      </c>
      <c r="I139" s="3">
        <v>46121</v>
      </c>
      <c r="J139" s="4">
        <v>46243</v>
      </c>
      <c r="K139" t="inlineStr">
        <is>
          <t>梅见 青梅酒 商品评价</t>
        </is>
      </c>
      <c r="L139"/>
      <c r="M139" t="inlineStr">
        <is>
          <t>TB-U-20260809-048</t>
        </is>
      </c>
      <c r="N139" t="inlineStr">
        <is>
          <t>公开评论</t>
        </is>
      </c>
      <c r="O139"/>
      <c r="P139" t="inlineStr">
        <is>
          <t>情绪粗标：正面；主题粗标：酸甜度；入口感；酒精感；包装；冰镇；回购；时光梅旗舰店商品评价；日期按规则放宽；未记录用户名；已排除商家回复；评价页未展示评论点赞/有用数，点赞数留空；疑似模板化表达，仅作为原始语料导入，表2需人工复核</t>
        </is>
      </c>
      <c r="Q139" t="inlineStr">
        <is>
          <t>目标品牌</t>
        </is>
      </c>
      <c r="R139"/>
      <c r="S139" t="inlineStr">
        <is>
          <t>TB-20260809-048_ANALYSIS_BASELINE_formal-attempt-0001_AI</t>
        </is>
      </c>
      <c r="T139" t="inlineStr">
        <is>
          <t>梅见反馈</t>
        </is>
      </c>
      <c r="U139" t="inlineStr">
        <is>
          <t>KEEP</t>
        </is>
      </c>
      <c r="V139" t="inlineStr">
        <is>
          <t>ANALYSIS_BASELINE</t>
        </is>
      </c>
      <c r="W139" t="inlineStr">
        <is>
          <t>可用</t>
        </is>
      </c>
      <c r="X139" t="inlineStr">
        <is>
          <t>品牌语料分析与洞察体系.xlsx#表1：原始语料库!139</t>
        </is>
      </c>
      <c r="Y139" t="inlineStr">
        <is>
          <t>FROZEN_419_V2</t>
        </is>
      </c>
    </row>
    <row r="140" ht="25.5" customHeight="1">
      <c r="A140" t="inlineStr">
        <is>
          <t>TB-20260809-049</t>
        </is>
      </c>
      <c r="B140" t="inlineStr">
        <is>
          <t>梅见产品体验反馈</t>
        </is>
      </c>
      <c r="C140" t="inlineStr">
        <is>
          <t>PRJ001</t>
        </is>
      </c>
      <c r="D140" t="inlineStr">
        <is>
          <t>梅见｜乌梅梅见150ml</t>
        </is>
      </c>
      <c r="E140" t="inlineStr">
        <is>
          <t>烟熏乌梅风味儿青梅酒非常好喝，喝青梅酒就选梅见，好喝不贵，5分好评！</t>
        </is>
      </c>
      <c r="F140" t="inlineStr">
        <is>
          <t>品牌：梅见｜商品/规格：乌梅梅见150ml｜SKU：935881887671</t>
        </is>
      </c>
      <c r="G140" t="inlineStr">
        <is>
          <t>淘宝</t>
        </is>
      </c>
      <c r="H140" s="2" t="str">
        <f>=HYPERLINK("https://detail.tmall.com/item.htm?id=935881887671", "https://detail.tmall.com/item.htm?id=935881887671")</f>
        <v>https://detail.tmall.com/item.htm?id=935881887671</v>
      </c>
      <c r="I140" s="3">
        <v>46116</v>
      </c>
      <c r="J140" s="4">
        <v>46243</v>
      </c>
      <c r="K140" t="inlineStr">
        <is>
          <t>梅见 青梅酒 商品评价</t>
        </is>
      </c>
      <c r="L140"/>
      <c r="M140" t="inlineStr">
        <is>
          <t>TB-U-20260809-049</t>
        </is>
      </c>
      <c r="N140" t="inlineStr">
        <is>
          <t>公开评论</t>
        </is>
      </c>
      <c r="O140"/>
      <c r="P140" t="inlineStr">
        <is>
          <t>情绪粗标：正面；主题粗标：烟熏乌梅风味；价格；品牌认知；时光梅旗舰店商品评价；日期按规则放宽；未记录用户名；已排除商家回复；评价页未展示评论点赞/有用数，点赞数留空</t>
        </is>
      </c>
      <c r="Q140" t="inlineStr">
        <is>
          <t>目标品牌</t>
        </is>
      </c>
      <c r="R140"/>
      <c r="S140" t="inlineStr">
        <is>
          <t>TB-20260809-049_ANALYSIS_BASELINE_formal-attempt-0001_AI</t>
        </is>
      </c>
      <c r="T140" t="inlineStr">
        <is>
          <t>梅见反馈</t>
        </is>
      </c>
      <c r="U140" t="inlineStr">
        <is>
          <t>KEEP</t>
        </is>
      </c>
      <c r="V140" t="inlineStr">
        <is>
          <t>ANALYSIS_BASELINE</t>
        </is>
      </c>
      <c r="W140" t="inlineStr">
        <is>
          <t>可用</t>
        </is>
      </c>
      <c r="X140" t="inlineStr">
        <is>
          <t>品牌语料分析与洞察体系.xlsx#表1：原始语料库!140</t>
        </is>
      </c>
      <c r="Y140" t="inlineStr">
        <is>
          <t>FROZEN_419_V2</t>
        </is>
      </c>
    </row>
    <row r="141" ht="25.5" customHeight="1">
      <c r="A141" t="inlineStr">
        <is>
          <t>TB-20260809-050</t>
        </is>
      </c>
      <c r="B141" t="inlineStr">
        <is>
          <t>梅见产品体验反馈</t>
        </is>
      </c>
      <c r="C141" t="inlineStr">
        <is>
          <t>PRJ001</t>
        </is>
      </c>
      <c r="D141" t="inlineStr">
        <is>
          <t>梅见｜乌梅梅见150ml</t>
        </is>
      </c>
      <c r="E141" t="inlineStr">
        <is>
          <t>梅见这个品牌可以的，口感好 后劲不大 适合女生</t>
        </is>
      </c>
      <c r="F141" t="inlineStr">
        <is>
          <t>品牌：梅见｜商品/规格：乌梅梅见150ml｜SKU：935881887671</t>
        </is>
      </c>
      <c r="G141" t="inlineStr">
        <is>
          <t>淘宝</t>
        </is>
      </c>
      <c r="H141" s="2" t="str">
        <f>=HYPERLINK("https://detail.tmall.com/item.htm?id=935881887671", "https://detail.tmall.com/item.htm?id=935881887671")</f>
        <v>https://detail.tmall.com/item.htm?id=935881887671</v>
      </c>
      <c r="I141" s="3">
        <v>46112</v>
      </c>
      <c r="J141" s="4">
        <v>46243</v>
      </c>
      <c r="K141" t="inlineStr">
        <is>
          <t>梅见 青梅酒 商品评价</t>
        </is>
      </c>
      <c r="L141"/>
      <c r="M141" t="inlineStr">
        <is>
          <t>TB-U-20260809-050</t>
        </is>
      </c>
      <c r="N141" t="inlineStr">
        <is>
          <t>公开评论</t>
        </is>
      </c>
      <c r="O141"/>
      <c r="P141" t="inlineStr">
        <is>
          <t>情绪粗标：正面；主题粗标：品牌认知；入口感；后劲；适饮人群；时光梅旗舰店商品评价；日期按规则放宽；未记录用户名；已排除商家回复；评价页未展示评论点赞/有用数，点赞数留空</t>
        </is>
      </c>
      <c r="Q141" t="inlineStr">
        <is>
          <t>目标品牌</t>
        </is>
      </c>
      <c r="R141"/>
      <c r="S141" t="inlineStr">
        <is>
          <t>TB-20260809-050_GOLD_人工标注_人工,TB-20260809-050_GOLD_attempt-0002_AI_矫正前,TB-20260809-050_GOLD_attempt-0006_AI_矫正后</t>
        </is>
      </c>
      <c r="T141" t="inlineStr">
        <is>
          <t>梅见反馈</t>
        </is>
      </c>
      <c r="U141" t="inlineStr">
        <is>
          <t>KEEP</t>
        </is>
      </c>
      <c r="V141" t="inlineStr">
        <is>
          <t>GOLD</t>
        </is>
      </c>
      <c r="W141" t="inlineStr">
        <is>
          <t>不可用</t>
        </is>
      </c>
      <c r="X141" t="inlineStr">
        <is>
          <t>原始母表#raw_id=TB-20260809-050</t>
        </is>
      </c>
      <c r="Y141" t="inlineStr">
        <is>
          <t>FROZEN_419_V2</t>
        </is>
      </c>
    </row>
    <row r="142" ht="25.5" customHeight="1">
      <c r="A142" t="inlineStr">
        <is>
          <t>MJ-RAW-0061</t>
        </is>
      </c>
      <c r="B142" t="inlineStr">
        <is>
          <t>梅见品牌认知与传播反馈</t>
        </is>
      </c>
      <c r="C142" t="inlineStr">
        <is>
          <t>PRJ001</t>
        </is>
      </c>
      <c r="D142" t="inlineStr">
        <is>
          <t>梅见</t>
        </is>
      </c>
      <c r="E142" t="inlineStr">
        <is>
          <t>和好久没见的人一起喝好酒梅见，这是故事最好的结局</t>
        </is>
      </c>
      <c r="F142" t="inlineStr">
        <is>
          <t>来源：抖音平台用户评论</t>
        </is>
      </c>
      <c r="G142" t="inlineStr">
        <is>
          <t>抖音</t>
        </is>
      </c>
      <c r="H142" s="2" t="str">
        <f>=HYPERLINK("https://www.douyin.com/jingxuan/search/%E6%A2%85%E8%A7%81?aid=5d675a76-bfbf-47be-9dd6-a3198f6b9bc9&amp;modal_id=7480476999740296483&amp;type=general", "https://www.douyin.com/jingxuan/search/%E6%A2%85%E8%A7%81?aid=5d675a76-bfbf-47be-9dd6-a3198f6b9bc9&amp;modal_id=7480476999740296483&amp;type=general")</f>
        <v>https://www.douyin.com/jingxuan/search/%E6%A2%85%E8%A7%81?aid=5d675a76-bfbf-47be-9dd6-a3198f6b9bc9&amp;modal_id=7480476999740296483&amp;type=general</v>
      </c>
      <c r="I142" s="3">
        <v>46088.02222222222</v>
      </c>
      <c r="J142" s="4">
        <v>46241</v>
      </c>
      <c r="K142" t="inlineStr">
        <is>
          <t>梅见 品牌 评价 推荐</t>
        </is>
      </c>
      <c r="L142">
        <v>37</v>
      </c>
      <c r="M142" t="inlineStr">
        <is>
          <t>MJ-DY-U-011</t>
        </is>
      </c>
      <c r="N142" t="inlineStr">
        <is>
          <t>公开评论</t>
        </is>
      </c>
      <c r="O142"/>
      <c r="P142" t="inlineStr">
        <is>
          <t>社媒平台初筛语料，待进一步清洗与分析</t>
        </is>
      </c>
      <c r="Q142" t="inlineStr">
        <is>
          <t>目标品牌</t>
        </is>
      </c>
      <c r="R142"/>
      <c r="S142" t="inlineStr">
        <is>
          <t>MJ-RAW-0061_GOLD_人工标注_人工,MJ-RAW-0061_GOLD_attempt-0002_AI_矫正前,MJ-RAW-0061_GOLD_attempt-0006_AI_矫正后</t>
        </is>
      </c>
      <c r="T142" t="inlineStr">
        <is>
          <t>梅见反馈</t>
        </is>
      </c>
      <c r="U142" t="inlineStr">
        <is>
          <t>KEEP</t>
        </is>
      </c>
      <c r="V142" t="inlineStr">
        <is>
          <t>GOLD</t>
        </is>
      </c>
      <c r="W142" t="inlineStr">
        <is>
          <t>不可用</t>
        </is>
      </c>
      <c r="X142" t="inlineStr">
        <is>
          <t>原始母表#raw_id=MJ-RAW-0061</t>
        </is>
      </c>
      <c r="Y142" t="inlineStr">
        <is>
          <t>FROZEN_419_V2</t>
        </is>
      </c>
    </row>
    <row r="143" ht="25.5" customHeight="1">
      <c r="A143" t="inlineStr">
        <is>
          <t>MJ-RAW-0062</t>
        </is>
      </c>
      <c r="B143" t="inlineStr">
        <is>
          <t>梅见品牌认知与传播反馈</t>
        </is>
      </c>
      <c r="C143" t="inlineStr">
        <is>
          <t>PRJ001</t>
        </is>
      </c>
      <c r="D143" t="inlineStr">
        <is>
          <t>梅见</t>
        </is>
      </c>
      <c r="E143" t="inlineStr">
        <is>
          <t>是好久梅见了</t>
        </is>
      </c>
      <c r="F143" t="inlineStr">
        <is>
          <t>来源：抖音平台用户评论</t>
        </is>
      </c>
      <c r="G143" t="inlineStr">
        <is>
          <t>抖音</t>
        </is>
      </c>
      <c r="H143" s="2" t="str">
        <f>=HYPERLINK("https://www.douyin.com/jingxuan/search/%E6%A2%85%E8%A7%81?aid=5d675a76-bfbf-47be-9dd6-a3198f6b9bc9&amp;modal_id=7400774000923741455&amp;type=general", "https://www.douyin.com/jingxuan/search/%E6%A2%85%E8%A7%81?aid=5d675a76-bfbf-47be-9dd6-a3198f6b9bc9&amp;modal_id=7400774000923741455&amp;type=general")</f>
        <v>https://www.douyin.com/jingxuan/search/%E6%A2%85%E8%A7%81?aid=5d675a76-bfbf-47be-9dd6-a3198f6b9bc9&amp;modal_id=7400774000923741455&amp;type=general</v>
      </c>
      <c r="I143" s="3">
        <v>46149.021527777775</v>
      </c>
      <c r="J143" s="4">
        <v>46241</v>
      </c>
      <c r="K143" t="inlineStr">
        <is>
          <t>梅见 品牌 评价 推荐</t>
        </is>
      </c>
      <c r="L143">
        <v>9575</v>
      </c>
      <c r="M143" t="inlineStr">
        <is>
          <t>MJ-DY-U-012</t>
        </is>
      </c>
      <c r="N143" t="inlineStr">
        <is>
          <t>公开评论</t>
        </is>
      </c>
      <c r="O143"/>
      <c r="P143" t="inlineStr">
        <is>
          <t>社媒平台初筛语料，待进一步清洗与分析</t>
        </is>
      </c>
      <c r="Q143" t="inlineStr">
        <is>
          <t>目标品牌</t>
        </is>
      </c>
      <c r="R143"/>
      <c r="S143" t="inlineStr">
        <is>
          <t>MJ-RAW-0062_ANALYSIS_BASELINE_formal-attempt-0001_AI</t>
        </is>
      </c>
      <c r="T143" t="inlineStr">
        <is>
          <t>梅见反馈</t>
        </is>
      </c>
      <c r="U143" t="inlineStr">
        <is>
          <t>KEEP</t>
        </is>
      </c>
      <c r="V143" t="inlineStr">
        <is>
          <t>ANALYSIS_BASELINE</t>
        </is>
      </c>
      <c r="W143" t="inlineStr">
        <is>
          <t>可用</t>
        </is>
      </c>
      <c r="X143" t="inlineStr">
        <is>
          <t>品牌语料分析与洞察体系.xlsx#表1：原始语料库!143</t>
        </is>
      </c>
      <c r="Y143" t="inlineStr">
        <is>
          <t>FROZEN_419_V2</t>
        </is>
      </c>
    </row>
    <row r="144" ht="25.5" customHeight="1">
      <c r="A144" t="inlineStr">
        <is>
          <t>MJ-RAW-0063</t>
        </is>
      </c>
      <c r="B144" t="inlineStr">
        <is>
          <t>梅见品牌认知与传播反馈</t>
        </is>
      </c>
      <c r="C144" t="inlineStr">
        <is>
          <t>PRJ001</t>
        </is>
      </c>
      <c r="D144" t="inlineStr">
        <is>
          <t>梅见</t>
        </is>
      </c>
      <c r="E144" t="inlineStr">
        <is>
          <t>世人皆知江南韵，而我独爱夜西湖</t>
        </is>
      </c>
      <c r="F144" t="inlineStr">
        <is>
          <t>来源：抖音平台用户评论</t>
        </is>
      </c>
      <c r="G144" t="inlineStr">
        <is>
          <t>抖音</t>
        </is>
      </c>
      <c r="H144" s="2" t="str">
        <f>=HYPERLINK("https://www.douyin.com/jingxuan/search/%E6%A2%85%E8%A7%81?aid=5d675a76-bfbf-47be-9dd6-a3198f6b9bc9&amp;modal_id=7551729874084990250&amp;type=general", "https://www.douyin.com/jingxuan/search/%E6%A2%85%E8%A7%81?aid=5d675a76-bfbf-47be-9dd6-a3198f6b9bc9&amp;modal_id=7551729874084990250&amp;type=general")</f>
        <v>https://www.douyin.com/jingxuan/search/%E6%A2%85%E8%A7%81?aid=5d675a76-bfbf-47be-9dd6-a3198f6b9bc9&amp;modal_id=7551729874084990250&amp;type=general</v>
      </c>
      <c r="I144" s="3">
        <v>45961.021527777775</v>
      </c>
      <c r="J144" s="4">
        <v>46241</v>
      </c>
      <c r="K144" t="inlineStr">
        <is>
          <t>梅见 品牌 评价 推荐</t>
        </is>
      </c>
      <c r="L144">
        <v>209</v>
      </c>
      <c r="M144" t="inlineStr">
        <is>
          <t>MJ-DY-U-013</t>
        </is>
      </c>
      <c r="N144" t="inlineStr">
        <is>
          <t>公开评论</t>
        </is>
      </c>
      <c r="O144"/>
      <c r="P144" t="inlineStr">
        <is>
          <t>社媒平台初筛语料，待进一步清洗与分析</t>
        </is>
      </c>
      <c r="Q144" t="inlineStr">
        <is>
          <t>目标品牌</t>
        </is>
      </c>
      <c r="R144"/>
      <c r="S144"/>
      <c r="T144" t="inlineStr">
        <is>
          <t>梅见反馈</t>
        </is>
      </c>
      <c r="U144" t="inlineStr">
        <is>
          <t>EXCLUDE</t>
        </is>
      </c>
      <c r="V144" t="inlineStr">
        <is>
          <t>EXCLUDE</t>
        </is>
      </c>
      <c r="W144" t="inlineStr">
        <is>
          <t>不可用</t>
        </is>
      </c>
      <c r="X144" t="inlineStr">
        <is>
          <t>原始母表#raw_id=MJ-RAW-0063</t>
        </is>
      </c>
      <c r="Y144" t="inlineStr">
        <is>
          <t>FROZEN_419_V2</t>
        </is>
      </c>
    </row>
    <row r="145" ht="25.5" customHeight="1">
      <c r="A145" t="inlineStr">
        <is>
          <t>MJ-RAW-0064</t>
        </is>
      </c>
      <c r="B145" t="inlineStr">
        <is>
          <t>梅见品牌认知与传播反馈</t>
        </is>
      </c>
      <c r="C145" t="inlineStr">
        <is>
          <t>PRJ001</t>
        </is>
      </c>
      <c r="D145" t="inlineStr">
        <is>
          <t>梅见</t>
        </is>
      </c>
      <c r="E145" t="inlineStr">
        <is>
          <t>这个酒对我而言就是成年人的糖水苦日子里的那点甜</t>
        </is>
      </c>
      <c r="F145" t="inlineStr">
        <is>
          <t>来源：抖音平台用户评论</t>
        </is>
      </c>
      <c r="G145" t="inlineStr">
        <is>
          <t>抖音</t>
        </is>
      </c>
      <c r="H145" s="2" t="str">
        <f>=HYPERLINK("https://www.douyin.com/jingxuan/search/%E6%A2%85%E8%A7%81%E9%9D%92%E6%A2%85%E6%9E%9C%E9%85%92?aid=31cba53f-1ead-41a4-8ab2-c89001b4512f&amp;modal_id=7653362603619687025&amp;type=general", "https://www.douyin.com/jingxuan/search/%E6%A2%85%E8%A7%81%E9%9D%92%E6%A2%85%E6%9E%9C%E9%85%92?aid=31cba53f-1ead-41a4-8ab2-c89001b4512f&amp;modal_id=7653362603619687025&amp;type=general")</f>
        <v>https://www.douyin.com/jingxuan/search/%E6%A2%85%E8%A7%81%E9%9D%92%E6%A2%85%E6%9E%9C%E9%85%92?aid=31cba53f-1ead-41a4-8ab2-c89001b4512f&amp;modal_id=7653362603619687025&amp;type=general</v>
      </c>
      <c r="I145" s="3">
        <v>46211.021527777775</v>
      </c>
      <c r="J145" s="4">
        <v>46241</v>
      </c>
      <c r="K145" t="inlineStr">
        <is>
          <t>梅见 品牌 评价 推荐</t>
        </is>
      </c>
      <c r="L145">
        <v>64</v>
      </c>
      <c r="M145" t="inlineStr">
        <is>
          <t>MJ-DY-U-014</t>
        </is>
      </c>
      <c r="N145" t="inlineStr">
        <is>
          <t>公开评论</t>
        </is>
      </c>
      <c r="O145"/>
      <c r="P145" t="inlineStr">
        <is>
          <t>与DY-SOC-0049原始内容完全重复</t>
        </is>
      </c>
      <c r="Q145" t="inlineStr">
        <is>
          <t>目标品牌</t>
        </is>
      </c>
      <c r="R145"/>
      <c r="S145" t="inlineStr">
        <is>
          <t>MJ-RAW-0064_HOLDOUT_formal-attempt-0001_AI</t>
        </is>
      </c>
      <c r="T145" t="inlineStr">
        <is>
          <t>梅见反馈</t>
        </is>
      </c>
      <c r="U145" t="inlineStr">
        <is>
          <t>EXCLUDE</t>
        </is>
      </c>
      <c r="V145" t="inlineStr">
        <is>
          <t>EXCLUDE</t>
        </is>
      </c>
      <c r="W145" t="inlineStr">
        <is>
          <t>可用</t>
        </is>
      </c>
      <c r="X145" t="inlineStr">
        <is>
          <t>品牌语料分析与洞察体系.xlsx#表1：原始语料库!145</t>
        </is>
      </c>
      <c r="Y145" t="inlineStr">
        <is>
          <t>FROZEN_419_V2</t>
        </is>
      </c>
    </row>
    <row r="146" ht="25.5" customHeight="1">
      <c r="A146" t="inlineStr">
        <is>
          <t>XHS-SOC-0024</t>
        </is>
      </c>
      <c r="B146" t="inlineStr">
        <is>
          <t>梅见品牌认知与传播反馈</t>
        </is>
      </c>
      <c r="C146" t="inlineStr">
        <is>
          <t>PRJ001</t>
        </is>
      </c>
      <c r="D146" t="inlineStr">
        <is>
          <t>梅见</t>
        </is>
      </c>
      <c r="E146" t="inlineStr">
        <is>
          <t>没觉得喝一口都是工业味么</t>
        </is>
      </c>
      <c r="F146" t="inlineStr">
        <is>
          <t>梅见青梅酒再见了-喝了头痛｜2025-08-05｜小红书</t>
        </is>
      </c>
      <c r="G146" t="inlineStr">
        <is>
          <t>小红书</t>
        </is>
      </c>
      <c r="H146" s="2" t="str">
        <f>=HYPERLINK("https://www.xiaohongshu.com/search_result/梅见是什么酒", "https://www.xiaohongshu.com/search_result/梅见是什么酒")</f>
        <v>https://www.xiaohongshu.com/search_result/梅见是什么酒</v>
      </c>
      <c r="I146" s="3">
        <v>45875</v>
      </c>
      <c r="J146" s="4">
        <v>46243</v>
      </c>
      <c r="K146" t="inlineStr">
        <is>
          <t>梅见是什么酒</t>
        </is>
      </c>
      <c r="L146">
        <v>40</v>
      </c>
      <c r="M146" t="inlineStr">
        <is>
          <t>XHS-U0128</t>
        </is>
      </c>
      <c r="N146" t="inlineStr">
        <is>
          <t>公开评论</t>
        </is>
      </c>
      <c r="O146"/>
      <c r="P146" t="inlineStr">
        <is>
          <t>原始:2025-08-06·广东；当前为搜索结果页链接，正式入库前需补原笔记链接</t>
        </is>
      </c>
      <c r="Q146" t="inlineStr">
        <is>
          <t>目标品牌</t>
        </is>
      </c>
      <c r="R146"/>
      <c r="S146" t="inlineStr">
        <is>
          <t>XHS-SOC-0024_CHALLENGE_POOL_formal-attempt-0001_AI</t>
        </is>
      </c>
      <c r="T146" t="inlineStr">
        <is>
          <t>梅见反馈</t>
        </is>
      </c>
      <c r="U146" t="inlineStr">
        <is>
          <t>KEEP</t>
        </is>
      </c>
      <c r="V146" t="inlineStr">
        <is>
          <t>CHALLENGE</t>
        </is>
      </c>
      <c r="W146" t="inlineStr">
        <is>
          <t>可用</t>
        </is>
      </c>
      <c r="X146" t="inlineStr">
        <is>
          <t>品牌语料分析与洞察体系.xlsx#表1：原始语料库!146</t>
        </is>
      </c>
      <c r="Y146" t="inlineStr">
        <is>
          <t>FROZEN_419_V2</t>
        </is>
      </c>
    </row>
    <row r="147" ht="25.5" customHeight="1">
      <c r="A147" t="inlineStr">
        <is>
          <t>XHS-SOC-0029</t>
        </is>
      </c>
      <c r="B147" t="inlineStr">
        <is>
          <t>梅见品牌认知与传播反馈</t>
        </is>
      </c>
      <c r="C147" t="inlineStr">
        <is>
          <t>PRJ001</t>
        </is>
      </c>
      <c r="D147" t="inlineStr">
        <is>
          <t>梅见</t>
        </is>
      </c>
      <c r="E147" t="inlineStr">
        <is>
          <t>有点像喝止咳糖浆加酒</t>
        </is>
      </c>
      <c r="F147" t="inlineStr">
        <is>
          <t>梅见青梅酒再见了-喝了头痛｜2025-08-05｜小红书</t>
        </is>
      </c>
      <c r="G147" t="inlineStr">
        <is>
          <t>小红书</t>
        </is>
      </c>
      <c r="H147" s="2" t="str">
        <f>=HYPERLINK("https://www.xiaohongshu.com/search_result/梅见是什么酒", "https://www.xiaohongshu.com/search_result/梅见是什么酒")</f>
        <v>https://www.xiaohongshu.com/search_result/梅见是什么酒</v>
      </c>
      <c r="I147" s="3">
        <v>45884</v>
      </c>
      <c r="J147" s="4">
        <v>46243</v>
      </c>
      <c r="K147" t="inlineStr">
        <is>
          <t>梅见是什么酒</t>
        </is>
      </c>
      <c r="L147">
        <v>38</v>
      </c>
      <c r="M147" t="inlineStr">
        <is>
          <t>XHS-U0123</t>
        </is>
      </c>
      <c r="N147" t="inlineStr">
        <is>
          <t>公开评论</t>
        </is>
      </c>
      <c r="O147"/>
      <c r="P147" t="inlineStr">
        <is>
          <t>与MJ-RAW-0011原始内容完全重复</t>
        </is>
      </c>
      <c r="Q147" t="inlineStr">
        <is>
          <t>目标品牌</t>
        </is>
      </c>
      <c r="R147"/>
      <c r="S147" t="inlineStr">
        <is>
          <t>XHS-SOC-0029_GOLD_人工标注_人工,XHS-SOC-0029_GOLD_attempt-0002_AI_矫正前,XHS-SOC-0029_GOLD_attempt-0006_AI_矫正后</t>
        </is>
      </c>
      <c r="T147" t="inlineStr">
        <is>
          <t>梅见反馈</t>
        </is>
      </c>
      <c r="U147" t="inlineStr">
        <is>
          <t>EXCLUDE</t>
        </is>
      </c>
      <c r="V147" t="inlineStr">
        <is>
          <t>EXCLUDE</t>
        </is>
      </c>
      <c r="W147" t="inlineStr">
        <is>
          <t>不可用</t>
        </is>
      </c>
      <c r="X147" t="inlineStr">
        <is>
          <t>原始母表#raw_id=XHS-SOC-0029</t>
        </is>
      </c>
      <c r="Y147" t="inlineStr">
        <is>
          <t>FROZEN_419_V2</t>
        </is>
      </c>
    </row>
    <row r="148" ht="25.5" customHeight="1">
      <c r="A148" t="inlineStr">
        <is>
          <t>XHS-SOC-0043</t>
        </is>
      </c>
      <c r="B148" t="inlineStr">
        <is>
          <t>梅见品牌认知与传播反馈</t>
        </is>
      </c>
      <c r="C148" t="inlineStr">
        <is>
          <t>PRJ001</t>
        </is>
      </c>
      <c r="D148" t="inlineStr">
        <is>
          <t>梅见</t>
        </is>
      </c>
      <c r="E148" t="inlineStr">
        <is>
          <t>喝过很多款梅子酒，感觉还是梅见最专业了，不过我个人原因不喜欢太甜的酒</t>
        </is>
      </c>
      <c r="F148" t="inlineStr">
        <is>
          <t>除了梅见还有其他梅子酒推荐吗｜2025-07-04｜小红书</t>
        </is>
      </c>
      <c r="G148" t="inlineStr">
        <is>
          <t>小红书</t>
        </is>
      </c>
      <c r="H148" s="2" t="str">
        <f>=HYPERLINK("https://www.xiaohongshu.com/explore/6a48b570000000001603dc9b", "https://www.xiaohongshu.com/explore/6a48b570000000001603dc9b")</f>
        <v>https://www.xiaohongshu.com/explore/6a48b570000000001603dc9b</v>
      </c>
      <c r="I148" s="3">
        <v>46207</v>
      </c>
      <c r="J148" s="4">
        <v>46243</v>
      </c>
      <c r="K148" t="inlineStr">
        <is>
          <t>青梅酒推荐</t>
        </is>
      </c>
      <c r="L148">
        <v>0</v>
      </c>
      <c r="M148" t="inlineStr">
        <is>
          <t>XHS-U0203</t>
        </is>
      </c>
      <c r="N148" t="inlineStr">
        <is>
          <t>公开评论</t>
        </is>
      </c>
      <c r="O148"/>
      <c r="P148" t="inlineStr">
        <is>
          <t>原始:07-04;年份推定·四川</t>
        </is>
      </c>
      <c r="Q148" t="inlineStr">
        <is>
          <t>目标品牌</t>
        </is>
      </c>
      <c r="R148"/>
      <c r="S148" t="inlineStr">
        <is>
          <t>XHS-SOC-0043_GOLD_人工标注_人工,XHS-SOC-0043_GOLD_attempt-0002_AI_矫正前,XHS-SOC-0043_GOLD_attempt-0006_AI_矫正后</t>
        </is>
      </c>
      <c r="T148" t="inlineStr">
        <is>
          <t>梅见反馈</t>
        </is>
      </c>
      <c r="U148" t="inlineStr">
        <is>
          <t>KEEP</t>
        </is>
      </c>
      <c r="V148" t="inlineStr">
        <is>
          <t>GOLD</t>
        </is>
      </c>
      <c r="W148" t="inlineStr">
        <is>
          <t>不可用</t>
        </is>
      </c>
      <c r="X148" t="inlineStr">
        <is>
          <t>原始母表#raw_id=XHS-SOC-0043</t>
        </is>
      </c>
      <c r="Y148" t="inlineStr">
        <is>
          <t>FROZEN_419_V2</t>
        </is>
      </c>
    </row>
    <row r="149" ht="25.5" customHeight="1">
      <c r="A149" t="inlineStr">
        <is>
          <t>DY-SOC-0068</t>
        </is>
      </c>
      <c r="B149" t="inlineStr">
        <is>
          <t>梅见品牌认知与传播反馈</t>
        </is>
      </c>
      <c r="C149" t="inlineStr">
        <is>
          <t>PRJ001</t>
        </is>
      </c>
      <c r="D149" t="inlineStr">
        <is>
          <t>梅见</t>
        </is>
      </c>
      <c r="E149" t="inlineStr">
        <is>
          <t>请问有没有推荐的高端威士忌酒杯</t>
        </is>
      </c>
      <c r="F149" t="inlineStr">
        <is>
          <t>烟熏梅酒嗨棒｜2025-07-28｜抖音</t>
        </is>
      </c>
      <c r="G149" t="inlineStr">
        <is>
          <t>抖音</t>
        </is>
      </c>
      <c r="H149" s="2" t="str">
        <f>=HYPERLINK("https://www.douyin.com/video/7661213968078401147", "https://www.douyin.com/video/7661213968078401147")</f>
        <v>https://www.douyin.com/video/7661213968078401147</v>
      </c>
      <c r="I149" s="3">
        <v>45866</v>
      </c>
      <c r="J149" s="4">
        <v>46243</v>
      </c>
      <c r="K149" t="inlineStr">
        <is>
          <t>梅见是什么酒</t>
        </is>
      </c>
      <c r="L149"/>
      <c r="M149" t="inlineStr">
        <is>
          <t>DY-U0121</t>
        </is>
      </c>
      <c r="N149" t="inlineStr">
        <is>
          <t>公开评论</t>
        </is>
      </c>
      <c r="O149"/>
      <c r="P149" t="inlineStr">
        <is>
          <t>点赞数未成功识别，暂置空，禁止随机补值；当前日期来自视频发布时间，评论发布时间未识别</t>
        </is>
      </c>
      <c r="Q149" t="inlineStr">
        <is>
          <t>目标品牌</t>
        </is>
      </c>
      <c r="R149"/>
      <c r="S149" t="inlineStr">
        <is>
          <t>DY-SOC-0068_ANALYSIS_BASELINE_formal-attempt-0001_AI</t>
        </is>
      </c>
      <c r="T149" t="inlineStr">
        <is>
          <t>梅见反馈</t>
        </is>
      </c>
      <c r="U149" t="inlineStr">
        <is>
          <t>KEEP</t>
        </is>
      </c>
      <c r="V149" t="inlineStr">
        <is>
          <t>ANALYSIS_BASELINE</t>
        </is>
      </c>
      <c r="W149" t="inlineStr">
        <is>
          <t>可用</t>
        </is>
      </c>
      <c r="X149" t="inlineStr">
        <is>
          <t>品牌语料分析与洞察体系.xlsx#表1：原始语料库!149</t>
        </is>
      </c>
      <c r="Y149" t="inlineStr">
        <is>
          <t>FROZEN_419_V2</t>
        </is>
      </c>
    </row>
    <row r="150" ht="25.5" customHeight="1">
      <c r="A150" t="inlineStr">
        <is>
          <t>DY-SOC-0069</t>
        </is>
      </c>
      <c r="B150" t="inlineStr">
        <is>
          <t>梅见品牌认知与传播反馈</t>
        </is>
      </c>
      <c r="C150" t="inlineStr">
        <is>
          <t>PRJ001</t>
        </is>
      </c>
      <c r="D150" t="inlineStr">
        <is>
          <t>梅见</t>
        </is>
      </c>
      <c r="E150" t="inlineStr">
        <is>
          <t>问问这个酒有气泡吗</t>
        </is>
      </c>
      <c r="F150" t="inlineStr">
        <is>
          <t>孔雀开屏自作多情｜2025-08-08｜抖音</t>
        </is>
      </c>
      <c r="G150" t="inlineStr">
        <is>
          <t>抖音</t>
        </is>
      </c>
      <c r="H150" s="2" t="str">
        <f>=HYPERLINK("https://www.douyin.com/video/7614069832590571377", "https://www.douyin.com/video/7614069832590571377")</f>
        <v>https://www.douyin.com/video/7614069832590571377</v>
      </c>
      <c r="I150" s="3">
        <v>45877</v>
      </c>
      <c r="J150" s="4">
        <v>46243</v>
      </c>
      <c r="K150" t="inlineStr">
        <is>
          <t>梅见品牌</t>
        </is>
      </c>
      <c r="L150"/>
      <c r="M150" t="inlineStr">
        <is>
          <t>DY-U0130</t>
        </is>
      </c>
      <c r="N150" t="inlineStr">
        <is>
          <t>公开评论</t>
        </is>
      </c>
      <c r="O150"/>
      <c r="P150" t="inlineStr">
        <is>
          <t>点赞数未成功识别，暂置空，禁止随机补值；当前日期来自视频发布时间，评论发布时间未识别</t>
        </is>
      </c>
      <c r="Q150" t="inlineStr">
        <is>
          <t>目标品牌</t>
        </is>
      </c>
      <c r="R150"/>
      <c r="S150" t="inlineStr">
        <is>
          <t>DY-SOC-0069_ANALYSIS_BASELINE_formal-attempt-0001_AI</t>
        </is>
      </c>
      <c r="T150" t="inlineStr">
        <is>
          <t>梅见反馈</t>
        </is>
      </c>
      <c r="U150" t="inlineStr">
        <is>
          <t>KEEP</t>
        </is>
      </c>
      <c r="V150" t="inlineStr">
        <is>
          <t>ANALYSIS_BASELINE</t>
        </is>
      </c>
      <c r="W150" t="inlineStr">
        <is>
          <t>可用</t>
        </is>
      </c>
      <c r="X150" t="inlineStr">
        <is>
          <t>品牌语料分析与洞察体系.xlsx#表1：原始语料库!150</t>
        </is>
      </c>
      <c r="Y150" t="inlineStr">
        <is>
          <t>FROZEN_419_V2</t>
        </is>
      </c>
    </row>
    <row r="151" ht="25.5" customHeight="1">
      <c r="A151" t="inlineStr">
        <is>
          <t>DY-SOC-0070</t>
        </is>
      </c>
      <c r="B151" t="inlineStr">
        <is>
          <t>梅见品牌认知与传播反馈</t>
        </is>
      </c>
      <c r="C151" t="inlineStr">
        <is>
          <t>PRJ001</t>
        </is>
      </c>
      <c r="D151" t="inlineStr">
        <is>
          <t>梅见</t>
        </is>
      </c>
      <c r="E151" t="inlineStr">
        <is>
          <t>你这个梅酒是330ml的吗</t>
        </is>
      </c>
      <c r="F151" t="inlineStr">
        <is>
          <t>孔雀开屏自作多情｜2025-08-08｜抖音</t>
        </is>
      </c>
      <c r="G151" t="inlineStr">
        <is>
          <t>抖音</t>
        </is>
      </c>
      <c r="H151" s="2" t="str">
        <f>=HYPERLINK("https://www.douyin.com/video/7614069832590571377", "https://www.douyin.com/video/7614069832590571377")</f>
        <v>https://www.douyin.com/video/7614069832590571377</v>
      </c>
      <c r="I151" s="3">
        <v>45877</v>
      </c>
      <c r="J151" s="4">
        <v>46243</v>
      </c>
      <c r="K151" t="inlineStr">
        <is>
          <t>梅见品牌</t>
        </is>
      </c>
      <c r="L151"/>
      <c r="M151" t="inlineStr">
        <is>
          <t>DY-U0131</t>
        </is>
      </c>
      <c r="N151" t="inlineStr">
        <is>
          <t>公开评论</t>
        </is>
      </c>
      <c r="O151"/>
      <c r="P151" t="inlineStr">
        <is>
          <t>点赞数未成功识别，暂置空，禁止随机补值；当前日期来自视频发布时间，评论发布时间未识别</t>
        </is>
      </c>
      <c r="Q151" t="inlineStr">
        <is>
          <t>目标品牌</t>
        </is>
      </c>
      <c r="R151"/>
      <c r="S151" t="inlineStr">
        <is>
          <t>DY-SOC-0070_CHALLENGE_POOL_formal-attempt-0001_AI</t>
        </is>
      </c>
      <c r="T151" t="inlineStr">
        <is>
          <t>梅见反馈</t>
        </is>
      </c>
      <c r="U151" t="inlineStr">
        <is>
          <t>KEEP</t>
        </is>
      </c>
      <c r="V151" t="inlineStr">
        <is>
          <t>CHALLENGE</t>
        </is>
      </c>
      <c r="W151" t="inlineStr">
        <is>
          <t>可用</t>
        </is>
      </c>
      <c r="X151" t="inlineStr">
        <is>
          <t>品牌语料分析与洞察体系.xlsx#表1：原始语料库!151</t>
        </is>
      </c>
      <c r="Y151" t="inlineStr">
        <is>
          <t>FROZEN_419_V2</t>
        </is>
      </c>
    </row>
    <row r="152" ht="25.5" customHeight="1">
      <c r="A152" t="inlineStr">
        <is>
          <t>DY-SOC-0071</t>
        </is>
      </c>
      <c r="B152" t="inlineStr">
        <is>
          <t>梅见品牌认知与传播反馈</t>
        </is>
      </c>
      <c r="C152" t="inlineStr">
        <is>
          <t>PRJ001</t>
        </is>
      </c>
      <c r="D152" t="inlineStr">
        <is>
          <t>梅见</t>
        </is>
      </c>
      <c r="E152" t="inlineStr">
        <is>
          <t>手里那杯感觉好好喝</t>
        </is>
      </c>
      <c r="F152" t="inlineStr">
        <is>
          <t>孔雀开屏自作多情｜2025-08-08｜抖音</t>
        </is>
      </c>
      <c r="G152" t="inlineStr">
        <is>
          <t>抖音</t>
        </is>
      </c>
      <c r="H152" s="2" t="str">
        <f>=HYPERLINK("https://www.douyin.com/video/7614069832590571377", "https://www.douyin.com/video/7614069832590571377")</f>
        <v>https://www.douyin.com/video/7614069832590571377</v>
      </c>
      <c r="I152" s="3">
        <v>45877</v>
      </c>
      <c r="J152" s="4">
        <v>46243</v>
      </c>
      <c r="K152" t="inlineStr">
        <is>
          <t>梅见品牌</t>
        </is>
      </c>
      <c r="L152"/>
      <c r="M152" t="inlineStr">
        <is>
          <t>DY-U0133</t>
        </is>
      </c>
      <c r="N152" t="inlineStr">
        <is>
          <t>公开评论</t>
        </is>
      </c>
      <c r="O152"/>
      <c r="P152" t="inlineStr">
        <is>
          <t>点赞数未成功识别，暂置空，禁止随机补值；当前日期来自视频发布时间，评论发布时间未识别</t>
        </is>
      </c>
      <c r="Q152" t="inlineStr">
        <is>
          <t>目标品牌</t>
        </is>
      </c>
      <c r="R152"/>
      <c r="S152"/>
      <c r="T152" t="inlineStr">
        <is>
          <t>梅见反馈</t>
        </is>
      </c>
      <c r="U152" t="inlineStr">
        <is>
          <t>EXCLUDE</t>
        </is>
      </c>
      <c r="V152" t="inlineStr">
        <is>
          <t>EXCLUDE</t>
        </is>
      </c>
      <c r="W152" t="inlineStr">
        <is>
          <t>不可用</t>
        </is>
      </c>
      <c r="X152" t="inlineStr">
        <is>
          <t>原始母表#raw_id=DY-SOC-0071</t>
        </is>
      </c>
      <c r="Y152" t="inlineStr">
        <is>
          <t>FROZEN_419_V2</t>
        </is>
      </c>
    </row>
    <row r="153" ht="25.5" customHeight="1">
      <c r="A153" t="inlineStr">
        <is>
          <t>DY-SOC-0072</t>
        </is>
      </c>
      <c r="B153" t="inlineStr">
        <is>
          <t>梅见品牌认知与传播反馈</t>
        </is>
      </c>
      <c r="C153" t="inlineStr">
        <is>
          <t>PRJ001</t>
        </is>
      </c>
      <c r="D153" t="inlineStr">
        <is>
          <t>梅见</t>
        </is>
      </c>
      <c r="E153" t="inlineStr">
        <is>
          <t>以为双向奔赴原来是单向脑补</t>
        </is>
      </c>
      <c r="F153" t="inlineStr">
        <is>
          <t>孔雀开屏自作多情｜2025-08-08｜抖音</t>
        </is>
      </c>
      <c r="G153" t="inlineStr">
        <is>
          <t>抖音</t>
        </is>
      </c>
      <c r="H153" s="2" t="str">
        <f>=HYPERLINK("https://www.douyin.com/video/7614069832590571377", "https://www.douyin.com/video/7614069832590571377")</f>
        <v>https://www.douyin.com/video/7614069832590571377</v>
      </c>
      <c r="I153" s="3">
        <v>45877</v>
      </c>
      <c r="J153" s="4">
        <v>46243</v>
      </c>
      <c r="K153" t="inlineStr">
        <is>
          <t>梅见品牌</t>
        </is>
      </c>
      <c r="L153"/>
      <c r="M153" t="inlineStr">
        <is>
          <t>DY-U0135</t>
        </is>
      </c>
      <c r="N153" t="inlineStr">
        <is>
          <t>公开评论</t>
        </is>
      </c>
      <c r="O153"/>
      <c r="P153" t="inlineStr">
        <is>
          <t>点赞数未成功识别，暂置空，禁止随机补值；当前日期来自视频发布时间，评论发布时间未识别</t>
        </is>
      </c>
      <c r="Q153" t="inlineStr">
        <is>
          <t>目标品牌</t>
        </is>
      </c>
      <c r="R153"/>
      <c r="S153"/>
      <c r="T153" t="inlineStr">
        <is>
          <t>梅见反馈</t>
        </is>
      </c>
      <c r="U153" t="inlineStr">
        <is>
          <t>EXCLUDE</t>
        </is>
      </c>
      <c r="V153" t="inlineStr">
        <is>
          <t>EXCLUDE</t>
        </is>
      </c>
      <c r="W153" t="inlineStr">
        <is>
          <t>不可用</t>
        </is>
      </c>
      <c r="X153" t="inlineStr">
        <is>
          <t>原始母表#raw_id=DY-SOC-0072</t>
        </is>
      </c>
      <c r="Y153" t="inlineStr">
        <is>
          <t>FROZEN_419_V2</t>
        </is>
      </c>
    </row>
    <row r="154" ht="25.5" customHeight="1">
      <c r="A154" t="inlineStr">
        <is>
          <t>DY-SOC-0073</t>
        </is>
      </c>
      <c r="B154" t="inlineStr">
        <is>
          <t>梅见品牌认知与传播反馈</t>
        </is>
      </c>
      <c r="C154" t="inlineStr">
        <is>
          <t>PRJ001</t>
        </is>
      </c>
      <c r="D154" t="inlineStr">
        <is>
          <t>梅见</t>
        </is>
      </c>
      <c r="E154" t="inlineStr">
        <is>
          <t>反转小片段看着实在太有趣</t>
        </is>
      </c>
      <c r="F154" t="inlineStr">
        <is>
          <t>孔雀开屏自作多情｜2025-08-08｜抖音</t>
        </is>
      </c>
      <c r="G154" t="inlineStr">
        <is>
          <t>抖音</t>
        </is>
      </c>
      <c r="H154" s="2" t="str">
        <f>=HYPERLINK("https://www.douyin.com/video/7614069832590571377", "https://www.douyin.com/video/7614069832590571377")</f>
        <v>https://www.douyin.com/video/7614069832590571377</v>
      </c>
      <c r="I154" s="3">
        <v>45877</v>
      </c>
      <c r="J154" s="4">
        <v>46243</v>
      </c>
      <c r="K154" t="inlineStr">
        <is>
          <t>梅见品牌</t>
        </is>
      </c>
      <c r="L154"/>
      <c r="M154" t="inlineStr">
        <is>
          <t>DY-U0136</t>
        </is>
      </c>
      <c r="N154" t="inlineStr">
        <is>
          <t>公开评论</t>
        </is>
      </c>
      <c r="O154"/>
      <c r="P154" t="inlineStr">
        <is>
          <t>点赞数未成功识别，暂置空，禁止随机补值；当前日期来自视频发布时间，评论发布时间未识别</t>
        </is>
      </c>
      <c r="Q154" t="inlineStr">
        <is>
          <t>目标品牌</t>
        </is>
      </c>
      <c r="R154"/>
      <c r="S154"/>
      <c r="T154" t="inlineStr">
        <is>
          <t>梅见反馈</t>
        </is>
      </c>
      <c r="U154" t="inlineStr">
        <is>
          <t>EXCLUDE</t>
        </is>
      </c>
      <c r="V154" t="inlineStr">
        <is>
          <t>EXCLUDE</t>
        </is>
      </c>
      <c r="W154" t="inlineStr">
        <is>
          <t>不可用</t>
        </is>
      </c>
      <c r="X154" t="inlineStr">
        <is>
          <t>原始母表#raw_id=DY-SOC-0073</t>
        </is>
      </c>
      <c r="Y154" t="inlineStr">
        <is>
          <t>FROZEN_419_V2</t>
        </is>
      </c>
    </row>
    <row r="155" ht="25.5" customHeight="1">
      <c r="A155" t="inlineStr">
        <is>
          <t>DY-SOC-0074</t>
        </is>
      </c>
      <c r="B155" t="inlineStr">
        <is>
          <t>梅见品牌认知与传播反馈</t>
        </is>
      </c>
      <c r="C155" t="inlineStr">
        <is>
          <t>PRJ001</t>
        </is>
      </c>
      <c r="D155" t="inlineStr">
        <is>
          <t>梅见</t>
        </is>
      </c>
      <c r="E155" t="inlineStr">
        <is>
          <t>猜到结局依旧被视频逗乐</t>
        </is>
      </c>
      <c r="F155" t="inlineStr">
        <is>
          <t>孔雀开屏自作多情｜2025-08-08｜抖音</t>
        </is>
      </c>
      <c r="G155" t="inlineStr">
        <is>
          <t>抖音</t>
        </is>
      </c>
      <c r="H155" s="2" t="str">
        <f>=HYPERLINK("https://www.douyin.com/video/7614069832590571377", "https://www.douyin.com/video/7614069832590571377")</f>
        <v>https://www.douyin.com/video/7614069832590571377</v>
      </c>
      <c r="I155" s="3">
        <v>45877</v>
      </c>
      <c r="J155" s="4">
        <v>46243</v>
      </c>
      <c r="K155" t="inlineStr">
        <is>
          <t>梅见品牌</t>
        </is>
      </c>
      <c r="L155"/>
      <c r="M155" t="inlineStr">
        <is>
          <t>DY-U0137</t>
        </is>
      </c>
      <c r="N155" t="inlineStr">
        <is>
          <t>公开评论</t>
        </is>
      </c>
      <c r="O155"/>
      <c r="P155" t="inlineStr">
        <is>
          <t>点赞数未成功识别，暂置空，禁止随机补值；当前日期来自视频发布时间，评论发布时间未识别</t>
        </is>
      </c>
      <c r="Q155" t="inlineStr">
        <is>
          <t>目标品牌</t>
        </is>
      </c>
      <c r="R155"/>
      <c r="S155"/>
      <c r="T155" t="inlineStr">
        <is>
          <t>梅见反馈</t>
        </is>
      </c>
      <c r="U155" t="inlineStr">
        <is>
          <t>EXCLUDE</t>
        </is>
      </c>
      <c r="V155" t="inlineStr">
        <is>
          <t>EXCLUDE</t>
        </is>
      </c>
      <c r="W155" t="inlineStr">
        <is>
          <t>不可用</t>
        </is>
      </c>
      <c r="X155" t="inlineStr">
        <is>
          <t>原始母表#raw_id=DY-SOC-0074</t>
        </is>
      </c>
      <c r="Y155" t="inlineStr">
        <is>
          <t>FROZEN_419_V2</t>
        </is>
      </c>
    </row>
    <row r="156" ht="25.5" customHeight="1">
      <c r="A156" t="inlineStr">
        <is>
          <t>DY-SOC-0075</t>
        </is>
      </c>
      <c r="B156" t="inlineStr">
        <is>
          <t>梅见品牌认知与传播反馈</t>
        </is>
      </c>
      <c r="C156" t="inlineStr">
        <is>
          <t>PRJ001</t>
        </is>
      </c>
      <c r="D156" t="inlineStr">
        <is>
          <t>梅见</t>
        </is>
      </c>
      <c r="E156" t="inlineStr">
        <is>
          <t>阿弥我改名字了快眼熟我</t>
        </is>
      </c>
      <c r="F156" t="inlineStr">
        <is>
          <t>再饮少年心气｜2025-03-06｜抖音</t>
        </is>
      </c>
      <c r="G156" t="inlineStr">
        <is>
          <t>抖音</t>
        </is>
      </c>
      <c r="H156" s="2" t="str">
        <f>=HYPERLINK("https://www.douyin.com/video/7616578084024352123", "https://www.douyin.com/video/7616578084024352123")</f>
        <v>https://www.douyin.com/video/7616578084024352123</v>
      </c>
      <c r="I156" s="3">
        <v>45722</v>
      </c>
      <c r="J156" s="4">
        <v>46243</v>
      </c>
      <c r="K156" t="inlineStr">
        <is>
          <t>梅见国风</t>
        </is>
      </c>
      <c r="L156"/>
      <c r="M156" t="inlineStr">
        <is>
          <t>DY-U0139</t>
        </is>
      </c>
      <c r="N156" t="inlineStr">
        <is>
          <t>公开评论</t>
        </is>
      </c>
      <c r="O156"/>
      <c r="P156" t="inlineStr">
        <is>
          <t>点赞数未成功识别，暂置空，禁止随机补值；当前日期来自视频发布时间，评论发布时间未识别</t>
        </is>
      </c>
      <c r="Q156" t="inlineStr">
        <is>
          <t>目标品牌</t>
        </is>
      </c>
      <c r="R156"/>
      <c r="S156"/>
      <c r="T156" t="inlineStr">
        <is>
          <t>梅见反馈</t>
        </is>
      </c>
      <c r="U156" t="inlineStr">
        <is>
          <t>EXCLUDE</t>
        </is>
      </c>
      <c r="V156" t="inlineStr">
        <is>
          <t>EXCLUDE</t>
        </is>
      </c>
      <c r="W156" t="inlineStr">
        <is>
          <t>不可用</t>
        </is>
      </c>
      <c r="X156" t="inlineStr">
        <is>
          <t>原始母表#raw_id=DY-SOC-0075</t>
        </is>
      </c>
      <c r="Y156" t="inlineStr">
        <is>
          <t>FROZEN_419_V2</t>
        </is>
      </c>
    </row>
    <row r="157" ht="25.5" customHeight="1">
      <c r="A157" t="inlineStr">
        <is>
          <t>DY-SOC-0076</t>
        </is>
      </c>
      <c r="B157" t="inlineStr">
        <is>
          <t>梅见品牌认知与传播反馈</t>
        </is>
      </c>
      <c r="C157" t="inlineStr">
        <is>
          <t>PRJ001</t>
        </is>
      </c>
      <c r="D157" t="inlineStr">
        <is>
          <t>梅见</t>
        </is>
      </c>
      <c r="E157" t="inlineStr">
        <is>
          <t>军师这种男孩子要怎么追到手啊</t>
        </is>
      </c>
      <c r="F157" t="inlineStr">
        <is>
          <t>再饮少年心气｜2025-03-06｜抖音</t>
        </is>
      </c>
      <c r="G157" t="inlineStr">
        <is>
          <t>抖音</t>
        </is>
      </c>
      <c r="H157" s="2" t="str">
        <f>=HYPERLINK("https://www.douyin.com/video/7616578084024352123", "https://www.douyin.com/video/7616578084024352123")</f>
        <v>https://www.douyin.com/video/7616578084024352123</v>
      </c>
      <c r="I157" s="3">
        <v>45722</v>
      </c>
      <c r="J157" s="4">
        <v>46243</v>
      </c>
      <c r="K157" t="inlineStr">
        <is>
          <t>梅见国风</t>
        </is>
      </c>
      <c r="L157"/>
      <c r="M157" t="inlineStr">
        <is>
          <t>DY-U0140</t>
        </is>
      </c>
      <c r="N157" t="inlineStr">
        <is>
          <t>公开评论</t>
        </is>
      </c>
      <c r="O157"/>
      <c r="P157" t="inlineStr">
        <is>
          <t>点赞数未成功识别，暂置空，禁止随机补值；当前日期来自视频发布时间，评论发布时间未识别</t>
        </is>
      </c>
      <c r="Q157" t="inlineStr">
        <is>
          <t>目标品牌</t>
        </is>
      </c>
      <c r="R157"/>
      <c r="S157"/>
      <c r="T157" t="inlineStr">
        <is>
          <t>梅见反馈</t>
        </is>
      </c>
      <c r="U157" t="inlineStr">
        <is>
          <t>EXCLUDE</t>
        </is>
      </c>
      <c r="V157" t="inlineStr">
        <is>
          <t>EXCLUDE</t>
        </is>
      </c>
      <c r="W157" t="inlineStr">
        <is>
          <t>不可用</t>
        </is>
      </c>
      <c r="X157" t="inlineStr">
        <is>
          <t>原始母表#raw_id=DY-SOC-0076</t>
        </is>
      </c>
      <c r="Y157" t="inlineStr">
        <is>
          <t>FROZEN_419_V2</t>
        </is>
      </c>
    </row>
    <row r="158" ht="25.5" customHeight="1">
      <c r="A158" t="inlineStr">
        <is>
          <t>DY-SOC-0077</t>
        </is>
      </c>
      <c r="B158" t="inlineStr">
        <is>
          <t>梅见品牌认知与传播反馈</t>
        </is>
      </c>
      <c r="C158" t="inlineStr">
        <is>
          <t>PRJ001</t>
        </is>
      </c>
      <c r="D158" t="inlineStr">
        <is>
          <t>梅见</t>
        </is>
      </c>
      <c r="E158" t="inlineStr">
        <is>
          <t>唉我还是逃不过这种类型吗</t>
        </is>
      </c>
      <c r="F158" t="inlineStr">
        <is>
          <t>再饮少年心气｜2025-03-06｜抖音</t>
        </is>
      </c>
      <c r="G158" t="inlineStr">
        <is>
          <t>抖音</t>
        </is>
      </c>
      <c r="H158" s="2" t="str">
        <f>=HYPERLINK("https://www.douyin.com/video/7616578084024352123", "https://www.douyin.com/video/7616578084024352123")</f>
        <v>https://www.douyin.com/video/7616578084024352123</v>
      </c>
      <c r="I158" s="3">
        <v>45722</v>
      </c>
      <c r="J158" s="4">
        <v>46243</v>
      </c>
      <c r="K158" t="inlineStr">
        <is>
          <t>梅见国风</t>
        </is>
      </c>
      <c r="L158"/>
      <c r="M158" t="inlineStr">
        <is>
          <t>DY-U0141</t>
        </is>
      </c>
      <c r="N158" t="inlineStr">
        <is>
          <t>公开评论</t>
        </is>
      </c>
      <c r="O158"/>
      <c r="P158" t="inlineStr">
        <is>
          <t>点赞数未成功识别，暂置空，禁止随机补值；当前日期来自视频发布时间，评论发布时间未识别</t>
        </is>
      </c>
      <c r="Q158" t="inlineStr">
        <is>
          <t>目标品牌</t>
        </is>
      </c>
      <c r="R158"/>
      <c r="S158"/>
      <c r="T158" t="inlineStr">
        <is>
          <t>梅见反馈</t>
        </is>
      </c>
      <c r="U158" t="inlineStr">
        <is>
          <t>EXCLUDE</t>
        </is>
      </c>
      <c r="V158" t="inlineStr">
        <is>
          <t>EXCLUDE</t>
        </is>
      </c>
      <c r="W158" t="inlineStr">
        <is>
          <t>不可用</t>
        </is>
      </c>
      <c r="X158" t="inlineStr">
        <is>
          <t>原始母表#raw_id=DY-SOC-0077</t>
        </is>
      </c>
      <c r="Y158" t="inlineStr">
        <is>
          <t>FROZEN_419_V2</t>
        </is>
      </c>
    </row>
    <row r="159" ht="25.5" customHeight="1">
      <c r="A159" t="inlineStr">
        <is>
          <t>DY-SOC-0078</t>
        </is>
      </c>
      <c r="B159" t="inlineStr">
        <is>
          <t>梅见品牌认知与传播反馈</t>
        </is>
      </c>
      <c r="C159" t="inlineStr">
        <is>
          <t>PRJ001</t>
        </is>
      </c>
      <c r="D159" t="inlineStr">
        <is>
          <t>梅见</t>
        </is>
      </c>
      <c r="E159" t="inlineStr">
        <is>
          <t>有没有人觉得他和乔治熊熊熊长的有点像</t>
        </is>
      </c>
      <c r="F159" t="inlineStr">
        <is>
          <t>再饮少年心气｜2025-03-06｜抖音</t>
        </is>
      </c>
      <c r="G159" t="inlineStr">
        <is>
          <t>抖音</t>
        </is>
      </c>
      <c r="H159" s="2" t="str">
        <f>=HYPERLINK("https://www.douyin.com/video/7616578084024352123", "https://www.douyin.com/video/7616578084024352123")</f>
        <v>https://www.douyin.com/video/7616578084024352123</v>
      </c>
      <c r="I159" s="3">
        <v>45722</v>
      </c>
      <c r="J159" s="4">
        <v>46243</v>
      </c>
      <c r="K159" t="inlineStr">
        <is>
          <t>梅见国风</t>
        </is>
      </c>
      <c r="L159"/>
      <c r="M159" t="inlineStr">
        <is>
          <t>DY-U0142</t>
        </is>
      </c>
      <c r="N159" t="inlineStr">
        <is>
          <t>公开评论</t>
        </is>
      </c>
      <c r="O159"/>
      <c r="P159" t="inlineStr">
        <is>
          <t>点赞数未成功识别，暂置空，禁止随机补值；当前日期来自视频发布时间，评论发布时间未识别</t>
        </is>
      </c>
      <c r="Q159" t="inlineStr">
        <is>
          <t>目标品牌</t>
        </is>
      </c>
      <c r="R159"/>
      <c r="S159"/>
      <c r="T159" t="inlineStr">
        <is>
          <t>梅见反馈</t>
        </is>
      </c>
      <c r="U159" t="inlineStr">
        <is>
          <t>EXCLUDE</t>
        </is>
      </c>
      <c r="V159" t="inlineStr">
        <is>
          <t>EXCLUDE</t>
        </is>
      </c>
      <c r="W159" t="inlineStr">
        <is>
          <t>不可用</t>
        </is>
      </c>
      <c r="X159" t="inlineStr">
        <is>
          <t>原始母表#raw_id=DY-SOC-0078</t>
        </is>
      </c>
      <c r="Y159" t="inlineStr">
        <is>
          <t>FROZEN_419_V2</t>
        </is>
      </c>
    </row>
    <row r="160" ht="25.5" customHeight="1">
      <c r="A160" t="inlineStr">
        <is>
          <t>DY-SOC-0079</t>
        </is>
      </c>
      <c r="B160" t="inlineStr">
        <is>
          <t>梅见品牌认知与传播反馈</t>
        </is>
      </c>
      <c r="C160" t="inlineStr">
        <is>
          <t>PRJ001</t>
        </is>
      </c>
      <c r="D160" t="inlineStr">
        <is>
          <t>梅见</t>
        </is>
      </c>
      <c r="E160" t="inlineStr">
        <is>
          <t>谁懂大半夜躺在床上平板上突然出现这么一张帅脸的救赎感[憨笑]</t>
        </is>
      </c>
      <c r="F160" t="inlineStr">
        <is>
          <t>再饮少年心气｜2025-03-06｜抖音</t>
        </is>
      </c>
      <c r="G160" t="inlineStr">
        <is>
          <t>抖音</t>
        </is>
      </c>
      <c r="H160" s="2" t="str">
        <f>=HYPERLINK("https://www.douyin.com/video/7616578084024352123", "https://www.douyin.com/video/7616578084024352123")</f>
        <v>https://www.douyin.com/video/7616578084024352123</v>
      </c>
      <c r="I160" s="3">
        <v>45722</v>
      </c>
      <c r="J160" s="4">
        <v>46243</v>
      </c>
      <c r="K160" t="inlineStr">
        <is>
          <t>梅见国风</t>
        </is>
      </c>
      <c r="L160"/>
      <c r="M160" t="inlineStr">
        <is>
          <t>DY-U0143</t>
        </is>
      </c>
      <c r="N160" t="inlineStr">
        <is>
          <t>公开评论</t>
        </is>
      </c>
      <c r="O160"/>
      <c r="P160" t="inlineStr">
        <is>
          <t>点赞数未成功识别，暂置空，禁止随机补值；当前日期来自视频发布时间，评论发布时间未识别</t>
        </is>
      </c>
      <c r="Q160" t="inlineStr">
        <is>
          <t>目标品牌</t>
        </is>
      </c>
      <c r="R160"/>
      <c r="S160"/>
      <c r="T160" t="inlineStr">
        <is>
          <t>梅见反馈</t>
        </is>
      </c>
      <c r="U160" t="inlineStr">
        <is>
          <t>EXCLUDE</t>
        </is>
      </c>
      <c r="V160" t="inlineStr">
        <is>
          <t>EXCLUDE</t>
        </is>
      </c>
      <c r="W160" t="inlineStr">
        <is>
          <t>不可用</t>
        </is>
      </c>
      <c r="X160" t="inlineStr">
        <is>
          <t>原始母表#raw_id=DY-SOC-0079</t>
        </is>
      </c>
      <c r="Y160" t="inlineStr">
        <is>
          <t>FROZEN_419_V2</t>
        </is>
      </c>
    </row>
    <row r="161" ht="25.5" customHeight="1">
      <c r="A161" t="inlineStr">
        <is>
          <t>DY-SOC-0140</t>
        </is>
      </c>
      <c r="B161" t="inlineStr">
        <is>
          <t>梅见品牌认知与传播反馈</t>
        </is>
      </c>
      <c r="C161" t="inlineStr">
        <is>
          <t>PRJ001</t>
        </is>
      </c>
      <c r="D161" t="inlineStr">
        <is>
          <t>梅见</t>
        </is>
      </c>
      <c r="E161" t="inlineStr">
        <is>
          <t>这样的帅哥怎么追求攻略</t>
        </is>
      </c>
      <c r="F161" t="inlineStr">
        <is>
          <t>再饮少年心气｜2025-03-06｜抖音</t>
        </is>
      </c>
      <c r="G161" t="inlineStr">
        <is>
          <t>抖音</t>
        </is>
      </c>
      <c r="H161" s="2" t="str">
        <f>=HYPERLINK("https://www.douyin.com/video/7616578084024352123", "https://www.douyin.com/video/7616578084024352123")</f>
        <v>https://www.douyin.com/video/7616578084024352123</v>
      </c>
      <c r="I161" s="3">
        <v>45722</v>
      </c>
      <c r="J161" s="4">
        <v>46243</v>
      </c>
      <c r="K161" t="inlineStr">
        <is>
          <t>梅见国风</t>
        </is>
      </c>
      <c r="L161"/>
      <c r="M161" t="inlineStr">
        <is>
          <t>DY-U0144</t>
        </is>
      </c>
      <c r="N161" t="inlineStr">
        <is>
          <t>公开评论</t>
        </is>
      </c>
      <c r="O161"/>
      <c r="P161" t="inlineStr">
        <is>
          <t>点赞数未成功识别，暂置空，禁止随机补值；当前日期来自视频发布时间，评论发布时间未识别</t>
        </is>
      </c>
      <c r="Q161" t="inlineStr">
        <is>
          <t>目标品牌</t>
        </is>
      </c>
      <c r="R161"/>
      <c r="S161"/>
      <c r="T161" t="inlineStr">
        <is>
          <t>梅见反馈</t>
        </is>
      </c>
      <c r="U161" t="inlineStr">
        <is>
          <t>EXCLUDE</t>
        </is>
      </c>
      <c r="V161" t="inlineStr">
        <is>
          <t>EXCLUDE</t>
        </is>
      </c>
      <c r="W161" t="inlineStr">
        <is>
          <t>不可用</t>
        </is>
      </c>
      <c r="X161" t="inlineStr">
        <is>
          <t>原始母表#raw_id=DY-SOC-0140</t>
        </is>
      </c>
      <c r="Y161" t="inlineStr">
        <is>
          <t>FROZEN_419_V2</t>
        </is>
      </c>
    </row>
    <row r="162" ht="25.5" customHeight="1">
      <c r="A162" t="inlineStr">
        <is>
          <t>DY-SOC-0143</t>
        </is>
      </c>
      <c r="B162" t="inlineStr">
        <is>
          <t>梅见品牌认知与传播反馈</t>
        </is>
      </c>
      <c r="C162" t="inlineStr">
        <is>
          <t>PRJ001</t>
        </is>
      </c>
      <c r="D162" t="inlineStr">
        <is>
          <t>梅见</t>
        </is>
      </c>
      <c r="E162" t="inlineStr">
        <is>
          <t>酒庄里5000个陶坛的壮观场面太震撼了</t>
        </is>
      </c>
      <c r="F162" t="inlineStr">
        <is>
          <t>当一颗青梅从树上到杯里｜2025-02-04｜抖音</t>
        </is>
      </c>
      <c r="G162" t="inlineStr">
        <is>
          <t>抖音</t>
        </is>
      </c>
      <c r="H162" s="2" t="str">
        <f>=HYPERLINK("https://www.douyin.com/video/7631092113903553833", "https://www.douyin.com/video/7631092113903553833")</f>
        <v>https://www.douyin.com/video/7631092113903553833</v>
      </c>
      <c r="I162" s="3">
        <v>45692</v>
      </c>
      <c r="J162" s="4">
        <v>46243</v>
      </c>
      <c r="K162" t="inlineStr">
        <is>
          <t>梅见为什么火</t>
        </is>
      </c>
      <c r="L162"/>
      <c r="M162" t="inlineStr">
        <is>
          <t>DY-U0151</t>
        </is>
      </c>
      <c r="N162" t="inlineStr">
        <is>
          <t>公开评论</t>
        </is>
      </c>
      <c r="O162"/>
      <c r="P162" t="inlineStr">
        <is>
          <t>点赞数未成功识别，暂置空，禁止随机补值</t>
        </is>
      </c>
      <c r="Q162" t="inlineStr">
        <is>
          <t>目标品牌</t>
        </is>
      </c>
      <c r="R162"/>
      <c r="S162" t="inlineStr">
        <is>
          <t>DY-SOC-0143_CHALLENGE_POOL_formal-attempt-0001_AI</t>
        </is>
      </c>
      <c r="T162" t="inlineStr">
        <is>
          <t>梅见反馈</t>
        </is>
      </c>
      <c r="U162" t="inlineStr">
        <is>
          <t>KEEP</t>
        </is>
      </c>
      <c r="V162" t="inlineStr">
        <is>
          <t>CHALLENGE</t>
        </is>
      </c>
      <c r="W162" t="inlineStr">
        <is>
          <t>可用</t>
        </is>
      </c>
      <c r="X162" t="inlineStr">
        <is>
          <t>品牌语料分析与洞察体系.xlsx#表1：原始语料库!162</t>
        </is>
      </c>
      <c r="Y162" t="inlineStr">
        <is>
          <t>FROZEN_419_V2</t>
        </is>
      </c>
    </row>
    <row r="163" ht="25.5" customHeight="1">
      <c r="A163" t="inlineStr">
        <is>
          <t>DY-SOC-0144</t>
        </is>
      </c>
      <c r="B163" t="inlineStr">
        <is>
          <t>梅见品牌认知与传播反馈</t>
        </is>
      </c>
      <c r="C163" t="inlineStr">
        <is>
          <t>PRJ001</t>
        </is>
      </c>
      <c r="D163" t="inlineStr">
        <is>
          <t>梅见</t>
        </is>
      </c>
      <c r="E163" t="inlineStr">
        <is>
          <t>原来梅酒有三种工艺浸泡型原果原酿最悠久净又纯粹</t>
        </is>
      </c>
      <c r="F163" t="inlineStr">
        <is>
          <t>当一颗青梅从树上到杯里｜2025-02-04｜抖音</t>
        </is>
      </c>
      <c r="G163" t="inlineStr">
        <is>
          <t>抖音</t>
        </is>
      </c>
      <c r="H163" s="2" t="str">
        <f>=HYPERLINK("https://www.douyin.com/video/7631092113903553833", "https://www.douyin.com/video/7631092113903553833")</f>
        <v>https://www.douyin.com/video/7631092113903553833</v>
      </c>
      <c r="I163" s="3">
        <v>45692</v>
      </c>
      <c r="J163" s="4">
        <v>46243</v>
      </c>
      <c r="K163" t="inlineStr">
        <is>
          <t>梅见为什么火</t>
        </is>
      </c>
      <c r="L163"/>
      <c r="M163" t="inlineStr">
        <is>
          <t>DY-U0152</t>
        </is>
      </c>
      <c r="N163" t="inlineStr">
        <is>
          <t>公开评论</t>
        </is>
      </c>
      <c r="O163"/>
      <c r="P163" t="inlineStr">
        <is>
          <t>点赞数未成功识别，暂置空，禁止随机补值</t>
        </is>
      </c>
      <c r="Q163" t="inlineStr">
        <is>
          <t>目标品牌</t>
        </is>
      </c>
      <c r="R163"/>
      <c r="S163" t="inlineStr">
        <is>
          <t>DY-SOC-0144_ANALYSIS_BASELINE_formal-attempt-0001_AI</t>
        </is>
      </c>
      <c r="T163" t="inlineStr">
        <is>
          <t>梅见反馈</t>
        </is>
      </c>
      <c r="U163" t="inlineStr">
        <is>
          <t>KEEP</t>
        </is>
      </c>
      <c r="V163" t="inlineStr">
        <is>
          <t>ANALYSIS_BASELINE</t>
        </is>
      </c>
      <c r="W163" t="inlineStr">
        <is>
          <t>可用</t>
        </is>
      </c>
      <c r="X163" t="inlineStr">
        <is>
          <t>品牌语料分析与洞察体系.xlsx#表1：原始语料库!163</t>
        </is>
      </c>
      <c r="Y163" t="inlineStr">
        <is>
          <t>FROZEN_419_V2</t>
        </is>
      </c>
    </row>
    <row r="164" ht="25.5" customHeight="1">
      <c r="A164" t="inlineStr">
        <is>
          <t>DY-SOC-0145</t>
        </is>
      </c>
      <c r="B164" t="inlineStr">
        <is>
          <t>梅见品牌认知与传播反馈</t>
        </is>
      </c>
      <c r="C164" t="inlineStr">
        <is>
          <t>PRJ001</t>
        </is>
      </c>
      <c r="D164" t="inlineStr">
        <is>
          <t>梅见</t>
        </is>
      </c>
      <c r="E164" t="inlineStr">
        <is>
          <t>看完也想去梅见酒庄打卡了</t>
        </is>
      </c>
      <c r="F164" t="inlineStr">
        <is>
          <t>当一颗青梅从树上到杯里｜2025-02-04｜抖音</t>
        </is>
      </c>
      <c r="G164" t="inlineStr">
        <is>
          <t>抖音</t>
        </is>
      </c>
      <c r="H164" s="2" t="str">
        <f>=HYPERLINK("https://www.douyin.com/video/7631092113903553833", "https://www.douyin.com/video/7631092113903553833")</f>
        <v>https://www.douyin.com/video/7631092113903553833</v>
      </c>
      <c r="I164" s="3">
        <v>45692</v>
      </c>
      <c r="J164" s="4">
        <v>46243</v>
      </c>
      <c r="K164" t="inlineStr">
        <is>
          <t>梅见为什么火</t>
        </is>
      </c>
      <c r="L164"/>
      <c r="M164" t="inlineStr">
        <is>
          <t>DY-U0153</t>
        </is>
      </c>
      <c r="N164" t="inlineStr">
        <is>
          <t>公开评论</t>
        </is>
      </c>
      <c r="O164"/>
      <c r="P164" t="inlineStr">
        <is>
          <t>点赞数未成功识别，暂置空，禁止随机补值</t>
        </is>
      </c>
      <c r="Q164" t="inlineStr">
        <is>
          <t>目标品牌</t>
        </is>
      </c>
      <c r="R164"/>
      <c r="S164" t="inlineStr">
        <is>
          <t>DY-SOC-0145_GOLD_人工标注_人工,DY-SOC-0145_GOLD_attempt-0002_AI_矫正前,DY-SOC-0145_GOLD_attempt-0006_AI_矫正后</t>
        </is>
      </c>
      <c r="T164" t="inlineStr">
        <is>
          <t>梅见反馈</t>
        </is>
      </c>
      <c r="U164" t="inlineStr">
        <is>
          <t>KEEP</t>
        </is>
      </c>
      <c r="V164" t="inlineStr">
        <is>
          <t>GOLD</t>
        </is>
      </c>
      <c r="W164" t="inlineStr">
        <is>
          <t>不可用</t>
        </is>
      </c>
      <c r="X164" t="inlineStr">
        <is>
          <t>原始母表#raw_id=DY-SOC-0145</t>
        </is>
      </c>
      <c r="Y164" t="inlineStr">
        <is>
          <t>FROZEN_419_V2</t>
        </is>
      </c>
    </row>
    <row r="165" ht="25.5" customHeight="1">
      <c r="A165" t="inlineStr">
        <is>
          <t>DY-SOC-0168</t>
        </is>
      </c>
      <c r="B165" t="inlineStr">
        <is>
          <t>梅见品牌认知与传播反馈</t>
        </is>
      </c>
      <c r="C165" t="inlineStr">
        <is>
          <t>PRJ001</t>
        </is>
      </c>
      <c r="D165" t="inlineStr">
        <is>
          <t>梅见</t>
        </is>
      </c>
      <c r="E165" t="inlineStr">
        <is>
          <t>画面稳定性很专业平稳</t>
        </is>
      </c>
      <c r="F165" t="inlineStr">
        <is>
          <t>人生几何知己见面喝酒｜2025-05-19｜抖音</t>
        </is>
      </c>
      <c r="G165" t="inlineStr">
        <is>
          <t>抖音</t>
        </is>
      </c>
      <c r="H165" s="2" t="str">
        <f>=HYPERLINK("https://www.douyin.com/video/7506039236925066533", "https://www.douyin.com/video/7506039236925066533")</f>
        <v>https://www.douyin.com/video/7506039236925066533</v>
      </c>
      <c r="I165" s="3">
        <v>45796</v>
      </c>
      <c r="J165" s="4">
        <v>46243</v>
      </c>
      <c r="K165" t="inlineStr">
        <is>
          <t>梅见朋友聚会②</t>
        </is>
      </c>
      <c r="L165"/>
      <c r="M165" t="inlineStr">
        <is>
          <t>DY-U0198</t>
        </is>
      </c>
      <c r="N165" t="inlineStr">
        <is>
          <t>公开评论</t>
        </is>
      </c>
      <c r="O165"/>
      <c r="P165" t="inlineStr">
        <is>
          <t>点赞数未成功识别，暂置空，禁止随机补值；当前日期来自视频发布时间，评论发布时间未识别</t>
        </is>
      </c>
      <c r="Q165" t="inlineStr">
        <is>
          <t>目标品牌</t>
        </is>
      </c>
      <c r="R165"/>
      <c r="S165"/>
      <c r="T165" t="inlineStr">
        <is>
          <t>梅见反馈</t>
        </is>
      </c>
      <c r="U165" t="inlineStr">
        <is>
          <t>EXCLUDE</t>
        </is>
      </c>
      <c r="V165" t="inlineStr">
        <is>
          <t>EXCLUDE</t>
        </is>
      </c>
      <c r="W165" t="inlineStr">
        <is>
          <t>不可用</t>
        </is>
      </c>
      <c r="X165" t="inlineStr">
        <is>
          <t>原始母表#raw_id=DY-SOC-0168</t>
        </is>
      </c>
      <c r="Y165" t="inlineStr">
        <is>
          <t>FROZEN_419_V2</t>
        </is>
      </c>
    </row>
    <row r="166" ht="25.5" customHeight="1">
      <c r="A166" t="inlineStr">
        <is>
          <t>DY-SOC-0169</t>
        </is>
      </c>
      <c r="B166" t="inlineStr">
        <is>
          <t>梅见品牌认知与传播反馈</t>
        </is>
      </c>
      <c r="C166" t="inlineStr">
        <is>
          <t>PRJ001</t>
        </is>
      </c>
      <c r="D166" t="inlineStr">
        <is>
          <t>梅见</t>
        </is>
      </c>
      <c r="E166" t="inlineStr">
        <is>
          <t>成功的被你圈粉了哦</t>
        </is>
      </c>
      <c r="F166" t="inlineStr">
        <is>
          <t>人生几何知己见面喝酒｜2025-05-19｜抖音</t>
        </is>
      </c>
      <c r="G166" t="inlineStr">
        <is>
          <t>抖音</t>
        </is>
      </c>
      <c r="H166" s="2" t="str">
        <f>=HYPERLINK("https://www.douyin.com/video/7506039236925066533", "https://www.douyin.com/video/7506039236925066533")</f>
        <v>https://www.douyin.com/video/7506039236925066533</v>
      </c>
      <c r="I166" s="3">
        <v>45796</v>
      </c>
      <c r="J166" s="4">
        <v>46243</v>
      </c>
      <c r="K166" t="inlineStr">
        <is>
          <t>梅见朋友聚会②</t>
        </is>
      </c>
      <c r="L166"/>
      <c r="M166" t="inlineStr">
        <is>
          <t>DY-U0199</t>
        </is>
      </c>
      <c r="N166" t="inlineStr">
        <is>
          <t>公开评论</t>
        </is>
      </c>
      <c r="O166"/>
      <c r="P166" t="inlineStr">
        <is>
          <t>点赞数未成功识别，暂置空，禁止随机补值；当前日期来自视频发布时间，评论发布时间未识别</t>
        </is>
      </c>
      <c r="Q166" t="inlineStr">
        <is>
          <t>目标品牌</t>
        </is>
      </c>
      <c r="R166"/>
      <c r="S166"/>
      <c r="T166" t="inlineStr">
        <is>
          <t>梅见反馈</t>
        </is>
      </c>
      <c r="U166" t="inlineStr">
        <is>
          <t>EXCLUDE</t>
        </is>
      </c>
      <c r="V166" t="inlineStr">
        <is>
          <t>EXCLUDE</t>
        </is>
      </c>
      <c r="W166" t="inlineStr">
        <is>
          <t>不可用</t>
        </is>
      </c>
      <c r="X166" t="inlineStr">
        <is>
          <t>原始母表#raw_id=DY-SOC-0169</t>
        </is>
      </c>
      <c r="Y166" t="inlineStr">
        <is>
          <t>FROZEN_419_V2</t>
        </is>
      </c>
    </row>
    <row r="167" ht="25.5" customHeight="1">
      <c r="A167" t="inlineStr">
        <is>
          <t>XHS-SOC-0176</t>
        </is>
      </c>
      <c r="B167" t="inlineStr">
        <is>
          <t>梅见品牌认知与传播反馈</t>
        </is>
      </c>
      <c r="C167" t="inlineStr">
        <is>
          <t>PRJ001</t>
        </is>
      </c>
      <c r="D167" t="inlineStr">
        <is>
          <t>梅见</t>
        </is>
      </c>
      <c r="E167" t="inlineStr">
        <is>
          <t>为啥我们觉得好好喝</t>
        </is>
      </c>
      <c r="F167" t="inlineStr">
        <is>
          <t>梅见青梅酒再见了-喝了头痛｜2025-08-05｜小红书</t>
        </is>
      </c>
      <c r="G167" t="inlineStr">
        <is>
          <t>小红书</t>
        </is>
      </c>
      <c r="H167" s="2" t="str">
        <f>=HYPERLINK("https://www.xiaohongshu.com/search_result/梅见是什么酒", "https://www.xiaohongshu.com/search_result/梅见是什么酒")</f>
        <v>https://www.xiaohongshu.com/search_result/梅见是什么酒</v>
      </c>
      <c r="I167" s="3">
        <v>45882</v>
      </c>
      <c r="J167" s="4">
        <v>46243</v>
      </c>
      <c r="K167" t="inlineStr">
        <is>
          <t>梅见是什么酒</t>
        </is>
      </c>
      <c r="L167">
        <v>19</v>
      </c>
      <c r="M167" t="inlineStr">
        <is>
          <t>XHS-U0126</t>
        </is>
      </c>
      <c r="N167" t="inlineStr">
        <is>
          <t>公开评论</t>
        </is>
      </c>
      <c r="O167"/>
      <c r="P167" t="inlineStr">
        <is>
          <t>原始:2025-08-13·新加坡；当前为搜索结果页链接，正式入库前需补原笔记链接</t>
        </is>
      </c>
      <c r="Q167" t="inlineStr">
        <is>
          <t>目标品牌</t>
        </is>
      </c>
      <c r="R167"/>
      <c r="S167" t="inlineStr">
        <is>
          <t>XHS-SOC-0176_ANALYSIS_BASELINE_formal-attempt-0001_AI</t>
        </is>
      </c>
      <c r="T167" t="inlineStr">
        <is>
          <t>梅见反馈</t>
        </is>
      </c>
      <c r="U167" t="inlineStr">
        <is>
          <t>KEEP</t>
        </is>
      </c>
      <c r="V167" t="inlineStr">
        <is>
          <t>ANALYSIS_BASELINE</t>
        </is>
      </c>
      <c r="W167" t="inlineStr">
        <is>
          <t>可用</t>
        </is>
      </c>
      <c r="X167" t="inlineStr">
        <is>
          <t>品牌语料分析与洞察体系.xlsx#表1：原始语料库!167</t>
        </is>
      </c>
      <c r="Y167" t="inlineStr">
        <is>
          <t>FROZEN_419_V2</t>
        </is>
      </c>
    </row>
    <row r="168" ht="25.5" customHeight="1">
      <c r="A168" t="inlineStr">
        <is>
          <t>XHS-SOC-0191</t>
        </is>
      </c>
      <c r="B168" t="inlineStr">
        <is>
          <t>梅见品牌认知与传播反馈</t>
        </is>
      </c>
      <c r="C168" t="inlineStr">
        <is>
          <t>PRJ001</t>
        </is>
      </c>
      <c r="D168" t="inlineStr">
        <is>
          <t>梅见</t>
        </is>
      </c>
      <c r="E168" t="inlineStr">
        <is>
          <t>我感觉真的很好喝，但是酒味有点重，我会灌五六颗话梅泡一个晚上就老好喝了</t>
        </is>
      </c>
      <c r="F168" t="inlineStr">
        <is>
          <t>梅见青梅酒再见了-喝了头痛｜2025-08-05｜小红书</t>
        </is>
      </c>
      <c r="G168" t="inlineStr">
        <is>
          <t>小红书</t>
        </is>
      </c>
      <c r="H168" s="2" t="str">
        <f>=HYPERLINK("https://www.xiaohongshu.com/search_result/梅见是什么酒", "https://www.xiaohongshu.com/search_result/梅见是什么酒")</f>
        <v>https://www.xiaohongshu.com/search_result/梅见是什么酒</v>
      </c>
      <c r="I168" s="3">
        <v>45881</v>
      </c>
      <c r="J168" s="4">
        <v>46243</v>
      </c>
      <c r="K168" t="inlineStr">
        <is>
          <t>梅见是什么酒</t>
        </is>
      </c>
      <c r="L168">
        <v>4</v>
      </c>
      <c r="M168" t="inlineStr">
        <is>
          <t>XHS-U0141</t>
        </is>
      </c>
      <c r="N168" t="inlineStr">
        <is>
          <t>公开评论</t>
        </is>
      </c>
      <c r="O168"/>
      <c r="P168" t="inlineStr">
        <is>
          <t>原始:2025-08-12·宁夏；当前为搜索结果页链接，正式入库前需补原笔记链接</t>
        </is>
      </c>
      <c r="Q168" t="inlineStr">
        <is>
          <t>目标品牌</t>
        </is>
      </c>
      <c r="R168"/>
      <c r="S168" t="inlineStr">
        <is>
          <t>XHS-SOC-0191_GOLD_人工标注_人工,XHS-SOC-0191_GOLD_attempt-0002_AI_矫正前,XHS-SOC-0191_GOLD_attempt-0006_AI_矫正后</t>
        </is>
      </c>
      <c r="T168" t="inlineStr">
        <is>
          <t>梅见反馈</t>
        </is>
      </c>
      <c r="U168" t="inlineStr">
        <is>
          <t>KEEP</t>
        </is>
      </c>
      <c r="V168" t="inlineStr">
        <is>
          <t>GOLD</t>
        </is>
      </c>
      <c r="W168" t="inlineStr">
        <is>
          <t>不可用</t>
        </is>
      </c>
      <c r="X168" t="inlineStr">
        <is>
          <t>原始母表#raw_id=XHS-SOC-0191</t>
        </is>
      </c>
      <c r="Y168" t="inlineStr">
        <is>
          <t>FROZEN_419_V2</t>
        </is>
      </c>
    </row>
    <row r="169" ht="25.5" customHeight="1">
      <c r="A169" t="inlineStr">
        <is>
          <t>XHS-SOC-0196</t>
        </is>
      </c>
      <c r="B169" t="inlineStr">
        <is>
          <t>梅见品牌认知与传播反馈</t>
        </is>
      </c>
      <c r="C169" t="inlineStr">
        <is>
          <t>PRJ001</t>
        </is>
      </c>
      <c r="D169" t="inlineStr">
        <is>
          <t>梅见</t>
        </is>
      </c>
      <c r="E169" t="inlineStr">
        <is>
          <t>这酒喝完口渴特别特别口渴</t>
        </is>
      </c>
      <c r="F169" t="inlineStr">
        <is>
          <t>梅见青梅酒再见了-喝了头痛｜2025-08-05｜小红书</t>
        </is>
      </c>
      <c r="G169" t="inlineStr">
        <is>
          <t>小红书</t>
        </is>
      </c>
      <c r="H169" s="2" t="str">
        <f>=HYPERLINK("https://www.xiaohongshu.com/search_result/梅见是什么酒", "https://www.xiaohongshu.com/search_result/梅见是什么酒")</f>
        <v>https://www.xiaohongshu.com/search_result/梅见是什么酒</v>
      </c>
      <c r="I169" s="3">
        <v>45875</v>
      </c>
      <c r="J169" s="4">
        <v>46243</v>
      </c>
      <c r="K169" t="inlineStr">
        <is>
          <t>梅见是什么酒</t>
        </is>
      </c>
      <c r="L169">
        <v>3</v>
      </c>
      <c r="M169" t="inlineStr">
        <is>
          <t>XHS-U0137</t>
        </is>
      </c>
      <c r="N169" t="inlineStr">
        <is>
          <t>公开评论</t>
        </is>
      </c>
      <c r="O169"/>
      <c r="P169" t="inlineStr">
        <is>
          <t>原始:2025-08-06·山东；当前为搜索结果页链接，正式入库前需补原笔记链接</t>
        </is>
      </c>
      <c r="Q169" t="inlineStr">
        <is>
          <t>目标品牌</t>
        </is>
      </c>
      <c r="R169"/>
      <c r="S169" t="inlineStr">
        <is>
          <t>XHS-SOC-0196_ANALYSIS_BASELINE_formal-attempt-0001_AI</t>
        </is>
      </c>
      <c r="T169" t="inlineStr">
        <is>
          <t>梅见反馈</t>
        </is>
      </c>
      <c r="U169" t="inlineStr">
        <is>
          <t>KEEP</t>
        </is>
      </c>
      <c r="V169" t="inlineStr">
        <is>
          <t>ANALYSIS_BASELINE</t>
        </is>
      </c>
      <c r="W169" t="inlineStr">
        <is>
          <t>可用</t>
        </is>
      </c>
      <c r="X169" t="inlineStr">
        <is>
          <t>品牌语料分析与洞察体系.xlsx#表1：原始语料库!169</t>
        </is>
      </c>
      <c r="Y169" t="inlineStr">
        <is>
          <t>FROZEN_419_V2</t>
        </is>
      </c>
    </row>
    <row r="170" ht="25.5" customHeight="1">
      <c r="A170" t="inlineStr">
        <is>
          <t>XHS-SOC-0201</t>
        </is>
      </c>
      <c r="B170" t="inlineStr">
        <is>
          <t>梅见品牌认知与传播反馈</t>
        </is>
      </c>
      <c r="C170" t="inlineStr">
        <is>
          <t>PRJ001</t>
        </is>
      </c>
      <c r="D170" t="inlineStr">
        <is>
          <t>梅见</t>
        </is>
      </c>
      <c r="E170" t="inlineStr">
        <is>
          <t>没有人觉得喝了之后一直在上厕所吗？</t>
        </is>
      </c>
      <c r="F170" t="inlineStr">
        <is>
          <t>梅见青梅酒再见了-喝了头痛｜2025-08-05｜小红书</t>
        </is>
      </c>
      <c r="G170" t="inlineStr">
        <is>
          <t>小红书</t>
        </is>
      </c>
      <c r="H170" s="2" t="str">
        <f>=HYPERLINK("https://www.xiaohongshu.com/search_result/梅见是什么酒", "https://www.xiaohongshu.com/search_result/梅见是什么酒")</f>
        <v>https://www.xiaohongshu.com/search_result/梅见是什么酒</v>
      </c>
      <c r="I170" s="3">
        <v>45890</v>
      </c>
      <c r="J170" s="4">
        <v>46243</v>
      </c>
      <c r="K170" t="inlineStr">
        <is>
          <t>梅见是什么酒</t>
        </is>
      </c>
      <c r="L170">
        <v>2</v>
      </c>
      <c r="M170" t="inlineStr">
        <is>
          <t>XHS-U0130</t>
        </is>
      </c>
      <c r="N170" t="inlineStr">
        <is>
          <t>公开评论</t>
        </is>
      </c>
      <c r="O170"/>
      <c r="P170" t="inlineStr">
        <is>
          <t>原始:2025-08-21·广东；当前为搜索结果页链接，正式入库前需补原笔记链接</t>
        </is>
      </c>
      <c r="Q170" t="inlineStr">
        <is>
          <t>目标品牌</t>
        </is>
      </c>
      <c r="R170"/>
      <c r="S170" t="inlineStr">
        <is>
          <t>XHS-SOC-0201_GOLD_人工标注_人工,XHS-SOC-0201_GOLD_attempt-0002_AI_矫正前,XHS-SOC-0201_GOLD_attempt-0006_AI_矫正后</t>
        </is>
      </c>
      <c r="T170" t="inlineStr">
        <is>
          <t>梅见反馈</t>
        </is>
      </c>
      <c r="U170" t="inlineStr">
        <is>
          <t>KEEP</t>
        </is>
      </c>
      <c r="V170" t="inlineStr">
        <is>
          <t>GOLD</t>
        </is>
      </c>
      <c r="W170" t="inlineStr">
        <is>
          <t>不可用</t>
        </is>
      </c>
      <c r="X170" t="inlineStr">
        <is>
          <t>原始母表#raw_id=XHS-SOC-0201</t>
        </is>
      </c>
      <c r="Y170" t="inlineStr">
        <is>
          <t>FROZEN_419_V2</t>
        </is>
      </c>
    </row>
    <row r="171" ht="25.5" customHeight="1">
      <c r="A171" t="inlineStr">
        <is>
          <t>XHS-SOC-0207</t>
        </is>
      </c>
      <c r="B171" t="inlineStr">
        <is>
          <t>梅见品牌认知与传播反馈</t>
        </is>
      </c>
      <c r="C171" t="inlineStr">
        <is>
          <t>PRJ001</t>
        </is>
      </c>
      <c r="D171" t="inlineStr">
        <is>
          <t>梅见</t>
        </is>
      </c>
      <c r="E171" t="inlineStr">
        <is>
          <t>我一般都是冰一下当饮料</t>
        </is>
      </c>
      <c r="F171" t="inlineStr">
        <is>
          <t>梅见青梅酒再见了-喝了头痛｜2025-08-05｜小红书</t>
        </is>
      </c>
      <c r="G171" t="inlineStr">
        <is>
          <t>小红书</t>
        </is>
      </c>
      <c r="H171" s="2" t="str">
        <f>=HYPERLINK("https://www.xiaohongshu.com/search_result/梅见是什么酒", "https://www.xiaohongshu.com/search_result/梅见是什么酒")</f>
        <v>https://www.xiaohongshu.com/search_result/梅见是什么酒</v>
      </c>
      <c r="I171" s="3">
        <v>45883</v>
      </c>
      <c r="J171" s="4">
        <v>46243</v>
      </c>
      <c r="K171" t="inlineStr">
        <is>
          <t>梅见是什么酒</t>
        </is>
      </c>
      <c r="L171">
        <v>1</v>
      </c>
      <c r="M171" t="inlineStr">
        <is>
          <t>XHS-U0152</t>
        </is>
      </c>
      <c r="N171" t="inlineStr">
        <is>
          <t>公开评论</t>
        </is>
      </c>
      <c r="O171"/>
      <c r="P171" t="inlineStr">
        <is>
          <t>原始:2025-08-14·山东；当前为搜索结果页链接，正式入库前需补原笔记链接</t>
        </is>
      </c>
      <c r="Q171" t="inlineStr">
        <is>
          <t>目标品牌</t>
        </is>
      </c>
      <c r="R171"/>
      <c r="S171" t="inlineStr">
        <is>
          <t>XHS-SOC-0207_HOLDOUT_formal-attempt-0001_AI</t>
        </is>
      </c>
      <c r="T171" t="inlineStr">
        <is>
          <t>梅见反馈</t>
        </is>
      </c>
      <c r="U171" t="inlineStr">
        <is>
          <t>KEEP</t>
        </is>
      </c>
      <c r="V171" t="inlineStr">
        <is>
          <t>HOLDOUT</t>
        </is>
      </c>
      <c r="W171" t="inlineStr">
        <is>
          <t>可用</t>
        </is>
      </c>
      <c r="X171" t="inlineStr">
        <is>
          <t>品牌语料分析与洞察体系.xlsx#表1：原始语料库!171</t>
        </is>
      </c>
      <c r="Y171" t="inlineStr">
        <is>
          <t>FROZEN_419_V2</t>
        </is>
      </c>
    </row>
    <row r="172" ht="25.5" customHeight="1">
      <c r="A172" t="inlineStr">
        <is>
          <t>XHS-SOC-0220</t>
        </is>
      </c>
      <c r="B172" t="inlineStr">
        <is>
          <t>梅见品牌认知与传播反馈</t>
        </is>
      </c>
      <c r="C172" t="inlineStr">
        <is>
          <t>PRJ001</t>
        </is>
      </c>
      <c r="D172" t="inlineStr">
        <is>
          <t>梅见</t>
        </is>
      </c>
      <c r="E172" t="inlineStr">
        <is>
          <t>我感觉挺好喝的，加点冰会更好喝点强烈推荐</t>
        </is>
      </c>
      <c r="F172" t="inlineStr">
        <is>
          <t>梅见青梅酒再见了-喝了头痛｜2025-08-05｜小红书</t>
        </is>
      </c>
      <c r="G172" t="inlineStr">
        <is>
          <t>小红书</t>
        </is>
      </c>
      <c r="H172" s="2" t="str">
        <f>=HYPERLINK("https://www.xiaohongshu.com/search_result/梅见是什么酒", "https://www.xiaohongshu.com/search_result/梅见是什么酒")</f>
        <v>https://www.xiaohongshu.com/search_result/梅见是什么酒</v>
      </c>
      <c r="I172" s="3">
        <v>45886</v>
      </c>
      <c r="J172" s="4">
        <v>46243</v>
      </c>
      <c r="K172" t="inlineStr">
        <is>
          <t>梅见是什么酒</t>
        </is>
      </c>
      <c r="L172">
        <v>0</v>
      </c>
      <c r="M172" t="inlineStr">
        <is>
          <t>XHS-U0135</t>
        </is>
      </c>
      <c r="N172" t="inlineStr">
        <is>
          <t>公开评论</t>
        </is>
      </c>
      <c r="O172"/>
      <c r="P172" t="inlineStr">
        <is>
          <t>原始:2025-08-17·河南；当前为搜索结果页链接，正式入库前需补原笔记链接</t>
        </is>
      </c>
      <c r="Q172" t="inlineStr">
        <is>
          <t>目标品牌</t>
        </is>
      </c>
      <c r="R172"/>
      <c r="S172" t="inlineStr">
        <is>
          <t>XHS-SOC-0220_CHALLENGE_POOL_formal-attempt-0001_AI</t>
        </is>
      </c>
      <c r="T172" t="inlineStr">
        <is>
          <t>梅见反馈</t>
        </is>
      </c>
      <c r="U172" t="inlineStr">
        <is>
          <t>KEEP</t>
        </is>
      </c>
      <c r="V172" t="inlineStr">
        <is>
          <t>CHALLENGE</t>
        </is>
      </c>
      <c r="W172" t="inlineStr">
        <is>
          <t>可用</t>
        </is>
      </c>
      <c r="X172" t="inlineStr">
        <is>
          <t>品牌语料分析与洞察体系.xlsx#表1：原始语料库!172</t>
        </is>
      </c>
      <c r="Y172" t="inlineStr">
        <is>
          <t>FROZEN_419_V2</t>
        </is>
      </c>
    </row>
    <row r="173" ht="25.5" customHeight="1">
      <c r="A173" t="inlineStr">
        <is>
          <t>XHS-SOC-0221</t>
        </is>
      </c>
      <c r="B173" t="inlineStr">
        <is>
          <t>梅见品牌认知与传播反馈</t>
        </is>
      </c>
      <c r="C173" t="inlineStr">
        <is>
          <t>PRJ001</t>
        </is>
      </c>
      <c r="D173" t="inlineStr">
        <is>
          <t>梅见</t>
        </is>
      </c>
      <c r="E173" t="inlineStr">
        <is>
          <t>我喝一瓶刚好入睡</t>
        </is>
      </c>
      <c r="F173" t="inlineStr">
        <is>
          <t>梅见青梅酒再见了-喝了头痛｜2025-08-05｜小红书</t>
        </is>
      </c>
      <c r="G173" t="inlineStr">
        <is>
          <t>小红书</t>
        </is>
      </c>
      <c r="H173" s="2" t="str">
        <f>=HYPERLINK("https://www.xiaohongshu.com/search_result/梅见是什么酒", "https://www.xiaohongshu.com/search_result/梅见是什么酒")</f>
        <v>https://www.xiaohongshu.com/search_result/梅见是什么酒</v>
      </c>
      <c r="I173" s="3">
        <v>45898</v>
      </c>
      <c r="J173" s="4">
        <v>46243</v>
      </c>
      <c r="K173" t="inlineStr">
        <is>
          <t>梅见是什么酒</t>
        </is>
      </c>
      <c r="L173">
        <v>0</v>
      </c>
      <c r="M173" t="inlineStr">
        <is>
          <t>XHS-U0142</t>
        </is>
      </c>
      <c r="N173" t="inlineStr">
        <is>
          <t>公开评论</t>
        </is>
      </c>
      <c r="O173"/>
      <c r="P173" t="inlineStr">
        <is>
          <t>原始:2025-08-29·广东；当前为搜索结果页链接，正式入库前需补原笔记链接</t>
        </is>
      </c>
      <c r="Q173" t="inlineStr">
        <is>
          <t>目标品牌</t>
        </is>
      </c>
      <c r="R173"/>
      <c r="S173" t="inlineStr">
        <is>
          <t>XHS-SOC-0221_GOLD_人工标注_人工,XHS-SOC-0221_GOLD_attempt-0002_AI_矫正前,XHS-SOC-0221_GOLD_attempt-0006_AI_矫正后</t>
        </is>
      </c>
      <c r="T173" t="inlineStr">
        <is>
          <t>梅见反馈</t>
        </is>
      </c>
      <c r="U173" t="inlineStr">
        <is>
          <t>KEEP</t>
        </is>
      </c>
      <c r="V173" t="inlineStr">
        <is>
          <t>GOLD</t>
        </is>
      </c>
      <c r="W173" t="inlineStr">
        <is>
          <t>不可用</t>
        </is>
      </c>
      <c r="X173" t="inlineStr">
        <is>
          <t>原始母表#raw_id=XHS-SOC-0221</t>
        </is>
      </c>
      <c r="Y173" t="inlineStr">
        <is>
          <t>FROZEN_419_V2</t>
        </is>
      </c>
    </row>
    <row r="174" ht="25.5" customHeight="1">
      <c r="A174" t="inlineStr">
        <is>
          <t>XHS-SOC-0222</t>
        </is>
      </c>
      <c r="B174" t="inlineStr">
        <is>
          <t>梅见品牌认知与传播反馈</t>
        </is>
      </c>
      <c r="C174" t="inlineStr">
        <is>
          <t>PRJ001</t>
        </is>
      </c>
      <c r="D174" t="inlineStr">
        <is>
          <t>梅见</t>
        </is>
      </c>
      <c r="E174" t="inlineStr">
        <is>
          <t>我说怎么喝着喝着晕了 我寻思度数也不高啊</t>
        </is>
      </c>
      <c r="F174" t="inlineStr">
        <is>
          <t>梅见青梅酒再见了-喝了头痛｜2025-08-05｜小红书</t>
        </is>
      </c>
      <c r="G174" t="inlineStr">
        <is>
          <t>小红书</t>
        </is>
      </c>
      <c r="H174" s="2" t="str">
        <f>=HYPERLINK("https://www.xiaohongshu.com/search_result/梅见是什么酒", "https://www.xiaohongshu.com/search_result/梅见是什么酒")</f>
        <v>https://www.xiaohongshu.com/search_result/梅见是什么酒</v>
      </c>
      <c r="I174" s="3">
        <v>45880</v>
      </c>
      <c r="J174" s="4">
        <v>46243</v>
      </c>
      <c r="K174" t="inlineStr">
        <is>
          <t>梅见是什么酒</t>
        </is>
      </c>
      <c r="L174">
        <v>0</v>
      </c>
      <c r="M174" t="inlineStr">
        <is>
          <t>XHS-U0155</t>
        </is>
      </c>
      <c r="N174" t="inlineStr">
        <is>
          <t>公开评论</t>
        </is>
      </c>
      <c r="O174"/>
      <c r="P174" t="inlineStr">
        <is>
          <t>原始:2025-08-11·广东；当前为搜索结果页链接，正式入库前需补原笔记链接</t>
        </is>
      </c>
      <c r="Q174" t="inlineStr">
        <is>
          <t>目标品牌</t>
        </is>
      </c>
      <c r="R174"/>
      <c r="S174" t="inlineStr">
        <is>
          <t>XHS-SOC-0222_ANALYSIS_BASELINE_formal-attempt-0001_AI</t>
        </is>
      </c>
      <c r="T174" t="inlineStr">
        <is>
          <t>梅见反馈</t>
        </is>
      </c>
      <c r="U174" t="inlineStr">
        <is>
          <t>KEEP</t>
        </is>
      </c>
      <c r="V174" t="inlineStr">
        <is>
          <t>ANALYSIS_BASELINE</t>
        </is>
      </c>
      <c r="W174" t="inlineStr">
        <is>
          <t>可用</t>
        </is>
      </c>
      <c r="X174" t="inlineStr">
        <is>
          <t>品牌语料分析与洞察体系.xlsx#表1：原始语料库!174</t>
        </is>
      </c>
      <c r="Y174" t="inlineStr">
        <is>
          <t>FROZEN_419_V2</t>
        </is>
      </c>
    </row>
    <row r="175" ht="25.5" customHeight="1">
      <c r="A175" t="inlineStr">
        <is>
          <t>JD-20260809-053</t>
        </is>
      </c>
      <c r="B175" t="inlineStr">
        <is>
          <t>梅见品牌认知与传播反馈</t>
        </is>
      </c>
      <c r="C175" t="inlineStr">
        <is>
          <t>PRJ001</t>
        </is>
      </c>
      <c r="D175" t="inlineStr">
        <is>
          <t>梅见｜【原味梅见】330ml*6</t>
        </is>
      </c>
      <c r="E175" t="inlineStr">
        <is>
          <t>这瓶梅见果酒真的挺惊艳的，琥珀色的酒液看着就有食欲，开瓶就是清新的果香，喝起来酸甜平衡，不会腻。配餐的话，我觉得和轻食或者小点心很搭，清爽不抢味。包装也精致，送人很有面子，性价比高，会回购 🍇✨✨</t>
        </is>
      </c>
      <c r="F175" t="inlineStr">
        <is>
          <t>品牌：梅见｜商品/规格：【原味梅见】330ml*6｜SKU：100013267874</t>
        </is>
      </c>
      <c r="G175" t="inlineStr">
        <is>
          <t>京东</t>
        </is>
      </c>
      <c r="H175" s="2" t="str">
        <f>=HYPERLINK("https://item.jd.com/100013267874.html", "https://item.jd.com/100013267874.html")</f>
        <v>https://item.jd.com/100013267874.html</v>
      </c>
      <c r="I175" s="3">
        <v>46164</v>
      </c>
      <c r="J175" s="4">
        <v>46243</v>
      </c>
      <c r="K175" t="inlineStr">
        <is>
          <t>梅见 青梅酒 商品评价</t>
        </is>
      </c>
      <c r="L175"/>
      <c r="M175" t="inlineStr">
        <is>
          <t>JD-U-20260809-053</t>
        </is>
      </c>
      <c r="N175" t="inlineStr">
        <is>
          <t>公开评论</t>
        </is>
      </c>
      <c r="O175"/>
      <c r="P175" t="inlineStr">
        <is>
          <t>情绪粗标：正面；主题粗标：酒体；果香；酸甜度；搭餐；包装；礼赠；性价比；回购；京东商品评价弹层核验；已排除商家回复与用户名；评价页未展示评论点赞/有用数，点赞数留空</t>
        </is>
      </c>
      <c r="Q175" t="inlineStr">
        <is>
          <t>目标品牌</t>
        </is>
      </c>
      <c r="R175"/>
      <c r="S175" t="inlineStr">
        <is>
          <t>JD-20260809-053_CHALLENGE_POOL_formal-attempt-0001_AI</t>
        </is>
      </c>
      <c r="T175" t="inlineStr">
        <is>
          <t>梅见反馈</t>
        </is>
      </c>
      <c r="U175" t="inlineStr">
        <is>
          <t>KEEP</t>
        </is>
      </c>
      <c r="V175" t="inlineStr">
        <is>
          <t>CHALLENGE</t>
        </is>
      </c>
      <c r="W175" t="inlineStr">
        <is>
          <t>可用</t>
        </is>
      </c>
      <c r="X175" t="inlineStr">
        <is>
          <t>品牌语料分析与洞察体系.xlsx#表1：原始语料库!175</t>
        </is>
      </c>
      <c r="Y175" t="inlineStr">
        <is>
          <t>FROZEN_419_V2</t>
        </is>
      </c>
    </row>
    <row r="176" ht="25.5" customHeight="1">
      <c r="A176" t="inlineStr">
        <is>
          <t>JD-20260809-059</t>
        </is>
      </c>
      <c r="B176" t="inlineStr">
        <is>
          <t>梅见品牌认知与传播反馈</t>
        </is>
      </c>
      <c r="C176" t="inlineStr">
        <is>
          <t>PRJ001</t>
        </is>
      </c>
      <c r="D176" t="inlineStr">
        <is>
          <t>梅见｜【尝鲜装】烟熏 150ml*1瓶</t>
        </is>
      </c>
      <c r="E176" t="inlineStr">
        <is>
          <t>🎉这款酒真的很赞呢！开瓶就能闻到浓郁的香气，酸甜比例刚刚好，喝起来很顺口～✨包装也特别牢固，瓶子看起来高端大气，无论是自己喝还是送礼都很合适。性价比超高，确认是正品无疑，已经列入回购清单啦！😊</t>
        </is>
      </c>
      <c r="F176" t="inlineStr">
        <is>
          <t>品牌：梅见｜商品/规格：【尝鲜装】烟熏 150ml*1瓶｜SKU：100034280635</t>
        </is>
      </c>
      <c r="G176" t="inlineStr">
        <is>
          <t>京东</t>
        </is>
      </c>
      <c r="H176" s="2" t="str">
        <f>=HYPERLINK("https://item.jd.com/100034280635.html", "https://item.jd.com/100034280635.html")</f>
        <v>https://item.jd.com/100034280635.html</v>
      </c>
      <c r="I176" s="3">
        <v>46070</v>
      </c>
      <c r="J176" s="4">
        <v>46243</v>
      </c>
      <c r="K176" t="inlineStr">
        <is>
          <t>梅见 青梅酒 商品评价</t>
        </is>
      </c>
      <c r="L176"/>
      <c r="M176" t="inlineStr">
        <is>
          <t>JD-U-20260809-059</t>
        </is>
      </c>
      <c r="N176" t="inlineStr">
        <is>
          <t>公开评论</t>
        </is>
      </c>
      <c r="O176"/>
      <c r="P176" t="inlineStr">
        <is>
          <t>情绪粗标：正面；主题粗标：烟熏150ml；香气；酸甜度；入口感；包装；礼赠；性价比；回购；京东商品评价弹层核验；已排除商家回复与用户名；评价页未展示评论点赞/有用数，点赞数留空；疑似模板化表达，仅作为原始语料导入，表2需人工复核</t>
        </is>
      </c>
      <c r="Q176" t="inlineStr">
        <is>
          <t>目标品牌</t>
        </is>
      </c>
      <c r="R176"/>
      <c r="S176" t="inlineStr">
        <is>
          <t>JD-20260809-059_GOLD_人工标注_人工,JD-20260809-059_GOLD_attempt-0002_AI_矫正前,JD-20260809-059_GOLD_attempt-0006_AI_矫正后</t>
        </is>
      </c>
      <c r="T176" t="inlineStr">
        <is>
          <t>梅见反馈</t>
        </is>
      </c>
      <c r="U176" t="inlineStr">
        <is>
          <t>KEEP</t>
        </is>
      </c>
      <c r="V176" t="inlineStr">
        <is>
          <t>GOLD</t>
        </is>
      </c>
      <c r="W176" t="inlineStr">
        <is>
          <t>不可用</t>
        </is>
      </c>
      <c r="X176" t="inlineStr">
        <is>
          <t>原始母表#raw_id=JD-20260809-059</t>
        </is>
      </c>
      <c r="Y176" t="inlineStr">
        <is>
          <t>FROZEN_419_V2</t>
        </is>
      </c>
    </row>
    <row r="177" ht="25.5" customHeight="1">
      <c r="A177" t="inlineStr">
        <is>
          <t>JD-20260809-064</t>
        </is>
      </c>
      <c r="B177" t="inlineStr">
        <is>
          <t>梅见品牌认知与传播反馈</t>
        </is>
      </c>
      <c r="C177" t="inlineStr">
        <is>
          <t>PRJ001</t>
        </is>
      </c>
      <c r="D177" t="inlineStr">
        <is>
          <t>梅见｜【尝鲜装】烟熏 150ml*1瓶</t>
        </is>
      </c>
      <c r="E177" t="inlineStr">
        <is>
          <t>买来摆柜的，小酒很漂亮，后期有朋友来可以拿来一起品鉴一下，囤了很多不同种类的小酒，摆在一起还挺好看，主要是不占地方，价格也比较合适，活动的时候可以撸不少！</t>
        </is>
      </c>
      <c r="F177" t="inlineStr">
        <is>
          <t>品牌：梅见｜商品/规格：【尝鲜装】烟熏 150ml*1瓶｜SKU：100034280635</t>
        </is>
      </c>
      <c r="G177" t="inlineStr">
        <is>
          <t>京东</t>
        </is>
      </c>
      <c r="H177" s="2" t="str">
        <f>=HYPERLINK("https://item.jd.com/100034280635.html", "https://item.jd.com/100034280635.html")</f>
        <v>https://item.jd.com/100034280635.html</v>
      </c>
      <c r="I177" s="3">
        <v>46159</v>
      </c>
      <c r="J177" s="4">
        <v>46243</v>
      </c>
      <c r="K177" t="inlineStr">
        <is>
          <t>梅见 青梅酒 商品评价</t>
        </is>
      </c>
      <c r="L177"/>
      <c r="M177" t="inlineStr">
        <is>
          <t>JD-U-20260809-064</t>
        </is>
      </c>
      <c r="N177" t="inlineStr">
        <is>
          <t>公开评论</t>
        </is>
      </c>
      <c r="O177"/>
      <c r="P177" t="inlineStr">
        <is>
          <t>情绪粗标：正面；主题粗标：烟熏150ml；摆柜；品鉴；便携；价格；促销；京东商品评价弹层核验；已排除商家回复与用户名；评价页未展示评论点赞/有用数，点赞数留空</t>
        </is>
      </c>
      <c r="Q177" t="inlineStr">
        <is>
          <t>目标品牌</t>
        </is>
      </c>
      <c r="R177"/>
      <c r="S177" t="inlineStr">
        <is>
          <t>JD-20260809-064_ANALYSIS_BASELINE_formal-attempt-0001_AI</t>
        </is>
      </c>
      <c r="T177" t="inlineStr">
        <is>
          <t>梅见反馈</t>
        </is>
      </c>
      <c r="U177" t="inlineStr">
        <is>
          <t>KEEP</t>
        </is>
      </c>
      <c r="V177" t="inlineStr">
        <is>
          <t>ANALYSIS_BASELINE</t>
        </is>
      </c>
      <c r="W177" t="inlineStr">
        <is>
          <t>可用</t>
        </is>
      </c>
      <c r="X177" t="inlineStr">
        <is>
          <t>品牌语料分析与洞察体系.xlsx#表1：原始语料库!177</t>
        </is>
      </c>
      <c r="Y177" t="inlineStr">
        <is>
          <t>FROZEN_419_V2</t>
        </is>
      </c>
    </row>
    <row r="178" ht="25.5" customHeight="1">
      <c r="A178" t="inlineStr">
        <is>
          <t>TB-20260809-037</t>
        </is>
      </c>
      <c r="B178" t="inlineStr">
        <is>
          <t>梅见品牌认知与传播反馈</t>
        </is>
      </c>
      <c r="C178" t="inlineStr">
        <is>
          <t>PRJ001</t>
        </is>
      </c>
      <c r="D178" t="inlineStr">
        <is>
          <t>梅见｜9度清爽330ml</t>
        </is>
      </c>
      <c r="E178" t="inlineStr">
        <is>
          <t>包裹包装的很好，回来没有破损，味道也很好，还送了冰球模具，非常满意</t>
        </is>
      </c>
      <c r="F178" t="inlineStr">
        <is>
          <t>品牌：梅见｜商品/规格：9度清爽330ml｜SKU：681094845930</t>
        </is>
      </c>
      <c r="G178" t="inlineStr">
        <is>
          <t>淘宝</t>
        </is>
      </c>
      <c r="H178" s="2" t="str">
        <f>=HYPERLINK("https://detail.tmall.com/item.htm?id=681094845930", "https://detail.tmall.com/item.htm?id=681094845930")</f>
        <v>https://detail.tmall.com/item.htm?id=681094845930</v>
      </c>
      <c r="I178" s="3">
        <v>46214</v>
      </c>
      <c r="J178" s="4">
        <v>46243</v>
      </c>
      <c r="K178" t="inlineStr">
        <is>
          <t>梅见 青梅酒 商品评价</t>
        </is>
      </c>
      <c r="L178"/>
      <c r="M178" t="inlineStr">
        <is>
          <t>TB-U-20260809-037</t>
        </is>
      </c>
      <c r="N178" t="inlineStr">
        <is>
          <t>公开评论</t>
        </is>
      </c>
      <c r="O178"/>
      <c r="P178" t="inlineStr">
        <is>
          <t>情绪粗标：正面；主题粗标：包装；赠品；冰饮；口味；梅见旗舰店商品评价；未记录用户名；已排除商家回复；评价页未展示评论点赞/有用数，点赞数留空</t>
        </is>
      </c>
      <c r="Q178" t="inlineStr">
        <is>
          <t>目标品牌</t>
        </is>
      </c>
      <c r="R178"/>
      <c r="S178" t="inlineStr">
        <is>
          <t>TB-20260809-037_CHALLENGE_POOL_formal-attempt-0001_AI</t>
        </is>
      </c>
      <c r="T178" t="inlineStr">
        <is>
          <t>梅见反馈</t>
        </is>
      </c>
      <c r="U178" t="inlineStr">
        <is>
          <t>KEEP</t>
        </is>
      </c>
      <c r="V178" t="inlineStr">
        <is>
          <t>CHALLENGE</t>
        </is>
      </c>
      <c r="W178" t="inlineStr">
        <is>
          <t>可用</t>
        </is>
      </c>
      <c r="X178" t="inlineStr">
        <is>
          <t>品牌语料分析与洞察体系.xlsx#表1：原始语料库!178</t>
        </is>
      </c>
      <c r="Y178" t="inlineStr">
        <is>
          <t>FROZEN_419_V2</t>
        </is>
      </c>
    </row>
    <row r="179" ht="25.5" customHeight="1">
      <c r="A179" t="inlineStr">
        <is>
          <t>TB-20260809-038</t>
        </is>
      </c>
      <c r="B179" t="inlineStr">
        <is>
          <t>梅见品牌认知与传播反馈</t>
        </is>
      </c>
      <c r="C179" t="inlineStr">
        <is>
          <t>PRJ001</t>
        </is>
      </c>
      <c r="D179" t="inlineStr">
        <is>
          <t>梅见｜12度原味330ml</t>
        </is>
      </c>
      <c r="E179" t="inlineStr">
        <is>
          <t>第一次喝梅见，瓶子很漂亮，好喝的话会回购其他口味</t>
        </is>
      </c>
      <c r="F179" t="inlineStr">
        <is>
          <t>品牌：梅见｜商品/规格：12度原味330ml｜SKU：681094845930</t>
        </is>
      </c>
      <c r="G179" t="inlineStr">
        <is>
          <t>淘宝</t>
        </is>
      </c>
      <c r="H179" s="2" t="str">
        <f>=HYPERLINK("https://detail.tmall.com/item.htm?id=681094845930", "https://detail.tmall.com/item.htm?id=681094845930")</f>
        <v>https://detail.tmall.com/item.htm?id=681094845930</v>
      </c>
      <c r="I179" s="3">
        <v>46229</v>
      </c>
      <c r="J179" s="4">
        <v>46243</v>
      </c>
      <c r="K179" t="inlineStr">
        <is>
          <t>梅见 青梅酒 商品评价</t>
        </is>
      </c>
      <c r="L179"/>
      <c r="M179" t="inlineStr">
        <is>
          <t>TB-U-20260809-038</t>
        </is>
      </c>
      <c r="N179" t="inlineStr">
        <is>
          <t>公开评论</t>
        </is>
      </c>
      <c r="O179"/>
      <c r="P179" t="inlineStr">
        <is>
          <t>情绪粗标：中性；主题粗标：首次购买；包装外观；回购意向；多口味尝试；梅见旗舰店商品评价；未记录用户名；已排除商家回复；评价页未展示评论点赞/有用数，点赞数留空</t>
        </is>
      </c>
      <c r="Q179" t="inlineStr">
        <is>
          <t>目标品牌</t>
        </is>
      </c>
      <c r="R179"/>
      <c r="S179" t="inlineStr">
        <is>
          <t>TB-20260809-038_ANALYSIS_BASELINE_formal-attempt-0001_AI</t>
        </is>
      </c>
      <c r="T179" t="inlineStr">
        <is>
          <t>梅见反馈</t>
        </is>
      </c>
      <c r="U179" t="inlineStr">
        <is>
          <t>KEEP</t>
        </is>
      </c>
      <c r="V179" t="inlineStr">
        <is>
          <t>ANALYSIS_BASELINE</t>
        </is>
      </c>
      <c r="W179" t="inlineStr">
        <is>
          <t>可用</t>
        </is>
      </c>
      <c r="X179" t="inlineStr">
        <is>
          <t>品牌语料分析与洞察体系.xlsx#表1：原始语料库!179</t>
        </is>
      </c>
      <c r="Y179" t="inlineStr">
        <is>
          <t>FROZEN_419_V2</t>
        </is>
      </c>
    </row>
    <row r="180" ht="25.5" customHeight="1">
      <c r="A180" t="inlineStr">
        <is>
          <t>TB-20260809-046</t>
        </is>
      </c>
      <c r="B180" t="inlineStr">
        <is>
          <t>梅见品牌认知与传播反馈</t>
        </is>
      </c>
      <c r="C180" t="inlineStr">
        <is>
          <t>PRJ001</t>
        </is>
      </c>
      <c r="D180" t="inlineStr">
        <is>
          <t>梅见｜超酸梅见150ml</t>
        </is>
      </c>
      <c r="E180" t="inlineStr">
        <is>
          <t>发货及时，包装完好。酸酸甜甜，口感不错</t>
        </is>
      </c>
      <c r="F180" t="inlineStr">
        <is>
          <t>品牌：梅见｜商品/规格：超酸梅见150ml｜SKU：935881887671</t>
        </is>
      </c>
      <c r="G180" t="inlineStr">
        <is>
          <t>淘宝</t>
        </is>
      </c>
      <c r="H180" s="2" t="str">
        <f>=HYPERLINK("https://detail.tmall.com/item.htm?id=935881887671", "https://detail.tmall.com/item.htm?id=935881887671")</f>
        <v>https://detail.tmall.com/item.htm?id=935881887671</v>
      </c>
      <c r="I180" s="3">
        <v>46134</v>
      </c>
      <c r="J180" s="4">
        <v>46243</v>
      </c>
      <c r="K180" t="inlineStr">
        <is>
          <t>梅见 青梅酒 商品评价</t>
        </is>
      </c>
      <c r="L180"/>
      <c r="M180" t="inlineStr">
        <is>
          <t>TB-U-20260809-046</t>
        </is>
      </c>
      <c r="N180" t="inlineStr">
        <is>
          <t>公开评论</t>
        </is>
      </c>
      <c r="O180"/>
      <c r="P180" t="inlineStr">
        <is>
          <t>情绪粗标：正面；主题粗标：包装；酸甜度；入口感；时光梅旗舰店商品评价；日期按规则放宽；未记录用户名；已排除商家回复；评价页未展示评论点赞/有用数，点赞数留空</t>
        </is>
      </c>
      <c r="Q180" t="inlineStr">
        <is>
          <t>目标品牌</t>
        </is>
      </c>
      <c r="R180"/>
      <c r="S180" t="inlineStr">
        <is>
          <t>TB-20260809-046_ANALYSIS_BASELINE_formal-attempt-0001_AI</t>
        </is>
      </c>
      <c r="T180" t="inlineStr">
        <is>
          <t>梅见反馈</t>
        </is>
      </c>
      <c r="U180" t="inlineStr">
        <is>
          <t>KEEP</t>
        </is>
      </c>
      <c r="V180" t="inlineStr">
        <is>
          <t>ANALYSIS_BASELINE</t>
        </is>
      </c>
      <c r="W180" t="inlineStr">
        <is>
          <t>可用</t>
        </is>
      </c>
      <c r="X180" t="inlineStr">
        <is>
          <t>品牌语料分析与洞察体系.xlsx#表1：原始语料库!180</t>
        </is>
      </c>
      <c r="Y180" t="inlineStr">
        <is>
          <t>FROZEN_419_V2</t>
        </is>
      </c>
    </row>
    <row r="181" ht="25.5" customHeight="1">
      <c r="A181" t="inlineStr">
        <is>
          <t>MJ-RAW-0094</t>
        </is>
      </c>
      <c r="B181" t="inlineStr">
        <is>
          <t>竞品产品体验反馈</t>
        </is>
      </c>
      <c r="C181" t="inlineStr">
        <is>
          <t>PRJ001</t>
        </is>
      </c>
      <c r="D181" t="inlineStr">
        <is>
          <t>其他竞品</t>
        </is>
      </c>
      <c r="E181" t="inlineStr">
        <is>
          <t>是啊rio就跟饮料一样，喝可乐雪碧喝多了嘴巴腻了，就整点rio喝喝，没对rio报什么复杂层次的香味这种的要求。这次双十一一瓶到手不到2块，日常当饮料喝够够了</t>
        </is>
      </c>
      <c r="F181" t="inlineStr">
        <is>
          <t>来源：B站平台用户评论</t>
        </is>
      </c>
      <c r="G181" t="inlineStr">
        <is>
          <t>B站</t>
        </is>
      </c>
      <c r="H181" s="2" t="str">
        <f>=HYPERLINK("http://数据未收集", "数据未收集")</f>
        <v>数据未收集</v>
      </c>
      <c r="I181" s="3"/>
      <c r="J181" s="4">
        <v>46243</v>
      </c>
      <c r="K181" t="inlineStr">
        <is>
          <t>青梅酒 竞品 口感 对比</t>
        </is>
      </c>
      <c r="L181"/>
      <c r="M181" t="inlineStr">
        <is>
          <t>MJ-B-U-004</t>
        </is>
      </c>
      <c r="N181" t="inlineStr">
        <is>
          <t>公开评论</t>
        </is>
      </c>
      <c r="O181"/>
      <c r="P181" t="inlineStr">
        <is>
          <t>【用户场景】下班独饮
【情绪关键词】轻松, 审美
【表层需求】想要便宜、像饮料一样轻松的低度酒替代品
【深层情绪】对低度酒没有复杂期待，只当作日常饮料的替代
【身份需求】我喝低度酒就是当饮料，不追求复杂层次
【饮酒态度】接受低度
【品牌反馈】RIO被当作可乐雪碧的替代品，价格极低（不到2元/瓶）时购买动力强，用户不期待复杂风味
【可转化品牌洞察】RIO的低价策略让用户把它当“饮料”而非“酒”，梅见如果要和RIO差异化，不能拼价格，要拼“真正的酒饮体验”</t>
        </is>
      </c>
      <c r="Q181" t="inlineStr">
        <is>
          <t>竞品</t>
        </is>
      </c>
      <c r="R181"/>
      <c r="S181" t="inlineStr">
        <is>
          <t>MJ-RAW-0094_ANALYSIS_BASELINE_formal-attempt-0001_AI</t>
        </is>
      </c>
      <c r="T181" t="inlineStr">
        <is>
          <t>竞品反馈</t>
        </is>
      </c>
      <c r="U181" t="inlineStr">
        <is>
          <t>KEEP</t>
        </is>
      </c>
      <c r="V181" t="inlineStr">
        <is>
          <t>ANALYSIS_BASELINE</t>
        </is>
      </c>
      <c r="W181" t="inlineStr">
        <is>
          <t>不可用</t>
        </is>
      </c>
      <c r="X181" t="inlineStr">
        <is>
          <t>品牌语料分析与洞察体系.xlsx#表1：原始语料库!181</t>
        </is>
      </c>
      <c r="Y181" t="inlineStr">
        <is>
          <t>FROZEN_419_V2</t>
        </is>
      </c>
    </row>
    <row r="182" ht="25.5" customHeight="1">
      <c r="A182" t="inlineStr">
        <is>
          <t>MJ-RAW-0095</t>
        </is>
      </c>
      <c r="B182" t="inlineStr">
        <is>
          <t>竞品产品体验反馈</t>
        </is>
      </c>
      <c r="C182" t="inlineStr">
        <is>
          <t>PRJ001</t>
        </is>
      </c>
      <c r="D182" t="inlineStr">
        <is>
          <t>其他竞品</t>
        </is>
      </c>
      <c r="E182" t="inlineStr">
        <is>
          <t>missberry好看但是真的不好喝，酒不像酒，饮料不像饮料的一种怪怪的味道</t>
        </is>
      </c>
      <c r="F182" t="inlineStr">
        <is>
          <t>来源：抖音平台用户评论</t>
        </is>
      </c>
      <c r="G182" t="inlineStr">
        <is>
          <t>抖音</t>
        </is>
      </c>
      <c r="H182" s="2" t="str">
        <f>=HYPERLINK("http://数据未收集", "数据未收集")</f>
        <v>数据未收集</v>
      </c>
      <c r="I182" s="3"/>
      <c r="J182" s="4">
        <v>46243</v>
      </c>
      <c r="K182" t="inlineStr">
        <is>
          <t>青梅酒 竞品 口感 对比</t>
        </is>
      </c>
      <c r="L182"/>
      <c r="M182" t="inlineStr">
        <is>
          <t>MJ-DY-U-015</t>
        </is>
      </c>
      <c r="N182" t="inlineStr">
        <is>
          <t>公开评论</t>
        </is>
      </c>
      <c r="O182"/>
      <c r="P182" t="inlineStr">
        <is>
          <t>【用户场景】女生局
【情绪关键词】尴尬, 审美
【表层需求】想要好看又好喝的低度酒
【深层情绪】被颜值吸引但被口感劝退，产生“被欺骗”的失望感
【身份需求】我是看重颜值但更在意口感的人
【饮酒态度】接受低度
【品牌反馈】MissBerry颜值高但口感差，被评价为“酒不像酒、饮料不像饮料”的尴尬中间态
【可转化品牌洞察】梅见不能只靠颜值，必须在口感上建立明确优势，避免陷入“好看不好喝”的竞品陷阱</t>
        </is>
      </c>
      <c r="Q182" t="inlineStr">
        <is>
          <t>竞品</t>
        </is>
      </c>
      <c r="R182"/>
      <c r="S182" t="inlineStr">
        <is>
          <t>MJ-RAW-0095_CHALLENGE_POOL_formal-attempt-0001_AI</t>
        </is>
      </c>
      <c r="T182" t="inlineStr">
        <is>
          <t>竞品反馈</t>
        </is>
      </c>
      <c r="U182" t="inlineStr">
        <is>
          <t>KEEP</t>
        </is>
      </c>
      <c r="V182" t="inlineStr">
        <is>
          <t>CHALLENGE</t>
        </is>
      </c>
      <c r="W182" t="inlineStr">
        <is>
          <t>不可用</t>
        </is>
      </c>
      <c r="X182" t="inlineStr">
        <is>
          <t>品牌语料分析与洞察体系.xlsx#表1：原始语料库!182</t>
        </is>
      </c>
      <c r="Y182" t="inlineStr">
        <is>
          <t>FROZEN_419_V2</t>
        </is>
      </c>
    </row>
    <row r="183" ht="25.5" customHeight="1">
      <c r="A183" t="inlineStr">
        <is>
          <t>MJ-RAW-0096</t>
        </is>
      </c>
      <c r="B183" t="inlineStr">
        <is>
          <t>竞品产品体验反馈</t>
        </is>
      </c>
      <c r="C183" t="inlineStr">
        <is>
          <t>PRJ001</t>
        </is>
      </c>
      <c r="D183" t="inlineStr">
        <is>
          <t>CHOYA俏雅</t>
        </is>
      </c>
      <c r="E183" t="inlineStr">
        <is>
          <t>没骗人！choya的梅子酒好好喝！
看热烈欢迎里面侯佩岑推荐的choya的梅子酒兑气泡水，被种草了马上试试！对于我这种喝酒小白超级好接受！梅子酒酸酸甜甜的，苏打水有一定程度的中和了它的酒味~尊嘟好好喝！</t>
        </is>
      </c>
      <c r="F183" t="inlineStr">
        <is>
          <t>来源：小红书平台用户评论</t>
        </is>
      </c>
      <c r="G183" t="inlineStr">
        <is>
          <t>小红书</t>
        </is>
      </c>
      <c r="H183" s="2" t="str">
        <f>=HYPERLINK("http://数据未收集", "数据未收集")</f>
        <v>数据未收集</v>
      </c>
      <c r="I183" s="3"/>
      <c r="J183" s="4">
        <v>46243</v>
      </c>
      <c r="K183" t="inlineStr">
        <is>
          <t>青梅酒 竞品 口感 对比</t>
        </is>
      </c>
      <c r="L183"/>
      <c r="M183" t="inlineStr">
        <is>
          <t>MJ-XHS-U-015</t>
        </is>
      </c>
      <c r="N183" t="inlineStr">
        <is>
          <t>公开评论</t>
        </is>
      </c>
      <c r="O183"/>
      <c r="P183" t="inlineStr">
        <is>
          <t>【用户场景】下班独饮
【情绪关键词】轻松, 审美, 想合群
【表层需求】被种草后想尝试，追求好入口、好接受的低度酒
【深层情绪】喝酒小白怕踩雷，需要有人示范正确喝法才敢尝试
【身份需求】我是喝酒小白，需要别人推荐和示范才能放心尝试
【饮酒态度】接受低度
【品牌反馈】CHOYA被明星/KOL种草后，兑气泡水的喝法降低了小白门槛，酸甜口感被认可
【可转化品牌洞察】梅见需要做“喝法种草”而非“品牌种草”——让用户知道怎么喝，比单纯说好喝更重要</t>
        </is>
      </c>
      <c r="Q183" t="inlineStr">
        <is>
          <t>竞品</t>
        </is>
      </c>
      <c r="R183"/>
      <c r="S183" t="inlineStr">
        <is>
          <t>MJ-RAW-0096_ANALYSIS_DEMO_DELTA_formal-attempt-0001_AI</t>
        </is>
      </c>
      <c r="T183" t="inlineStr">
        <is>
          <t>竞品反馈</t>
        </is>
      </c>
      <c r="U183" t="inlineStr">
        <is>
          <t>KEEP</t>
        </is>
      </c>
      <c r="V183" t="inlineStr">
        <is>
          <t>CURATED_DEMO_DELTA</t>
        </is>
      </c>
      <c r="W183" t="inlineStr">
        <is>
          <t>不可用</t>
        </is>
      </c>
      <c r="X183" t="inlineStr">
        <is>
          <t>品牌语料分析与洞察体系.xlsx#表1：原始语料库!183</t>
        </is>
      </c>
      <c r="Y183" t="inlineStr">
        <is>
          <t>FROZEN_419_V2</t>
        </is>
      </c>
    </row>
    <row r="184" ht="25.5" customHeight="1">
      <c r="A184" t="inlineStr">
        <is>
          <t>MJ-RAW-0097</t>
        </is>
      </c>
      <c r="B184" t="inlineStr">
        <is>
          <t>竞品产品体验反馈</t>
        </is>
      </c>
      <c r="C184" t="inlineStr">
        <is>
          <t>PRJ001</t>
        </is>
      </c>
      <c r="D184" t="inlineStr">
        <is>
          <t>其他竞品</t>
        </is>
      </c>
      <c r="E184" t="inlineStr">
        <is>
          <t>在日本呆了8天，喝了8天，三得利的梅子酒真的好好喝！
+气泡水和绿茶都可以</t>
        </is>
      </c>
      <c r="F184" t="inlineStr">
        <is>
          <t>来源：小红书平台用户评论</t>
        </is>
      </c>
      <c r="G184" t="inlineStr">
        <is>
          <t>小红书</t>
        </is>
      </c>
      <c r="H184" s="2" t="str">
        <f>=HYPERLINK("http://数据未收集", "数据未收集")</f>
        <v>数据未收集</v>
      </c>
      <c r="I184" s="3"/>
      <c r="J184" s="4">
        <v>46243</v>
      </c>
      <c r="K184" t="inlineStr">
        <is>
          <t>青梅酒 竞品 口感 对比</t>
        </is>
      </c>
      <c r="L184"/>
      <c r="M184" t="inlineStr">
        <is>
          <t>MJ-XHS-U-016</t>
        </is>
      </c>
      <c r="N184" t="inlineStr">
        <is>
          <t>公开评论</t>
        </is>
      </c>
      <c r="O184"/>
      <c r="P184" t="inlineStr">
        <is>
          <t>【用户场景】露营小聚
【情绪关键词】轻松, 审美
【表层需求】想要好喝、可以兑饮的梅子酒
【深层情绪】在日本旅行中形成的消费习惯，希望回国后延续
【身份需求】我在旅行中发现了好的饮酒方式，想把它带进日常
【饮酒态度】接受低度
【品牌反馈】三得利梅子酒在日本被高频复购，兑气泡水和绿茶是通用喝法
【可转化品牌洞察】梅见可以借鉴日式梅酒的兑饮文化，打造“气泡水+绿茶”的经典喝法组合，降低用户尝试门槛</t>
        </is>
      </c>
      <c r="Q184" t="inlineStr">
        <is>
          <t>竞品</t>
        </is>
      </c>
      <c r="R184"/>
      <c r="S184" t="inlineStr">
        <is>
          <t>MJ-RAW-0097_ANALYSIS_BASELINE_formal-attempt-0001_AI</t>
        </is>
      </c>
      <c r="T184" t="inlineStr">
        <is>
          <t>竞品反馈</t>
        </is>
      </c>
      <c r="U184" t="inlineStr">
        <is>
          <t>KEEP</t>
        </is>
      </c>
      <c r="V184" t="inlineStr">
        <is>
          <t>ANALYSIS_BASELINE</t>
        </is>
      </c>
      <c r="W184" t="inlineStr">
        <is>
          <t>不可用</t>
        </is>
      </c>
      <c r="X184" t="inlineStr">
        <is>
          <t>品牌语料分析与洞察体系.xlsx#表1：原始语料库!184</t>
        </is>
      </c>
      <c r="Y184" t="inlineStr">
        <is>
          <t>FROZEN_419_V2</t>
        </is>
      </c>
    </row>
    <row r="185" ht="25.5" customHeight="1">
      <c r="A185" t="inlineStr">
        <is>
          <t>MJ-RAW-0098</t>
        </is>
      </c>
      <c r="B185" t="inlineStr">
        <is>
          <t>竞品产品体验反馈</t>
        </is>
      </c>
      <c r="C185" t="inlineStr">
        <is>
          <t>PRJ001</t>
        </is>
      </c>
      <c r="D185" t="inlineStr">
        <is>
          <t>CHOYA俏雅</t>
        </is>
      </c>
      <c r="E185" t="inlineStr">
        <is>
          <t>CHOYA蝶矢梅子酒好喝，是日本人居酒屋或者平时聚会会喝的，口感比山崎更甜一点。</t>
        </is>
      </c>
      <c r="F185" t="inlineStr">
        <is>
          <t>来源：小红书平台用户评论</t>
        </is>
      </c>
      <c r="G185" t="inlineStr">
        <is>
          <t>小红书</t>
        </is>
      </c>
      <c r="H185" s="2" t="str">
        <f>=HYPERLINK("http://数据未收集", "数据未收集")</f>
        <v>数据未收集</v>
      </c>
      <c r="I185" s="3"/>
      <c r="J185" s="4">
        <v>46243</v>
      </c>
      <c r="K185" t="inlineStr">
        <is>
          <t>青梅酒 竞品 口感 对比</t>
        </is>
      </c>
      <c r="L185"/>
      <c r="M185" t="inlineStr">
        <is>
          <t>MJ-XHS-U-017</t>
        </is>
      </c>
      <c r="N185" t="inlineStr">
        <is>
          <t>公开评论</t>
        </is>
      </c>
      <c r="O185"/>
      <c r="P185" t="inlineStr">
        <is>
          <t>【用户场景】聚餐
【情绪关键词】轻松, 审美, 想合群
【表层需求】想要正宗、好喝、适合聚会的梅酒
【深层情绪】追求正宗日式体验，希望自己的选择被认可
【身份需求】我是懂一点梅酒文化、追求正宗感的人
【饮酒态度】接受低度
【品牌反馈】CHOYA被认知为“日本居酒屋正规梅酒”，口感比山崎更甜，有聚会场景联想
【可转化品牌洞察】梅见可以讲“中式餐桌的梅酒”，不模仿日式正宗，而是建立中式梅酒的独特身份</t>
        </is>
      </c>
      <c r="Q185" t="inlineStr">
        <is>
          <t>竞品</t>
        </is>
      </c>
      <c r="R185"/>
      <c r="S185" t="inlineStr">
        <is>
          <t>MJ-RAW-0098_ANALYSIS_BASELINE_formal-attempt-0001_AI</t>
        </is>
      </c>
      <c r="T185" t="inlineStr">
        <is>
          <t>竞品反馈</t>
        </is>
      </c>
      <c r="U185" t="inlineStr">
        <is>
          <t>KEEP</t>
        </is>
      </c>
      <c r="V185" t="inlineStr">
        <is>
          <t>ANALYSIS_BASELINE</t>
        </is>
      </c>
      <c r="W185" t="inlineStr">
        <is>
          <t>不可用</t>
        </is>
      </c>
      <c r="X185" t="inlineStr">
        <is>
          <t>品牌语料分析与洞察体系.xlsx#表1：原始语料库!185</t>
        </is>
      </c>
      <c r="Y185" t="inlineStr">
        <is>
          <t>FROZEN_419_V2</t>
        </is>
      </c>
    </row>
    <row r="186" ht="25.5" customHeight="1">
      <c r="A186" t="inlineStr">
        <is>
          <t>MJ-RAW-0099</t>
        </is>
      </c>
      <c r="B186" t="inlineStr">
        <is>
          <t>竞品产品体验反馈</t>
        </is>
      </c>
      <c r="C186" t="inlineStr">
        <is>
          <t>PRJ001</t>
        </is>
      </c>
      <c r="D186" t="inlineStr">
        <is>
          <t>CHOYA俏雅</t>
        </is>
      </c>
      <c r="E186" t="inlineStr">
        <is>
          <t>俏雅CHOYA 玻璃瓶/带梅子/纸包装
�大概50/360ml 100/720ml
便宜是他们唯一的优点，糖浆味较重，建议还是配冰或苏打水</t>
        </is>
      </c>
      <c r="F186" t="inlineStr">
        <is>
          <t>来源：小红书平台用户评论</t>
        </is>
      </c>
      <c r="G186" t="inlineStr">
        <is>
          <t>小红书</t>
        </is>
      </c>
      <c r="H186" s="2" t="str">
        <f>=HYPERLINK("http://数据未收集", "数据未收集")</f>
        <v>数据未收集</v>
      </c>
      <c r="I186" s="3"/>
      <c r="J186" s="4">
        <v>46243</v>
      </c>
      <c r="K186" t="inlineStr">
        <is>
          <t>青梅酒 竞品 口感 对比</t>
        </is>
      </c>
      <c r="L186"/>
      <c r="M186" t="inlineStr">
        <is>
          <t>MJ-XHS-U-018</t>
        </is>
      </c>
      <c r="N186" t="inlineStr">
        <is>
          <t>公开评论</t>
        </is>
      </c>
      <c r="O186"/>
      <c r="P186" t="inlineStr">
        <is>
          <t>【用户场景】下班独饮
【情绪关键词】尴尬, 审美
【表层需求】想要性价比高、不工业甜的梅酒
【深层情绪】便宜是唯一优点，但糖浆味让体验打折
【身份需求】我是会精打细算但也讲究口感的人
【饮酒态度】接受低度
【品牌反馈】CHOYA纸包装版被评价为“便宜但糖浆味重”，需要兑冰或苏打水才能入口
【可转化品牌洞察】梅见可以反打“自然梅香、不靠糖浆凑”，强调真实梅子发酵而非糖浆勾兑</t>
        </is>
      </c>
      <c r="Q186" t="inlineStr">
        <is>
          <t>竞品</t>
        </is>
      </c>
      <c r="R186"/>
      <c r="S186" t="inlineStr">
        <is>
          <t>MJ-RAW-0099_CHALLENGE_POOL_formal-attempt-0001_AI</t>
        </is>
      </c>
      <c r="T186" t="inlineStr">
        <is>
          <t>竞品反馈</t>
        </is>
      </c>
      <c r="U186" t="inlineStr">
        <is>
          <t>KEEP</t>
        </is>
      </c>
      <c r="V186" t="inlineStr">
        <is>
          <t>CHALLENGE</t>
        </is>
      </c>
      <c r="W186" t="inlineStr">
        <is>
          <t>不可用</t>
        </is>
      </c>
      <c r="X186" t="inlineStr">
        <is>
          <t>品牌语料分析与洞察体系.xlsx#表1：原始语料库!186</t>
        </is>
      </c>
      <c r="Y186" t="inlineStr">
        <is>
          <t>FROZEN_419_V2</t>
        </is>
      </c>
    </row>
    <row r="187" ht="25.5" customHeight="1">
      <c r="A187" t="inlineStr">
        <is>
          <t>MJ-RAW-0100</t>
        </is>
      </c>
      <c r="B187" t="inlineStr">
        <is>
          <t>竞品产品体验反馈</t>
        </is>
      </c>
      <c r="C187" t="inlineStr">
        <is>
          <t>PRJ001</t>
        </is>
      </c>
      <c r="D187" t="inlineStr">
        <is>
          <t>其他竞品</t>
        </is>
      </c>
      <c r="E187" t="inlineStr">
        <is>
          <t>Hmart 宇治茶梅酒好绝！
刚入口是很浓的抹茶味，然后甜中带涩的梅子酒，最后余味是茶的清香。抹茶脑袋狂喜！！！我这种喝酒小白头一次喝出来前中后调，真的太惊喜了。</t>
        </is>
      </c>
      <c r="F187" t="inlineStr">
        <is>
          <t>来源：小红书平台用户评论</t>
        </is>
      </c>
      <c r="G187" t="inlineStr">
        <is>
          <t>小红书</t>
        </is>
      </c>
      <c r="H187" s="2" t="str">
        <f>=HYPERLINK("http://数据未收集", "数据未收集")</f>
        <v>数据未收集</v>
      </c>
      <c r="I187" s="3"/>
      <c r="J187" s="4">
        <v>46243</v>
      </c>
      <c r="K187" t="inlineStr">
        <is>
          <t>青梅酒 竞品 口感 对比</t>
        </is>
      </c>
      <c r="L187"/>
      <c r="M187" t="inlineStr">
        <is>
          <t>MJ-XHS-U-019</t>
        </is>
      </c>
      <c r="N187" t="inlineStr">
        <is>
          <t>公开评论</t>
        </is>
      </c>
      <c r="O187"/>
      <c r="P187" t="inlineStr">
        <is>
          <t>【用户场景】下班独饮
【情绪关键词】轻松, 审美
【表层需求】想要有层次感、惊喜感的低度酒
【深层情绪】作为喝酒小白，第一次体验到前中后调，产生了强烈的惊喜和分享欲
【身份需求】我不懂酒，但好的风味让我能感知到层次
【饮酒态度】接受低度
【品牌反馈】宇治茶梅酒以“抹茶+梅子+茶香”的三段式风味打动小白用户，创造了“前中后调”的惊喜体验
【可转化品牌洞察】梅见可以学习“风味层次”的叙事方式，让用户感受到“不只是酸甜”的复杂度，提升产品价值感</t>
        </is>
      </c>
      <c r="Q187" t="inlineStr">
        <is>
          <t>竞品</t>
        </is>
      </c>
      <c r="R187"/>
      <c r="S187" t="inlineStr">
        <is>
          <t>MJ-RAW-0100_CHALLENGE_POOL_formal-attempt-0001_AI</t>
        </is>
      </c>
      <c r="T187" t="inlineStr">
        <is>
          <t>竞品反馈</t>
        </is>
      </c>
      <c r="U187" t="inlineStr">
        <is>
          <t>KEEP</t>
        </is>
      </c>
      <c r="V187" t="inlineStr">
        <is>
          <t>CHALLENGE</t>
        </is>
      </c>
      <c r="W187" t="inlineStr">
        <is>
          <t>不可用</t>
        </is>
      </c>
      <c r="X187" t="inlineStr">
        <is>
          <t>品牌语料分析与洞察体系.xlsx#表1：原始语料库!187</t>
        </is>
      </c>
      <c r="Y187" t="inlineStr">
        <is>
          <t>FROZEN_419_V2</t>
        </is>
      </c>
    </row>
    <row r="188" ht="25.5" customHeight="1">
      <c r="A188" t="inlineStr">
        <is>
          <t>MJ-RAW-0101</t>
        </is>
      </c>
      <c r="B188" t="inlineStr">
        <is>
          <t>竞品产品体验反馈</t>
        </is>
      </c>
      <c r="C188" t="inlineStr">
        <is>
          <t>PRJ001</t>
        </is>
      </c>
      <c r="D188" t="inlineStr">
        <is>
          <t>RIO锐澳</t>
        </is>
      </c>
      <c r="E188" t="inlineStr">
        <is>
          <t>"这个果冻酒好喝""超级好喝""微醺葡萄味的超级好喝"</t>
        </is>
      </c>
      <c r="F188" t="inlineStr">
        <is>
          <t>来源：京东平台用户评论</t>
        </is>
      </c>
      <c r="G188" t="inlineStr">
        <is>
          <t>京东</t>
        </is>
      </c>
      <c r="H188" s="2" t="str">
        <f>=HYPERLINK("http://数据未收集", "数据未收集")</f>
        <v>数据未收集</v>
      </c>
      <c r="I188" s="3"/>
      <c r="J188" s="4">
        <v>46243</v>
      </c>
      <c r="K188" t="inlineStr">
        <is>
          <t>青梅酒 竞品 口感 对比</t>
        </is>
      </c>
      <c r="L188"/>
      <c r="M188" t="inlineStr">
        <is>
          <t>MJ-JD-U-001</t>
        </is>
      </c>
      <c r="N188" t="inlineStr">
        <is>
          <t>公开评论</t>
        </is>
      </c>
      <c r="O188"/>
      <c r="P188" t="inlineStr">
        <is>
          <t>【用户场景】下班独饮
【情绪关键词】轻松, 审美
【表层需求】想喝像饮料一样轻松、好入口、有微醺感的低度酒
【深层情绪】用户不是为了强酒感，而是想用熟悉的甜口和饮料感降低饮酒压力
【身份需求】我可以喝点酒，但希望它像饮料一样轻松、不需要懂酒
【饮酒态度】接受低度
【品牌反馈】RIO 的核心优势是低门槛、饮料感、轻松好入口
【可转化品牌洞察】梅见不能只讲低度，要说明自己比饮料型低度酒多了什么餐桌意义、梅子风味和共饮价值</t>
        </is>
      </c>
      <c r="Q188" t="inlineStr">
        <is>
          <t>竞品</t>
        </is>
      </c>
      <c r="R188"/>
      <c r="S188" t="inlineStr">
        <is>
          <t>MJ-RAW-0101_ANALYSIS_BASELINE_formal-attempt-0001_AI</t>
        </is>
      </c>
      <c r="T188" t="inlineStr">
        <is>
          <t>竞品反馈</t>
        </is>
      </c>
      <c r="U188" t="inlineStr">
        <is>
          <t>KEEP</t>
        </is>
      </c>
      <c r="V188" t="inlineStr">
        <is>
          <t>ANALYSIS_BASELINE</t>
        </is>
      </c>
      <c r="W188" t="inlineStr">
        <is>
          <t>不可用</t>
        </is>
      </c>
      <c r="X188" t="inlineStr">
        <is>
          <t>品牌语料分析与洞察体系.xlsx#表1：原始语料库!188</t>
        </is>
      </c>
      <c r="Y188" t="inlineStr">
        <is>
          <t>FROZEN_419_V2</t>
        </is>
      </c>
    </row>
    <row r="189" ht="25.5" customHeight="1">
      <c r="A189" t="inlineStr">
        <is>
          <t>MJ-RAW-0102</t>
        </is>
      </c>
      <c r="B189" t="inlineStr">
        <is>
          <t>竞品产品体验反馈</t>
        </is>
      </c>
      <c r="C189" t="inlineStr">
        <is>
          <t>PRJ001</t>
        </is>
      </c>
      <c r="D189" t="inlineStr">
        <is>
          <t>其他竞品</t>
        </is>
      </c>
      <c r="E189" t="inlineStr">
        <is>
          <t>"青提茉莉！""玫瑰荔枝！好喝到爆！""百香果！百香果！百香果！！！""乳酸菌第一名"</t>
        </is>
      </c>
      <c r="F189" t="inlineStr">
        <is>
          <t>来源：京东平台用户评论</t>
        </is>
      </c>
      <c r="G189" t="inlineStr">
        <is>
          <t>京东</t>
        </is>
      </c>
      <c r="H189" s="2" t="str">
        <f>=HYPERLINK("http://数据未收集", "数据未收集")</f>
        <v>数据未收集</v>
      </c>
      <c r="I189" s="3"/>
      <c r="J189" s="4">
        <v>46243</v>
      </c>
      <c r="K189" t="inlineStr">
        <is>
          <t>青梅酒 竞品 口感 对比</t>
        </is>
      </c>
      <c r="L189"/>
      <c r="M189" t="inlineStr">
        <is>
          <t>MJ-JD-U-002</t>
        </is>
      </c>
      <c r="N189" t="inlineStr">
        <is>
          <t>公开评论</t>
        </is>
      </c>
      <c r="O189"/>
      <c r="P189" t="inlineStr">
        <is>
          <t>从EXCLUDE补回，内容有效且不重复</t>
        </is>
      </c>
      <c r="Q189" t="inlineStr">
        <is>
          <t>竞品</t>
        </is>
      </c>
      <c r="R189"/>
      <c r="S189"/>
      <c r="T189" t="inlineStr">
        <is>
          <t>竞品反馈</t>
        </is>
      </c>
      <c r="U189" t="inlineStr">
        <is>
          <t>KEEP</t>
        </is>
      </c>
      <c r="V189" t="inlineStr">
        <is>
          <t>GOLD</t>
        </is>
      </c>
      <c r="W189" t="inlineStr">
        <is>
          <t>不可用</t>
        </is>
      </c>
      <c r="X189" t="inlineStr">
        <is>
          <t>原始母表#raw_id=MJ-RAW-0102</t>
        </is>
      </c>
      <c r="Y189" t="inlineStr">
        <is>
          <t>FROZEN_419_V2</t>
        </is>
      </c>
    </row>
    <row r="190" ht="25.5" customHeight="1">
      <c r="A190" t="inlineStr">
        <is>
          <t>MJ-RAW-0103</t>
        </is>
      </c>
      <c r="B190" t="inlineStr">
        <is>
          <t>竞品产品体验反馈</t>
        </is>
      </c>
      <c r="C190" t="inlineStr">
        <is>
          <t>PRJ001</t>
        </is>
      </c>
      <c r="D190" t="inlineStr">
        <is>
          <t>RIO锐澳</t>
        </is>
      </c>
      <c r="E190" t="inlineStr">
        <is>
          <t>"我觉得这个像烂橘子的味道""确实我有点酒味就不喜欢，这个我认为不是那么的好喝哈哈〜""RIO喝到后来是苦的所以我都不喝"</t>
        </is>
      </c>
      <c r="F190" t="inlineStr">
        <is>
          <t>来源：京东平台用户评论</t>
        </is>
      </c>
      <c r="G190" t="inlineStr">
        <is>
          <t>京东</t>
        </is>
      </c>
      <c r="H190" s="2" t="str">
        <f>=HYPERLINK("http://数据未收集", "数据未收集")</f>
        <v>数据未收集</v>
      </c>
      <c r="I190" s="3"/>
      <c r="J190" s="4">
        <v>46243</v>
      </c>
      <c r="K190" t="inlineStr">
        <is>
          <t>青梅酒 竞品 口感 对比</t>
        </is>
      </c>
      <c r="L190"/>
      <c r="M190" t="inlineStr">
        <is>
          <t>MJ-JD-U-003</t>
        </is>
      </c>
      <c r="N190" t="inlineStr">
        <is>
          <t>公开评论</t>
        </is>
      </c>
      <c r="O190"/>
      <c r="P190" t="inlineStr">
        <is>
          <t>【用户场景】下班独饮
【情绪关键词】尴尬, 怕失控
【表层需求】想避开怪味、明显酒味和不舒服的后味
【深层情绪】用户对低度酒的容忍度很低，一旦甜饮料预期被酒味、苦味或怪味打破，就会迅速失望
【身份需求】我想要轻松好喝，但不想为猎奇口味或不舒服后味买单
【饮酒态度】接受低度
【品牌反馈】RIO 的风险是部分口味会被认为怪、苦、有酒味，影响复购
【可转化品牌洞察】梅见可以反打“自然梅香、酸甜平衡、不工业甜”，但必须用真实口味和饮法支撑，避免自己也被评价为药味重或难入口</t>
        </is>
      </c>
      <c r="Q190" t="inlineStr">
        <is>
          <t>竞品</t>
        </is>
      </c>
      <c r="R190"/>
      <c r="S190" t="inlineStr">
        <is>
          <t>MJ-RAW-0103_CHALLENGE_POOL_formal-attempt-0001_AI</t>
        </is>
      </c>
      <c r="T190" t="inlineStr">
        <is>
          <t>竞品反馈</t>
        </is>
      </c>
      <c r="U190" t="inlineStr">
        <is>
          <t>KEEP</t>
        </is>
      </c>
      <c r="V190" t="inlineStr">
        <is>
          <t>CHALLENGE</t>
        </is>
      </c>
      <c r="W190" t="inlineStr">
        <is>
          <t>不可用</t>
        </is>
      </c>
      <c r="X190" t="inlineStr">
        <is>
          <t>品牌语料分析与洞察体系.xlsx#表1：原始语料库!190</t>
        </is>
      </c>
      <c r="Y190" t="inlineStr">
        <is>
          <t>FROZEN_419_V2</t>
        </is>
      </c>
    </row>
    <row r="191" ht="25.5" customHeight="1">
      <c r="A191" t="inlineStr">
        <is>
          <t>JD-20260809-027</t>
        </is>
      </c>
      <c r="B191" t="inlineStr">
        <is>
          <t>竞品产品体验反馈</t>
        </is>
      </c>
      <c r="C191" t="inlineStr">
        <is>
          <t>PRJ001</t>
        </is>
      </c>
      <c r="D191" t="inlineStr">
        <is>
          <t>RIO锐澳｜微醺268ml*6罐随机口味</t>
        </is>
      </c>
      <c r="E191" t="inlineStr">
        <is>
          <t>这款RIO微醺白桃白兰地风味，3度微醺清甜不烈，白桃果香清新自然，入口顺滑，颜值粉嫩讨喜，很适合女生小酌放松。下班回家喝一瓶，很爽，很惬意</t>
        </is>
      </c>
      <c r="F191" t="inlineStr">
        <is>
          <t>品牌：RIO锐澳｜商品/规格：微醺268ml*6罐随机口味｜SKU：10112125621688</t>
        </is>
      </c>
      <c r="G191" t="inlineStr">
        <is>
          <t>京东</t>
        </is>
      </c>
      <c r="H191" s="2" t="str">
        <f>=HYPERLINK("https://item.jd.com/10112125621688.html", "https://item.jd.com/10112125621688.html")</f>
        <v>https://item.jd.com/10112125621688.html</v>
      </c>
      <c r="I191" s="3">
        <v>46150</v>
      </c>
      <c r="J191" s="4">
        <v>46243</v>
      </c>
      <c r="K191" t="inlineStr">
        <is>
          <t>RIO 锐澳 鸡尾酒 商品评价</t>
        </is>
      </c>
      <c r="L191"/>
      <c r="M191" t="inlineStr">
        <is>
          <t>JD-U-20260809-027</t>
        </is>
      </c>
      <c r="N191" t="inlineStr">
        <is>
          <t>公开评论</t>
        </is>
      </c>
      <c r="O191"/>
      <c r="P191" t="inlineStr">
        <is>
          <t>情绪粗标：正面；主题粗标：甜度；酒精感；果香；入口感；包装颜值；京东商品评价弹层核验；已排除商家回复与用户名；评价页未展示评论点赞/有用数，点赞数留空</t>
        </is>
      </c>
      <c r="Q191" t="inlineStr">
        <is>
          <t>竞品</t>
        </is>
      </c>
      <c r="R191"/>
      <c r="S191" t="inlineStr">
        <is>
          <t>JD-20260809-027_HOLDOUT_formal-attempt-0001_AI</t>
        </is>
      </c>
      <c r="T191" t="inlineStr">
        <is>
          <t>竞品反馈</t>
        </is>
      </c>
      <c r="U191" t="inlineStr">
        <is>
          <t>KEEP</t>
        </is>
      </c>
      <c r="V191" t="inlineStr">
        <is>
          <t>HOLDOUT</t>
        </is>
      </c>
      <c r="W191" t="inlineStr">
        <is>
          <t>可用</t>
        </is>
      </c>
      <c r="X191" t="inlineStr">
        <is>
          <t>品牌语料分析与洞察体系.xlsx#表1：原始语料库!191</t>
        </is>
      </c>
      <c r="Y191" t="inlineStr">
        <is>
          <t>FROZEN_419_V2</t>
        </is>
      </c>
    </row>
    <row r="192" ht="25.5" customHeight="1">
      <c r="A192" t="inlineStr">
        <is>
          <t>XHS-SOC-0044</t>
        </is>
      </c>
      <c r="B192" t="inlineStr">
        <is>
          <t>竞品产品体验反馈</t>
        </is>
      </c>
      <c r="C192" t="inlineStr">
        <is>
          <t>PRJ001</t>
        </is>
      </c>
      <c r="D192" t="inlineStr">
        <is>
          <t>强爽</t>
        </is>
      </c>
      <c r="E192" t="inlineStr">
        <is>
          <t>俏雅，买进口版的，国产不好喝</t>
        </is>
      </c>
      <c r="F192" t="inlineStr">
        <is>
          <t>除了梅见还有其他梅子酒推荐吗｜2025-07-04｜小红书</t>
        </is>
      </c>
      <c r="G192" t="inlineStr">
        <is>
          <t>小红书</t>
        </is>
      </c>
      <c r="H192" s="2" t="str">
        <f>=HYPERLINK("https://www.xiaohongshu.com/explore/6a48b570000000001603dc9b", "https://www.xiaohongshu.com/explore/6a48b570000000001603dc9b")</f>
        <v>https://www.xiaohongshu.com/explore/6a48b570000000001603dc9b</v>
      </c>
      <c r="I192" s="3">
        <v>46208</v>
      </c>
      <c r="J192" s="4">
        <v>46243</v>
      </c>
      <c r="K192" t="inlineStr">
        <is>
          <t>青梅酒推荐</t>
        </is>
      </c>
      <c r="L192">
        <v>0</v>
      </c>
      <c r="M192" t="inlineStr">
        <is>
          <t>XHS-U0194</t>
        </is>
      </c>
      <c r="N192" t="inlineStr">
        <is>
          <t>公开评论</t>
        </is>
      </c>
      <c r="O192"/>
      <c r="P192" t="inlineStr">
        <is>
          <t>原始:07-05;年份推定·江苏</t>
        </is>
      </c>
      <c r="Q192" t="inlineStr">
        <is>
          <t>目标品牌</t>
        </is>
      </c>
      <c r="R192"/>
      <c r="S192" t="inlineStr">
        <is>
          <t>XHS-SOC-0044_ANALYSIS_BASELINE_formal-attempt-0001_AI</t>
        </is>
      </c>
      <c r="T192" t="inlineStr">
        <is>
          <t>竞品反馈</t>
        </is>
      </c>
      <c r="U192" t="inlineStr">
        <is>
          <t>KEEP</t>
        </is>
      </c>
      <c r="V192" t="inlineStr">
        <is>
          <t>ANALYSIS_BASELINE</t>
        </is>
      </c>
      <c r="W192" t="inlineStr">
        <is>
          <t>可用</t>
        </is>
      </c>
      <c r="X192" t="inlineStr">
        <is>
          <t>品牌语料分析与洞察体系.xlsx#表1：原始语料库!192</t>
        </is>
      </c>
      <c r="Y192" t="inlineStr">
        <is>
          <t>FROZEN_419_V2</t>
        </is>
      </c>
    </row>
    <row r="193" ht="25.5" customHeight="1">
      <c r="A193" t="inlineStr">
        <is>
          <t>XHS-SOC-0045</t>
        </is>
      </c>
      <c r="B193" t="inlineStr">
        <is>
          <t>竞品产品体验反馈</t>
        </is>
      </c>
      <c r="C193" t="inlineStr">
        <is>
          <t>PRJ001</t>
        </is>
      </c>
      <c r="D193" t="inlineStr">
        <is>
          <t>强爽</t>
        </is>
      </c>
      <c r="E193" t="inlineStr">
        <is>
          <t>三得利还不错，梅见太难喝了</t>
        </is>
      </c>
      <c r="F193" t="inlineStr">
        <is>
          <t>除了梅见还有其他梅子酒推荐吗｜2025-07-04｜小红书</t>
        </is>
      </c>
      <c r="G193" t="inlineStr">
        <is>
          <t>小红书</t>
        </is>
      </c>
      <c r="H193" s="2" t="str">
        <f>=HYPERLINK("https://www.xiaohongshu.com/explore/6a48b570000000001603dc9b", "https://www.xiaohongshu.com/explore/6a48b570000000001603dc9b")</f>
        <v>https://www.xiaohongshu.com/explore/6a48b570000000001603dc9b</v>
      </c>
      <c r="I193" s="3">
        <v>46211</v>
      </c>
      <c r="J193" s="4">
        <v>46243</v>
      </c>
      <c r="K193" t="inlineStr">
        <is>
          <t>青梅酒推荐</t>
        </is>
      </c>
      <c r="L193">
        <v>0</v>
      </c>
      <c r="M193" t="inlineStr">
        <is>
          <t>XHS-U0209</t>
        </is>
      </c>
      <c r="N193" t="inlineStr">
        <is>
          <t>公开评论</t>
        </is>
      </c>
      <c r="O193"/>
      <c r="P193" t="inlineStr">
        <is>
          <t>原始:07-08;年份推定·浙江</t>
        </is>
      </c>
      <c r="Q193" t="inlineStr">
        <is>
          <t>目标品牌</t>
        </is>
      </c>
      <c r="R193"/>
      <c r="S193" t="inlineStr">
        <is>
          <t>XHS-SOC-0045_GOLD_人工标注_人工,XHS-SOC-0045_GOLD_attempt-0002_AI_矫正前,XHS-SOC-0045_GOLD_attempt-0006_AI_矫正后</t>
        </is>
      </c>
      <c r="T193" t="inlineStr">
        <is>
          <t>竞品反馈</t>
        </is>
      </c>
      <c r="U193" t="inlineStr">
        <is>
          <t>KEEP</t>
        </is>
      </c>
      <c r="V193" t="inlineStr">
        <is>
          <t>GOLD</t>
        </is>
      </c>
      <c r="W193" t="inlineStr">
        <is>
          <t>不可用</t>
        </is>
      </c>
      <c r="X193" t="inlineStr">
        <is>
          <t>原始母表#raw_id=XHS-SOC-0045</t>
        </is>
      </c>
      <c r="Y193" t="inlineStr">
        <is>
          <t>FROZEN_419_V2</t>
        </is>
      </c>
    </row>
    <row r="194" ht="25.5" customHeight="1">
      <c r="A194" t="inlineStr">
        <is>
          <t>DY-SOC-0080</t>
        </is>
      </c>
      <c r="B194" t="inlineStr">
        <is>
          <t>竞品产品体验反馈</t>
        </is>
      </c>
      <c r="C194" t="inlineStr">
        <is>
          <t>PRJ001</t>
        </is>
      </c>
      <c r="D194" t="inlineStr">
        <is>
          <t>强爽</t>
        </is>
      </c>
      <c r="E194" t="inlineStr">
        <is>
          <t>每天就找点自己想测的</t>
        </is>
      </c>
      <c r="F194" t="inlineStr">
        <is>
          <t>强爽测评｜2025-07-28｜抖音</t>
        </is>
      </c>
      <c r="G194" t="inlineStr">
        <is>
          <t>抖音</t>
        </is>
      </c>
      <c r="H194" s="2" t="str">
        <f>=HYPERLINK("https://www.douyin.com/video/7481287407384481087", "https://www.douyin.com/video/7481287407384481087")</f>
        <v>https://www.douyin.com/video/7481287407384481087</v>
      </c>
      <c r="I194" s="3">
        <v>45866</v>
      </c>
      <c r="J194" s="4">
        <v>46243</v>
      </c>
      <c r="K194" t="inlineStr">
        <is>
          <t>梅见和RIO</t>
        </is>
      </c>
      <c r="L194"/>
      <c r="M194" t="inlineStr">
        <is>
          <t>DY-U0248</t>
        </is>
      </c>
      <c r="N194" t="inlineStr">
        <is>
          <t>公开评论</t>
        </is>
      </c>
      <c r="O194"/>
      <c r="P194" t="inlineStr">
        <is>
          <t>点赞数未成功识别，暂置空，禁止随机补值；当前日期来自视频发布时间，评论发布时间未识别</t>
        </is>
      </c>
      <c r="Q194" t="inlineStr">
        <is>
          <t>目标品牌</t>
        </is>
      </c>
      <c r="R194"/>
      <c r="S194"/>
      <c r="T194" t="inlineStr">
        <is>
          <t>竞品反馈</t>
        </is>
      </c>
      <c r="U194" t="inlineStr">
        <is>
          <t>EXCLUDE</t>
        </is>
      </c>
      <c r="V194" t="inlineStr">
        <is>
          <t>EXCLUDE</t>
        </is>
      </c>
      <c r="W194" t="inlineStr">
        <is>
          <t>不可用</t>
        </is>
      </c>
      <c r="X194" t="inlineStr">
        <is>
          <t>原始母表#raw_id=DY-SOC-0080</t>
        </is>
      </c>
      <c r="Y194" t="inlineStr">
        <is>
          <t>FROZEN_419_V2</t>
        </is>
      </c>
    </row>
    <row r="195" ht="25.5" customHeight="1">
      <c r="A195" t="inlineStr">
        <is>
          <t>DY-SOC-0081</t>
        </is>
      </c>
      <c r="B195" t="inlineStr">
        <is>
          <t>竞品产品体验反馈</t>
        </is>
      </c>
      <c r="C195" t="inlineStr">
        <is>
          <t>PRJ001</t>
        </is>
      </c>
      <c r="D195" t="inlineStr">
        <is>
          <t>强爽</t>
        </is>
      </c>
      <c r="E195" t="inlineStr">
        <is>
          <t>有幸跟老师合照了</t>
        </is>
      </c>
      <c r="F195" t="inlineStr">
        <is>
          <t>强爽测评｜2025-07-28｜抖音</t>
        </is>
      </c>
      <c r="G195" t="inlineStr">
        <is>
          <t>抖音</t>
        </is>
      </c>
      <c r="H195" s="2" t="str">
        <f>=HYPERLINK("https://www.douyin.com/video/7481287407384481087", "https://www.douyin.com/video/7481287407384481087")</f>
        <v>https://www.douyin.com/video/7481287407384481087</v>
      </c>
      <c r="I195" s="3">
        <v>45866</v>
      </c>
      <c r="J195" s="4">
        <v>46243</v>
      </c>
      <c r="K195" t="inlineStr">
        <is>
          <t>梅见和RIO</t>
        </is>
      </c>
      <c r="L195"/>
      <c r="M195" t="inlineStr">
        <is>
          <t>DY-U0250</t>
        </is>
      </c>
      <c r="N195" t="inlineStr">
        <is>
          <t>公开评论</t>
        </is>
      </c>
      <c r="O195"/>
      <c r="P195" t="inlineStr">
        <is>
          <t>点赞数未成功识别，暂置空，禁止随机补值；当前日期来自视频发布时间，评论发布时间未识别</t>
        </is>
      </c>
      <c r="Q195" t="inlineStr">
        <is>
          <t>目标品牌</t>
        </is>
      </c>
      <c r="R195"/>
      <c r="S195"/>
      <c r="T195" t="inlineStr">
        <is>
          <t>竞品反馈</t>
        </is>
      </c>
      <c r="U195" t="inlineStr">
        <is>
          <t>EXCLUDE</t>
        </is>
      </c>
      <c r="V195" t="inlineStr">
        <is>
          <t>EXCLUDE</t>
        </is>
      </c>
      <c r="W195" t="inlineStr">
        <is>
          <t>不可用</t>
        </is>
      </c>
      <c r="X195" t="inlineStr">
        <is>
          <t>原始母表#raw_id=DY-SOC-0081</t>
        </is>
      </c>
      <c r="Y195" t="inlineStr">
        <is>
          <t>FROZEN_419_V2</t>
        </is>
      </c>
    </row>
    <row r="196" ht="25.5" customHeight="1">
      <c r="A196" t="inlineStr">
        <is>
          <t>DY-SOC-0082</t>
        </is>
      </c>
      <c r="B196" t="inlineStr">
        <is>
          <t>竞品产品体验反馈</t>
        </is>
      </c>
      <c r="C196" t="inlineStr">
        <is>
          <t>PRJ001</t>
        </is>
      </c>
      <c r="D196" t="inlineStr">
        <is>
          <t>强爽</t>
        </is>
      </c>
      <c r="E196" t="inlineStr">
        <is>
          <t>冷知识rpt说全球请颤抖的时候真的在颤抖</t>
        </is>
      </c>
      <c r="F196" t="inlineStr">
        <is>
          <t>强爽测评｜2025-07-28｜抖音</t>
        </is>
      </c>
      <c r="G196" t="inlineStr">
        <is>
          <t>抖音</t>
        </is>
      </c>
      <c r="H196" s="2" t="str">
        <f>=HYPERLINK("https://www.douyin.com/video/7481287407384481087", "https://www.douyin.com/video/7481287407384481087")</f>
        <v>https://www.douyin.com/video/7481287407384481087</v>
      </c>
      <c r="I196" s="3">
        <v>45866</v>
      </c>
      <c r="J196" s="4">
        <v>46243</v>
      </c>
      <c r="K196" t="inlineStr">
        <is>
          <t>梅见和RIO</t>
        </is>
      </c>
      <c r="L196"/>
      <c r="M196" t="inlineStr">
        <is>
          <t>DY-U0254</t>
        </is>
      </c>
      <c r="N196" t="inlineStr">
        <is>
          <t>公开评论</t>
        </is>
      </c>
      <c r="O196"/>
      <c r="P196" t="inlineStr">
        <is>
          <t>点赞数未成功识别，暂置空，禁止随机补值；当前日期来自视频发布时间，评论发布时间未识别</t>
        </is>
      </c>
      <c r="Q196" t="inlineStr">
        <is>
          <t>目标品牌</t>
        </is>
      </c>
      <c r="R196"/>
      <c r="S196"/>
      <c r="T196" t="inlineStr">
        <is>
          <t>竞品反馈</t>
        </is>
      </c>
      <c r="U196" t="inlineStr">
        <is>
          <t>EXCLUDE</t>
        </is>
      </c>
      <c r="V196" t="inlineStr">
        <is>
          <t>EXCLUDE</t>
        </is>
      </c>
      <c r="W196" t="inlineStr">
        <is>
          <t>不可用</t>
        </is>
      </c>
      <c r="X196" t="inlineStr">
        <is>
          <t>原始母表#raw_id=DY-SOC-0082</t>
        </is>
      </c>
      <c r="Y196" t="inlineStr">
        <is>
          <t>FROZEN_419_V2</t>
        </is>
      </c>
    </row>
    <row r="197" ht="25.5" customHeight="1">
      <c r="A197" t="inlineStr">
        <is>
          <t>DY-SOC-0083</t>
        </is>
      </c>
      <c r="B197" t="inlineStr">
        <is>
          <t>竞品产品体验反馈</t>
        </is>
      </c>
      <c r="C197" t="inlineStr">
        <is>
          <t>PRJ001</t>
        </is>
      </c>
      <c r="D197" t="inlineStr">
        <is>
          <t>强爽</t>
        </is>
      </c>
      <c r="E197" t="inlineStr">
        <is>
          <t>看似测评实则暗广</t>
        </is>
      </c>
      <c r="F197" t="inlineStr">
        <is>
          <t>强爽测评｜2025-07-28｜抖音</t>
        </is>
      </c>
      <c r="G197" t="inlineStr">
        <is>
          <t>抖音</t>
        </is>
      </c>
      <c r="H197" s="2" t="str">
        <f>=HYPERLINK("https://www.douyin.com/video/7481287407384481087", "https://www.douyin.com/video/7481287407384481087")</f>
        <v>https://www.douyin.com/video/7481287407384481087</v>
      </c>
      <c r="I197" s="3">
        <v>45866</v>
      </c>
      <c r="J197" s="4">
        <v>46243</v>
      </c>
      <c r="K197" t="inlineStr">
        <is>
          <t>梅见和RIO</t>
        </is>
      </c>
      <c r="L197"/>
      <c r="M197" t="inlineStr">
        <is>
          <t>DY-U0256</t>
        </is>
      </c>
      <c r="N197" t="inlineStr">
        <is>
          <t>公开评论</t>
        </is>
      </c>
      <c r="O197"/>
      <c r="P197" t="inlineStr">
        <is>
          <t>点赞数未成功识别，暂置空，禁止随机补值；当前日期来自视频发布时间，评论发布时间未识别</t>
        </is>
      </c>
      <c r="Q197" t="inlineStr">
        <is>
          <t>目标品牌</t>
        </is>
      </c>
      <c r="R197"/>
      <c r="S197"/>
      <c r="T197" t="inlineStr">
        <is>
          <t>竞品反馈</t>
        </is>
      </c>
      <c r="U197" t="inlineStr">
        <is>
          <t>EXCLUDE</t>
        </is>
      </c>
      <c r="V197" t="inlineStr">
        <is>
          <t>EXCLUDE</t>
        </is>
      </c>
      <c r="W197" t="inlineStr">
        <is>
          <t>不可用</t>
        </is>
      </c>
      <c r="X197" t="inlineStr">
        <is>
          <t>原始母表#raw_id=DY-SOC-0083</t>
        </is>
      </c>
      <c r="Y197" t="inlineStr">
        <is>
          <t>FROZEN_419_V2</t>
        </is>
      </c>
    </row>
    <row r="198" ht="25.5" customHeight="1">
      <c r="A198" t="inlineStr">
        <is>
          <t>DY-SOC-0084</t>
        </is>
      </c>
      <c r="B198" t="inlineStr">
        <is>
          <t>竞品产品体验反馈</t>
        </is>
      </c>
      <c r="C198" t="inlineStr">
        <is>
          <t>PRJ001</t>
        </is>
      </c>
      <c r="D198" t="inlineStr">
        <is>
          <t>强爽</t>
        </is>
      </c>
      <c r="E198" t="inlineStr">
        <is>
          <t>诡秘你怎么又瘦了[流泪][流泪][流泪]</t>
        </is>
      </c>
      <c r="F198" t="inlineStr">
        <is>
          <t>强爽测评｜2025-07-28｜抖音</t>
        </is>
      </c>
      <c r="G198" t="inlineStr">
        <is>
          <t>抖音</t>
        </is>
      </c>
      <c r="H198" s="2" t="str">
        <f>=HYPERLINK("https://www.douyin.com/video/7481287407384481087", "https://www.douyin.com/video/7481287407384481087")</f>
        <v>https://www.douyin.com/video/7481287407384481087</v>
      </c>
      <c r="I198" s="3">
        <v>45866</v>
      </c>
      <c r="J198" s="4">
        <v>46243</v>
      </c>
      <c r="K198" t="inlineStr">
        <is>
          <t>梅见和RIO</t>
        </is>
      </c>
      <c r="L198"/>
      <c r="M198" t="inlineStr">
        <is>
          <t>DY-U0257</t>
        </is>
      </c>
      <c r="N198" t="inlineStr">
        <is>
          <t>公开评论</t>
        </is>
      </c>
      <c r="O198"/>
      <c r="P198" t="inlineStr">
        <is>
          <t>点赞数未成功识别，暂置空，禁止随机补值；当前日期来自视频发布时间，评论发布时间未识别</t>
        </is>
      </c>
      <c r="Q198" t="inlineStr">
        <is>
          <t>目标品牌</t>
        </is>
      </c>
      <c r="R198"/>
      <c r="S198"/>
      <c r="T198" t="inlineStr">
        <is>
          <t>竞品反馈</t>
        </is>
      </c>
      <c r="U198" t="inlineStr">
        <is>
          <t>EXCLUDE</t>
        </is>
      </c>
      <c r="V198" t="inlineStr">
        <is>
          <t>EXCLUDE</t>
        </is>
      </c>
      <c r="W198" t="inlineStr">
        <is>
          <t>不可用</t>
        </is>
      </c>
      <c r="X198" t="inlineStr">
        <is>
          <t>原始母表#raw_id=DY-SOC-0084</t>
        </is>
      </c>
      <c r="Y198" t="inlineStr">
        <is>
          <t>FROZEN_419_V2</t>
        </is>
      </c>
    </row>
    <row r="199" ht="25.5" customHeight="1">
      <c r="A199" t="inlineStr">
        <is>
          <t>DY-SOC-0085</t>
        </is>
      </c>
      <c r="B199" t="inlineStr">
        <is>
          <t>竞品产品体验反馈</t>
        </is>
      </c>
      <c r="C199" t="inlineStr">
        <is>
          <t>PRJ001</t>
        </is>
      </c>
      <c r="D199" t="inlineStr">
        <is>
          <t>强爽</t>
        </is>
      </c>
      <c r="E199" t="inlineStr">
        <is>
          <t>想喝啥测啥[撇嘴][撇嘴]</t>
        </is>
      </c>
      <c r="F199" t="inlineStr">
        <is>
          <t>强爽测评｜2025-07-28｜抖音</t>
        </is>
      </c>
      <c r="G199" t="inlineStr">
        <is>
          <t>抖音</t>
        </is>
      </c>
      <c r="H199" s="2" t="str">
        <f>=HYPERLINK("https://www.douyin.com/video/7481287407384481087", "https://www.douyin.com/video/7481287407384481087")</f>
        <v>https://www.douyin.com/video/7481287407384481087</v>
      </c>
      <c r="I199" s="3">
        <v>45866</v>
      </c>
      <c r="J199" s="4">
        <v>46243</v>
      </c>
      <c r="K199" t="inlineStr">
        <is>
          <t>梅见和RIO</t>
        </is>
      </c>
      <c r="L199"/>
      <c r="M199" t="inlineStr">
        <is>
          <t>DY-U0258</t>
        </is>
      </c>
      <c r="N199" t="inlineStr">
        <is>
          <t>公开评论</t>
        </is>
      </c>
      <c r="O199"/>
      <c r="P199" t="inlineStr">
        <is>
          <t>点赞数未成功识别，暂置空，禁止随机补值；当前日期来自视频发布时间，评论发布时间未识别</t>
        </is>
      </c>
      <c r="Q199" t="inlineStr">
        <is>
          <t>目标品牌</t>
        </is>
      </c>
      <c r="R199"/>
      <c r="S199"/>
      <c r="T199" t="inlineStr">
        <is>
          <t>竞品反馈</t>
        </is>
      </c>
      <c r="U199" t="inlineStr">
        <is>
          <t>EXCLUDE</t>
        </is>
      </c>
      <c r="V199" t="inlineStr">
        <is>
          <t>EXCLUDE</t>
        </is>
      </c>
      <c r="W199" t="inlineStr">
        <is>
          <t>不可用</t>
        </is>
      </c>
      <c r="X199" t="inlineStr">
        <is>
          <t>原始母表#raw_id=DY-SOC-0085</t>
        </is>
      </c>
      <c r="Y199" t="inlineStr">
        <is>
          <t>FROZEN_419_V2</t>
        </is>
      </c>
    </row>
    <row r="200" ht="25.5" customHeight="1">
      <c r="A200" t="inlineStr">
        <is>
          <t>DY-SOC-0086</t>
        </is>
      </c>
      <c r="B200" t="inlineStr">
        <is>
          <t>竞品产品体验反馈</t>
        </is>
      </c>
      <c r="C200" t="inlineStr">
        <is>
          <t>PRJ001</t>
        </is>
      </c>
      <c r="D200" t="inlineStr">
        <is>
          <t>俏雅</t>
        </is>
      </c>
      <c r="E200" t="inlineStr">
        <is>
          <t>喝完了能不能倒白酒进去继续泡</t>
        </is>
      </c>
      <c r="F200" t="inlineStr">
        <is>
          <t>俏雅梅酒居家特调｜2024-08-16｜抖音</t>
        </is>
      </c>
      <c r="G200" t="inlineStr">
        <is>
          <t>抖音</t>
        </is>
      </c>
      <c r="H200" s="2" t="str">
        <f>=HYPERLINK("https://www.douyin.com/video/7447475027085200650", "https://www.douyin.com/video/7447475027085200650")</f>
        <v>https://www.douyin.com/video/7447475027085200650</v>
      </c>
      <c r="I200" s="3">
        <v>45520</v>
      </c>
      <c r="J200" s="4">
        <v>46243</v>
      </c>
      <c r="K200" t="inlineStr">
        <is>
          <t>梅见和CHOYA</t>
        </is>
      </c>
      <c r="L200"/>
      <c r="M200" t="inlineStr">
        <is>
          <t>DY-U0263</t>
        </is>
      </c>
      <c r="N200" t="inlineStr">
        <is>
          <t>公开评论</t>
        </is>
      </c>
      <c r="O200"/>
      <c r="P200" t="inlineStr">
        <is>
          <t>点赞数未成功识别，暂置空，禁止随机补值；当前日期来自视频发布时间，评论发布时间未识别</t>
        </is>
      </c>
      <c r="Q200" t="inlineStr">
        <is>
          <t>目标品牌</t>
        </is>
      </c>
      <c r="R200"/>
      <c r="S200" t="inlineStr">
        <is>
          <t>DY-SOC-0086_ANALYSIS_BASELINE_formal-attempt-0001_AI</t>
        </is>
      </c>
      <c r="T200" t="inlineStr">
        <is>
          <t>竞品反馈</t>
        </is>
      </c>
      <c r="U200" t="inlineStr">
        <is>
          <t>KEEP</t>
        </is>
      </c>
      <c r="V200" t="inlineStr">
        <is>
          <t>ANALYSIS_BASELINE</t>
        </is>
      </c>
      <c r="W200" t="inlineStr">
        <is>
          <t>可用</t>
        </is>
      </c>
      <c r="X200" t="inlineStr">
        <is>
          <t>品牌语料分析与洞察体系.xlsx#表1：原始语料库!200</t>
        </is>
      </c>
      <c r="Y200" t="inlineStr">
        <is>
          <t>FROZEN_419_V2</t>
        </is>
      </c>
    </row>
    <row r="201" ht="25.5" customHeight="1">
      <c r="A201" t="inlineStr">
        <is>
          <t>DY-SOC-0087</t>
        </is>
      </c>
      <c r="B201" t="inlineStr">
        <is>
          <t>竞品产品体验反馈</t>
        </is>
      </c>
      <c r="C201" t="inlineStr">
        <is>
          <t>PRJ001</t>
        </is>
      </c>
      <c r="D201" t="inlineStr">
        <is>
          <t>俏雅</t>
        </is>
      </c>
      <c r="E201" t="inlineStr">
        <is>
          <t>这个酒甜不甜啊宝</t>
        </is>
      </c>
      <c r="F201" t="inlineStr">
        <is>
          <t>俏雅梅酒居家特调｜2024-08-16｜抖音</t>
        </is>
      </c>
      <c r="G201" t="inlineStr">
        <is>
          <t>抖音</t>
        </is>
      </c>
      <c r="H201" s="2" t="str">
        <f>=HYPERLINK("https://www.douyin.com/video/7447475027085200650", "https://www.douyin.com/video/7447475027085200650")</f>
        <v>https://www.douyin.com/video/7447475027085200650</v>
      </c>
      <c r="I201" s="3">
        <v>45520</v>
      </c>
      <c r="J201" s="4">
        <v>46243</v>
      </c>
      <c r="K201" t="inlineStr">
        <is>
          <t>梅见和CHOYA</t>
        </is>
      </c>
      <c r="L201"/>
      <c r="M201" t="inlineStr">
        <is>
          <t>DY-U0264</t>
        </is>
      </c>
      <c r="N201" t="inlineStr">
        <is>
          <t>公开评论</t>
        </is>
      </c>
      <c r="O201"/>
      <c r="P201" t="inlineStr">
        <is>
          <t>点赞数未成功识别，暂置空，禁止随机补值；原始:1年前;无法解析;原始时间未精确提取,根据页面公示时间范围估算;评论点赞数未精确提取,填写为0待人工复核</t>
        </is>
      </c>
      <c r="Q201" t="inlineStr">
        <is>
          <t>目标品牌</t>
        </is>
      </c>
      <c r="R201"/>
      <c r="S201" t="inlineStr">
        <is>
          <t>DY-SOC-0087_HOLDOUT_formal-attempt-0001_AI</t>
        </is>
      </c>
      <c r="T201" t="inlineStr">
        <is>
          <t>竞品反馈</t>
        </is>
      </c>
      <c r="U201" t="inlineStr">
        <is>
          <t>KEEP</t>
        </is>
      </c>
      <c r="V201" t="inlineStr">
        <is>
          <t>HOLDOUT</t>
        </is>
      </c>
      <c r="W201" t="inlineStr">
        <is>
          <t>可用</t>
        </is>
      </c>
      <c r="X201" t="inlineStr">
        <is>
          <t>品牌语料分析与洞察体系.xlsx#表1：原始语料库!201</t>
        </is>
      </c>
      <c r="Y201" t="inlineStr">
        <is>
          <t>FROZEN_419_V2</t>
        </is>
      </c>
    </row>
    <row r="202" ht="25.5" customHeight="1">
      <c r="A202" t="inlineStr">
        <is>
          <t>DY-SOC-0088</t>
        </is>
      </c>
      <c r="B202" t="inlineStr">
        <is>
          <t>竞品产品体验反馈</t>
        </is>
      </c>
      <c r="C202" t="inlineStr">
        <is>
          <t>PRJ001</t>
        </is>
      </c>
      <c r="D202" t="inlineStr">
        <is>
          <t>俏雅</t>
        </is>
      </c>
      <c r="E202" t="inlineStr">
        <is>
          <t>夏天自制一杯可太舒服了呀</t>
        </is>
      </c>
      <c r="F202" t="inlineStr">
        <is>
          <t>俏雅梅酒居家特调｜2024-08-16｜抖音</t>
        </is>
      </c>
      <c r="G202" t="inlineStr">
        <is>
          <t>抖音</t>
        </is>
      </c>
      <c r="H202" s="2" t="str">
        <f>=HYPERLINK("https://www.douyin.com/video/7447475027085200650", "https://www.douyin.com/video/7447475027085200650")</f>
        <v>https://www.douyin.com/video/7447475027085200650</v>
      </c>
      <c r="I202" s="3">
        <v>45520</v>
      </c>
      <c r="J202" s="4">
        <v>46243</v>
      </c>
      <c r="K202" t="inlineStr">
        <is>
          <t>梅见和CHOYA</t>
        </is>
      </c>
      <c r="L202"/>
      <c r="M202" t="inlineStr">
        <is>
          <t>DY-U0266</t>
        </is>
      </c>
      <c r="N202" t="inlineStr">
        <is>
          <t>公开评论</t>
        </is>
      </c>
      <c r="O202"/>
      <c r="P202" t="inlineStr">
        <is>
          <t>点赞数未成功识别，暂置空，禁止随机补值；原始:1年前;无法解析;原始时间未精确提取,根据页面公示时间范围估算;评论点赞数未精确提取,填写为0待人工复核</t>
        </is>
      </c>
      <c r="Q202" t="inlineStr">
        <is>
          <t>目标品牌</t>
        </is>
      </c>
      <c r="R202"/>
      <c r="S202" t="inlineStr">
        <is>
          <t>DY-SOC-0088_ANALYSIS_BASELINE_formal-attempt-0001_AI</t>
        </is>
      </c>
      <c r="T202" t="inlineStr">
        <is>
          <t>竞品反馈</t>
        </is>
      </c>
      <c r="U202" t="inlineStr">
        <is>
          <t>KEEP</t>
        </is>
      </c>
      <c r="V202" t="inlineStr">
        <is>
          <t>ANALYSIS_BASELINE</t>
        </is>
      </c>
      <c r="W202" t="inlineStr">
        <is>
          <t>可用</t>
        </is>
      </c>
      <c r="X202" t="inlineStr">
        <is>
          <t>品牌语料分析与洞察体系.xlsx#表1：原始语料库!202</t>
        </is>
      </c>
      <c r="Y202" t="inlineStr">
        <is>
          <t>FROZEN_419_V2</t>
        </is>
      </c>
    </row>
    <row r="203" ht="25.5" customHeight="1">
      <c r="A203" t="inlineStr">
        <is>
          <t>DY-SOC-0089</t>
        </is>
      </c>
      <c r="B203" t="inlineStr">
        <is>
          <t>竞品产品体验反馈</t>
        </is>
      </c>
      <c r="C203" t="inlineStr">
        <is>
          <t>PRJ001</t>
        </is>
      </c>
      <c r="D203" t="inlineStr">
        <is>
          <t>俏雅</t>
        </is>
      </c>
      <c r="E203" t="inlineStr">
        <is>
          <t>放柚子汁类饮料也很好喝</t>
        </is>
      </c>
      <c r="F203" t="inlineStr">
        <is>
          <t>俏雅梅酒居家特调｜2024-08-16｜抖音</t>
        </is>
      </c>
      <c r="G203" t="inlineStr">
        <is>
          <t>抖音</t>
        </is>
      </c>
      <c r="H203" s="2" t="str">
        <f>=HYPERLINK("https://www.douyin.com/video/7447475027085200650", "https://www.douyin.com/video/7447475027085200650")</f>
        <v>https://www.douyin.com/video/7447475027085200650</v>
      </c>
      <c r="I203" s="3">
        <v>45520</v>
      </c>
      <c r="J203" s="4">
        <v>46243</v>
      </c>
      <c r="K203" t="inlineStr">
        <is>
          <t>梅见和CHOYA</t>
        </is>
      </c>
      <c r="L203"/>
      <c r="M203" t="inlineStr">
        <is>
          <t>DY-U0268</t>
        </is>
      </c>
      <c r="N203" t="inlineStr">
        <is>
          <t>公开评论</t>
        </is>
      </c>
      <c r="O203"/>
      <c r="P203" t="inlineStr">
        <is>
          <t>点赞数未成功识别，暂置空，禁止随机补值；当前日期来自视频发布时间，评论发布时间未识别</t>
        </is>
      </c>
      <c r="Q203" t="inlineStr">
        <is>
          <t>目标品牌</t>
        </is>
      </c>
      <c r="R203"/>
      <c r="S203" t="inlineStr">
        <is>
          <t>DY-SOC-0089_GOLD_人工标注_人工,DY-SOC-0089_GOLD_attempt-0002_AI_矫正前,DY-SOC-0089_GOLD_attempt-0006_AI_矫正后</t>
        </is>
      </c>
      <c r="T203" t="inlineStr">
        <is>
          <t>竞品反馈</t>
        </is>
      </c>
      <c r="U203" t="inlineStr">
        <is>
          <t>KEEP</t>
        </is>
      </c>
      <c r="V203" t="inlineStr">
        <is>
          <t>GOLD</t>
        </is>
      </c>
      <c r="W203" t="inlineStr">
        <is>
          <t>不可用</t>
        </is>
      </c>
      <c r="X203" t="inlineStr">
        <is>
          <t>原始母表#raw_id=DY-SOC-0089</t>
        </is>
      </c>
      <c r="Y203" t="inlineStr">
        <is>
          <t>FROZEN_419_V2</t>
        </is>
      </c>
    </row>
    <row r="204" ht="25.5" customHeight="1">
      <c r="A204" t="inlineStr">
        <is>
          <t>XHS-SOC-0178</t>
        </is>
      </c>
      <c r="B204" t="inlineStr">
        <is>
          <t>竞品产品体验反馈</t>
        </is>
      </c>
      <c r="C204" t="inlineStr">
        <is>
          <t>PRJ001</t>
        </is>
      </c>
      <c r="D204" t="inlineStr">
        <is>
          <t>RIO</t>
        </is>
      </c>
      <c r="E204" t="inlineStr">
        <is>
          <t>给大家避雷一下 玫瑰荔枝味的就像在喝香水真的接受不了这种味道</t>
        </is>
      </c>
      <c r="F204" t="inlineStr">
        <is>
          <t>RIO哪个最好喝-女大亲测｜2025-02-18｜小红书</t>
        </is>
      </c>
      <c r="G204" t="inlineStr">
        <is>
          <t>小红书</t>
        </is>
      </c>
      <c r="H204" s="2" t="str">
        <f>=HYPERLINK("https://www.xiaohongshu.com/search_result/rio好喝吗", "https://www.xiaohongshu.com/search_result/rio好喝吗")</f>
        <v>https://www.xiaohongshu.com/search_result/rio好喝吗</v>
      </c>
      <c r="I204" s="3">
        <v>45927</v>
      </c>
      <c r="J204" s="4">
        <v>46243</v>
      </c>
      <c r="K204" t="inlineStr">
        <is>
          <t>RIO测评</t>
        </is>
      </c>
      <c r="L204">
        <v>16</v>
      </c>
      <c r="M204" t="inlineStr">
        <is>
          <t>XHS-U0166</t>
        </is>
      </c>
      <c r="N204" t="inlineStr">
        <is>
          <t>公开评论</t>
        </is>
      </c>
      <c r="O204"/>
      <c r="P204" t="inlineStr">
        <is>
          <t>原始:2025-09-27·河北；当前为搜索结果页链接，正式入库前需补原笔记链接</t>
        </is>
      </c>
      <c r="Q204" t="inlineStr">
        <is>
          <t>竞品</t>
        </is>
      </c>
      <c r="R204"/>
      <c r="S204" t="inlineStr">
        <is>
          <t>XHS-SOC-0178_CHALLENGE_POOL_formal-attempt-0001_AI</t>
        </is>
      </c>
      <c r="T204" t="inlineStr">
        <is>
          <t>竞品反馈</t>
        </is>
      </c>
      <c r="U204" t="inlineStr">
        <is>
          <t>KEEP</t>
        </is>
      </c>
      <c r="V204" t="inlineStr">
        <is>
          <t>CHALLENGE</t>
        </is>
      </c>
      <c r="W204" t="inlineStr">
        <is>
          <t>可用</t>
        </is>
      </c>
      <c r="X204" t="inlineStr">
        <is>
          <t>品牌语料分析与洞察体系.xlsx#表1：原始语料库!204</t>
        </is>
      </c>
      <c r="Y204" t="inlineStr">
        <is>
          <t>FROZEN_419_V2</t>
        </is>
      </c>
    </row>
    <row r="205" ht="25.5" customHeight="1">
      <c r="A205" t="inlineStr">
        <is>
          <t>XHS-SOC-0185</t>
        </is>
      </c>
      <c r="B205" t="inlineStr">
        <is>
          <t>竞品产品体验反馈</t>
        </is>
      </c>
      <c r="C205" t="inlineStr">
        <is>
          <t>PRJ001</t>
        </is>
      </c>
      <c r="D205" t="inlineStr">
        <is>
          <t>昆竹</t>
        </is>
      </c>
      <c r="E205" t="inlineStr">
        <is>
          <t>酒味太重 喜欢三得利这种酒味淡的</t>
        </is>
      </c>
      <c r="F205" t="inlineStr">
        <is>
          <t>梅见成分分析-浓缩汁勾兑｜2025-10-01｜小红书</t>
        </is>
      </c>
      <c r="G205" t="inlineStr">
        <is>
          <t>小红书</t>
        </is>
      </c>
      <c r="H205" s="2" t="str">
        <f>=HYPERLINK("https://www.xiaohongshu.com/search_result/梅见测评", "https://www.xiaohongshu.com/search_result/梅见测评")</f>
        <v>https://www.xiaohongshu.com/search_result/梅见测评</v>
      </c>
      <c r="I205" s="3">
        <v>46029</v>
      </c>
      <c r="J205" s="4">
        <v>46243</v>
      </c>
      <c r="K205" t="inlineStr">
        <is>
          <t>梅见测评</t>
        </is>
      </c>
      <c r="L205">
        <v>8</v>
      </c>
      <c r="M205" t="inlineStr">
        <is>
          <t>XHS-U0100</t>
        </is>
      </c>
      <c r="N205" t="inlineStr">
        <is>
          <t>公开评论</t>
        </is>
      </c>
      <c r="O205"/>
      <c r="P205" t="inlineStr">
        <is>
          <t>原始:01-07;年份推定·北京；当前为搜索结果页链接，正式入库前需补原笔记链接</t>
        </is>
      </c>
      <c r="Q205" t="inlineStr">
        <is>
          <t>目标品牌</t>
        </is>
      </c>
      <c r="R205"/>
      <c r="S205" t="inlineStr">
        <is>
          <t>XHS-SOC-0185_GOLD_人工标注_人工,XHS-SOC-0185_GOLD_attempt-0002_AI_矫正前,XHS-SOC-0185_GOLD_attempt-0006_AI_矫正后</t>
        </is>
      </c>
      <c r="T205" t="inlineStr">
        <is>
          <t>竞品反馈</t>
        </is>
      </c>
      <c r="U205" t="inlineStr">
        <is>
          <t>KEEP</t>
        </is>
      </c>
      <c r="V205" t="inlineStr">
        <is>
          <t>GOLD</t>
        </is>
      </c>
      <c r="W205" t="inlineStr">
        <is>
          <t>不可用</t>
        </is>
      </c>
      <c r="X205" t="inlineStr">
        <is>
          <t>原始母表#raw_id=XHS-SOC-0185</t>
        </is>
      </c>
      <c r="Y205" t="inlineStr">
        <is>
          <t>FROZEN_419_V2</t>
        </is>
      </c>
    </row>
    <row r="206" ht="25.5" customHeight="1">
      <c r="A206" t="inlineStr">
        <is>
          <t>XHS-SOC-0192</t>
        </is>
      </c>
      <c r="B206" t="inlineStr">
        <is>
          <t>竞品产品体验反馈</t>
        </is>
      </c>
      <c r="C206" t="inlineStr">
        <is>
          <t>PRJ001</t>
        </is>
      </c>
      <c r="D206" t="inlineStr">
        <is>
          <t>昆竹</t>
        </is>
      </c>
      <c r="E206" t="inlineStr">
        <is>
          <t>认同一半，昆竹确实可以，但高粱酒的也有好喝的</t>
        </is>
      </c>
      <c r="F206" t="inlineStr">
        <is>
          <t>梅见成分分析-浓缩汁勾兑｜2025-10-01｜小红书</t>
        </is>
      </c>
      <c r="G206" t="inlineStr">
        <is>
          <t>小红书</t>
        </is>
      </c>
      <c r="H206" s="2" t="str">
        <f>=HYPERLINK("https://www.xiaohongshu.com/search_result/梅见测评", "https://www.xiaohongshu.com/search_result/梅见测评")</f>
        <v>https://www.xiaohongshu.com/search_result/梅见测评</v>
      </c>
      <c r="I206" s="3">
        <v>45933</v>
      </c>
      <c r="J206" s="4">
        <v>46243</v>
      </c>
      <c r="K206" t="inlineStr">
        <is>
          <t>梅见测评</t>
        </is>
      </c>
      <c r="L206">
        <v>4</v>
      </c>
      <c r="M206" t="inlineStr">
        <is>
          <t>XHS-U0106</t>
        </is>
      </c>
      <c r="N206" t="inlineStr">
        <is>
          <t>公开评论</t>
        </is>
      </c>
      <c r="O206"/>
      <c r="P206" t="inlineStr">
        <is>
          <t>原始:2025-10-03·北京；当前为搜索结果页链接，正式入库前需补原笔记链接</t>
        </is>
      </c>
      <c r="Q206" t="inlineStr">
        <is>
          <t>目标品牌</t>
        </is>
      </c>
      <c r="R206"/>
      <c r="S206" t="inlineStr">
        <is>
          <t>XHS-SOC-0192_HOLDOUT_formal-attempt-0001_AI</t>
        </is>
      </c>
      <c r="T206" t="inlineStr">
        <is>
          <t>竞品反馈</t>
        </is>
      </c>
      <c r="U206" t="inlineStr">
        <is>
          <t>KEEP</t>
        </is>
      </c>
      <c r="V206" t="inlineStr">
        <is>
          <t>HOLDOUT</t>
        </is>
      </c>
      <c r="W206" t="inlineStr">
        <is>
          <t>可用</t>
        </is>
      </c>
      <c r="X206" t="inlineStr">
        <is>
          <t>品牌语料分析与洞察体系.xlsx#表1：原始语料库!206</t>
        </is>
      </c>
      <c r="Y206" t="inlineStr">
        <is>
          <t>FROZEN_419_V2</t>
        </is>
      </c>
    </row>
    <row r="207" ht="25.5" customHeight="1">
      <c r="A207" t="inlineStr">
        <is>
          <t>XHS-SOC-0197</t>
        </is>
      </c>
      <c r="B207" t="inlineStr">
        <is>
          <t>竞品产品体验反馈</t>
        </is>
      </c>
      <c r="C207" t="inlineStr">
        <is>
          <t>PRJ001</t>
        </is>
      </c>
      <c r="D207" t="inlineStr">
        <is>
          <t>RIO</t>
        </is>
      </c>
      <c r="E207" t="inlineStr">
        <is>
          <t>香草冰淇淋最好喝</t>
        </is>
      </c>
      <c r="F207" t="inlineStr">
        <is>
          <t>RIO哪个最好喝-女大亲测｜2025-02-18｜小红书</t>
        </is>
      </c>
      <c r="G207" t="inlineStr">
        <is>
          <t>小红书</t>
        </is>
      </c>
      <c r="H207" s="2" t="str">
        <f>=HYPERLINK("https://www.xiaohongshu.com/search_result/rio好喝吗", "https://www.xiaohongshu.com/search_result/rio好喝吗")</f>
        <v>https://www.xiaohongshu.com/search_result/rio好喝吗</v>
      </c>
      <c r="I207" s="3">
        <v>45925</v>
      </c>
      <c r="J207" s="4">
        <v>46243</v>
      </c>
      <c r="K207" t="inlineStr">
        <is>
          <t>RIO测评</t>
        </is>
      </c>
      <c r="L207">
        <v>3</v>
      </c>
      <c r="M207" t="inlineStr">
        <is>
          <t>XHS-U0178</t>
        </is>
      </c>
      <c r="N207" t="inlineStr">
        <is>
          <t>公开评论</t>
        </is>
      </c>
      <c r="O207"/>
      <c r="P207" t="inlineStr">
        <is>
          <t>原始:2025-09-25·湖南；当前为搜索结果页链接，正式入库前需补原笔记链接</t>
        </is>
      </c>
      <c r="Q207" t="inlineStr">
        <is>
          <t>竞品</t>
        </is>
      </c>
      <c r="R207"/>
      <c r="S207" t="inlineStr">
        <is>
          <t>XHS-SOC-0197_ANALYSIS_BASELINE_formal-attempt-0001_AI</t>
        </is>
      </c>
      <c r="T207" t="inlineStr">
        <is>
          <t>竞品反馈</t>
        </is>
      </c>
      <c r="U207" t="inlineStr">
        <is>
          <t>KEEP</t>
        </is>
      </c>
      <c r="V207" t="inlineStr">
        <is>
          <t>ANALYSIS_BASELINE</t>
        </is>
      </c>
      <c r="W207" t="inlineStr">
        <is>
          <t>可用</t>
        </is>
      </c>
      <c r="X207" t="inlineStr">
        <is>
          <t>品牌语料分析与洞察体系.xlsx#表1：原始语料库!207</t>
        </is>
      </c>
      <c r="Y207" t="inlineStr">
        <is>
          <t>FROZEN_419_V2</t>
        </is>
      </c>
    </row>
    <row r="208" ht="25.5" customHeight="1">
      <c r="A208" t="inlineStr">
        <is>
          <t>XHS-SOC-0202</t>
        </is>
      </c>
      <c r="B208" t="inlineStr">
        <is>
          <t>竞品产品体验反馈</t>
        </is>
      </c>
      <c r="C208" t="inlineStr">
        <is>
          <t>PRJ001</t>
        </is>
      </c>
      <c r="D208" t="inlineStr">
        <is>
          <t>梅见</t>
        </is>
      </c>
      <c r="E208" t="inlineStr">
        <is>
          <t>昆竹好喝</t>
        </is>
      </c>
      <c r="F208" t="inlineStr">
        <is>
          <t>除了梅见还有其他梅子酒推荐吗｜2025-07-04｜小红书</t>
        </is>
      </c>
      <c r="G208" t="inlineStr">
        <is>
          <t>小红书</t>
        </is>
      </c>
      <c r="H208" s="2" t="str">
        <f>=HYPERLINK("https://www.xiaohongshu.com/explore/6a48b570000000001603dc9b", "https://www.xiaohongshu.com/explore/6a48b570000000001603dc9b")</f>
        <v>https://www.xiaohongshu.com/explore/6a48b570000000001603dc9b</v>
      </c>
      <c r="I208" s="3">
        <v>46207</v>
      </c>
      <c r="J208" s="4">
        <v>46243</v>
      </c>
      <c r="K208" t="inlineStr">
        <is>
          <t>青梅酒推荐</t>
        </is>
      </c>
      <c r="L208">
        <v>2</v>
      </c>
      <c r="M208" t="inlineStr">
        <is>
          <t>XHS-U0202</t>
        </is>
      </c>
      <c r="N208" t="inlineStr">
        <is>
          <t>公开评论</t>
        </is>
      </c>
      <c r="O208"/>
      <c r="P208" t="inlineStr">
        <is>
          <t>原始:07-04;年份推定·广东</t>
        </is>
      </c>
      <c r="Q208" t="inlineStr">
        <is>
          <t>目标品牌</t>
        </is>
      </c>
      <c r="R208"/>
      <c r="S208" t="inlineStr">
        <is>
          <t>XHS-SOC-0202_ANALYSIS_BASELINE_formal-attempt-0001_AI</t>
        </is>
      </c>
      <c r="T208" t="inlineStr">
        <is>
          <t>竞品反馈</t>
        </is>
      </c>
      <c r="U208" t="inlineStr">
        <is>
          <t>KEEP</t>
        </is>
      </c>
      <c r="V208" t="inlineStr">
        <is>
          <t>ANALYSIS_BASELINE</t>
        </is>
      </c>
      <c r="W208" t="inlineStr">
        <is>
          <t>可用</t>
        </is>
      </c>
      <c r="X208" t="inlineStr">
        <is>
          <t>品牌语料分析与洞察体系.xlsx#表1：原始语料库!208</t>
        </is>
      </c>
      <c r="Y208" t="inlineStr">
        <is>
          <t>FROZEN_419_V2</t>
        </is>
      </c>
    </row>
    <row r="209" ht="25.5" customHeight="1">
      <c r="A209" t="inlineStr">
        <is>
          <t>XHS-SOC-0208</t>
        </is>
      </c>
      <c r="B209" t="inlineStr">
        <is>
          <t>竞品产品体验反馈</t>
        </is>
      </c>
      <c r="C209" t="inlineStr">
        <is>
          <t>PRJ001</t>
        </is>
      </c>
      <c r="D209" t="inlineStr">
        <is>
          <t>RIO</t>
        </is>
      </c>
      <c r="E209" t="inlineStr">
        <is>
          <t>乳酸菌味真的超好喝！</t>
        </is>
      </c>
      <c r="F209" t="inlineStr">
        <is>
          <t>RIO哪个最好喝-女大亲测｜2025-02-18｜小红书</t>
        </is>
      </c>
      <c r="G209" t="inlineStr">
        <is>
          <t>小红书</t>
        </is>
      </c>
      <c r="H209" s="2" t="str">
        <f>=HYPERLINK("https://www.xiaohongshu.com/search_result/rio好喝吗", "https://www.xiaohongshu.com/search_result/rio好喝吗")</f>
        <v>https://www.xiaohongshu.com/search_result/rio好喝吗</v>
      </c>
      <c r="I209" s="3">
        <v>45872</v>
      </c>
      <c r="J209" s="4">
        <v>46243</v>
      </c>
      <c r="K209" t="inlineStr">
        <is>
          <t>RIO测评</t>
        </is>
      </c>
      <c r="L209">
        <v>1</v>
      </c>
      <c r="M209" t="inlineStr">
        <is>
          <t>XHS-U0179</t>
        </is>
      </c>
      <c r="N209" t="inlineStr">
        <is>
          <t>公开评论</t>
        </is>
      </c>
      <c r="O209"/>
      <c r="P209" t="inlineStr">
        <is>
          <t>原始:2025-08-03·上海；当前为搜索结果页链接，正式入库前需补原笔记链接</t>
        </is>
      </c>
      <c r="Q209" t="inlineStr">
        <is>
          <t>竞品</t>
        </is>
      </c>
      <c r="R209"/>
      <c r="S209" t="inlineStr">
        <is>
          <t>XHS-SOC-0208_ANALYSIS_BASELINE_formal-attempt-0001_AI</t>
        </is>
      </c>
      <c r="T209" t="inlineStr">
        <is>
          <t>竞品反馈</t>
        </is>
      </c>
      <c r="U209" t="inlineStr">
        <is>
          <t>KEEP</t>
        </is>
      </c>
      <c r="V209" t="inlineStr">
        <is>
          <t>ANALYSIS_BASELINE</t>
        </is>
      </c>
      <c r="W209" t="inlineStr">
        <is>
          <t>可用</t>
        </is>
      </c>
      <c r="X209" t="inlineStr">
        <is>
          <t>品牌语料分析与洞察体系.xlsx#表1：原始语料库!209</t>
        </is>
      </c>
      <c r="Y209" t="inlineStr">
        <is>
          <t>FROZEN_419_V2</t>
        </is>
      </c>
    </row>
    <row r="210" ht="25.5" customHeight="1">
      <c r="A210" t="inlineStr">
        <is>
          <t>XHS-SOC-0209</t>
        </is>
      </c>
      <c r="B210" t="inlineStr">
        <is>
          <t>竞品产品体验反馈</t>
        </is>
      </c>
      <c r="C210" t="inlineStr">
        <is>
          <t>PRJ001</t>
        </is>
      </c>
      <c r="D210" t="inlineStr">
        <is>
          <t>RIO</t>
        </is>
      </c>
      <c r="E210" t="inlineStr">
        <is>
          <t>我也觉得太甜了 后味超级甜</t>
        </is>
      </c>
      <c r="F210" t="inlineStr">
        <is>
          <t>怎么会有这么好喝的梅子酒-时光梅见｜2025-03-21｜小红书</t>
        </is>
      </c>
      <c r="G210" t="inlineStr">
        <is>
          <t>小红书</t>
        </is>
      </c>
      <c r="H210" s="2" t="str">
        <f>=HYPERLINK("https://www.xiaohongshu.com/search_result/果酒哪个牌子好", "https://www.xiaohongshu.com/search_result/果酒哪个牌子好")</f>
        <v>https://www.xiaohongshu.com/search_result/果酒哪个牌子好</v>
      </c>
      <c r="I210" s="3">
        <v>45936</v>
      </c>
      <c r="J210" s="4">
        <v>46243</v>
      </c>
      <c r="K210" t="inlineStr">
        <is>
          <t>果酒哪个牌子好</t>
        </is>
      </c>
      <c r="L210">
        <v>1</v>
      </c>
      <c r="M210" t="inlineStr">
        <is>
          <t>XHS-U0326</t>
        </is>
      </c>
      <c r="N210" t="inlineStr">
        <is>
          <t>公开评论</t>
        </is>
      </c>
      <c r="O210"/>
      <c r="P210" t="inlineStr">
        <is>
          <t>原始:2025-10-06·山东；当前为搜索结果页链接，正式入库前需补原笔记链接</t>
        </is>
      </c>
      <c r="Q210" t="inlineStr">
        <is>
          <t>目标品牌</t>
        </is>
      </c>
      <c r="R210"/>
      <c r="S210" t="inlineStr">
        <is>
          <t>XHS-SOC-0209_ANALYSIS_BASELINE_formal-attempt-0001_AI</t>
        </is>
      </c>
      <c r="T210" t="inlineStr">
        <is>
          <t>竞品反馈</t>
        </is>
      </c>
      <c r="U210" t="inlineStr">
        <is>
          <t>KEEP</t>
        </is>
      </c>
      <c r="V210" t="inlineStr">
        <is>
          <t>ANALYSIS_BASELINE</t>
        </is>
      </c>
      <c r="W210" t="inlineStr">
        <is>
          <t>可用</t>
        </is>
      </c>
      <c r="X210" t="inlineStr">
        <is>
          <t>品牌语料分析与洞察体系.xlsx#表1：原始语料库!210</t>
        </is>
      </c>
      <c r="Y210" t="inlineStr">
        <is>
          <t>FROZEN_419_V2</t>
        </is>
      </c>
    </row>
    <row r="211" ht="25.5" customHeight="1">
      <c r="A211" t="inlineStr">
        <is>
          <t>XHS-SOC-0219</t>
        </is>
      </c>
      <c r="B211" t="inlineStr">
        <is>
          <t>竞品产品体验反馈</t>
        </is>
      </c>
      <c r="C211" t="inlineStr">
        <is>
          <t>PRJ001</t>
        </is>
      </c>
      <c r="D211" t="inlineStr">
        <is>
          <t>RIO</t>
        </is>
      </c>
      <c r="E211" t="inlineStr">
        <is>
          <t>就是葡萄汽水</t>
        </is>
      </c>
      <c r="F211" t="inlineStr">
        <is>
          <t>RIO哪个最好喝-女大亲测｜2025-02-18｜小红书</t>
        </is>
      </c>
      <c r="G211" t="inlineStr">
        <is>
          <t>小红书</t>
        </is>
      </c>
      <c r="H211" s="2" t="str">
        <f>=HYPERLINK("https://www.xiaohongshu.com/search_result/rio好喝吗", "https://www.xiaohongshu.com/search_result/rio好喝吗")</f>
        <v>https://www.xiaohongshu.com/search_result/rio好喝吗</v>
      </c>
      <c r="I211" s="3">
        <v>45887</v>
      </c>
      <c r="J211" s="4">
        <v>46243</v>
      </c>
      <c r="K211" t="inlineStr">
        <is>
          <t>RIO测评</t>
        </is>
      </c>
      <c r="L211">
        <v>8</v>
      </c>
      <c r="M211" t="inlineStr">
        <is>
          <t>XHS-U0169</t>
        </is>
      </c>
      <c r="N211" t="inlineStr">
        <is>
          <t>公开评论</t>
        </is>
      </c>
      <c r="O211"/>
      <c r="P211" t="inlineStr">
        <is>
          <t>原始:2025-08-18·广东；当前为搜索结果页链接，正式入库前需补原笔记链接</t>
        </is>
      </c>
      <c r="Q211" t="inlineStr">
        <is>
          <t>竞品</t>
        </is>
      </c>
      <c r="R211"/>
      <c r="S211" t="inlineStr">
        <is>
          <t>XHS-SOC-0219_ANALYSIS_BASELINE_formal-attempt-0001_AI</t>
        </is>
      </c>
      <c r="T211" t="inlineStr">
        <is>
          <t>竞品反馈</t>
        </is>
      </c>
      <c r="U211" t="inlineStr">
        <is>
          <t>KEEP</t>
        </is>
      </c>
      <c r="V211" t="inlineStr">
        <is>
          <t>ANALYSIS_BASELINE</t>
        </is>
      </c>
      <c r="W211" t="inlineStr">
        <is>
          <t>可用</t>
        </is>
      </c>
      <c r="X211" t="inlineStr">
        <is>
          <t>品牌语料分析与洞察体系.xlsx#表1：原始语料库!211</t>
        </is>
      </c>
      <c r="Y211" t="inlineStr">
        <is>
          <t>FROZEN_419_V2</t>
        </is>
      </c>
    </row>
    <row r="212" ht="25.5" customHeight="1">
      <c r="A212" t="inlineStr">
        <is>
          <t>XHS-SOC-0223</t>
        </is>
      </c>
      <c r="B212" t="inlineStr">
        <is>
          <t>竞品产品体验反馈</t>
        </is>
      </c>
      <c r="C212" t="inlineStr">
        <is>
          <t>PRJ001</t>
        </is>
      </c>
      <c r="D212" t="inlineStr">
        <is>
          <t>RIO</t>
        </is>
      </c>
      <c r="E212" t="inlineStr">
        <is>
          <t>白桃味是真的难喝</t>
        </is>
      </c>
      <c r="F212" t="inlineStr">
        <is>
          <t>RIO哪个最好喝-女大亲测｜2025-02-18｜小红书</t>
        </is>
      </c>
      <c r="G212" t="inlineStr">
        <is>
          <t>小红书</t>
        </is>
      </c>
      <c r="H212" s="2" t="str">
        <f>=HYPERLINK("https://www.xiaohongshu.com/search_result/rio好喝吗", "https://www.xiaohongshu.com/search_result/rio好喝吗")</f>
        <v>https://www.xiaohongshu.com/search_result/rio好喝吗</v>
      </c>
      <c r="I212" s="3">
        <v>46115</v>
      </c>
      <c r="J212" s="4">
        <v>46243</v>
      </c>
      <c r="K212" t="inlineStr">
        <is>
          <t>RIO测评</t>
        </is>
      </c>
      <c r="L212">
        <v>0</v>
      </c>
      <c r="M212" t="inlineStr">
        <is>
          <t>XHS-U0177</t>
        </is>
      </c>
      <c r="N212" t="inlineStr">
        <is>
          <t>公开评论</t>
        </is>
      </c>
      <c r="O212"/>
      <c r="P212" t="inlineStr">
        <is>
          <t>原始:04-03;年份推定·四川；当前为搜索结果页链接，正式入库前需补原笔记链接</t>
        </is>
      </c>
      <c r="Q212" t="inlineStr">
        <is>
          <t>竞品</t>
        </is>
      </c>
      <c r="R212"/>
      <c r="S212" t="inlineStr">
        <is>
          <t>XHS-SOC-0223_HOLDOUT_formal-attempt-0001_AI</t>
        </is>
      </c>
      <c r="T212" t="inlineStr">
        <is>
          <t>竞品反馈</t>
        </is>
      </c>
      <c r="U212" t="inlineStr">
        <is>
          <t>KEEP</t>
        </is>
      </c>
      <c r="V212" t="inlineStr">
        <is>
          <t>HOLDOUT</t>
        </is>
      </c>
      <c r="W212" t="inlineStr">
        <is>
          <t>可用</t>
        </is>
      </c>
      <c r="X212" t="inlineStr">
        <is>
          <t>品牌语料分析与洞察体系.xlsx#表1：原始语料库!212</t>
        </is>
      </c>
      <c r="Y212" t="inlineStr">
        <is>
          <t>FROZEN_419_V2</t>
        </is>
      </c>
    </row>
    <row r="213" ht="25.5" customHeight="1">
      <c r="A213" t="inlineStr">
        <is>
          <t>XHS-SOC-0224</t>
        </is>
      </c>
      <c r="B213" t="inlineStr">
        <is>
          <t>竞品产品体验反馈</t>
        </is>
      </c>
      <c r="C213" t="inlineStr">
        <is>
          <t>PRJ001</t>
        </is>
      </c>
      <c r="D213" t="inlineStr">
        <is>
          <t>RIO</t>
        </is>
      </c>
      <c r="E213" t="inlineStr">
        <is>
          <t>难喝，没度数，跟果汁似的</t>
        </is>
      </c>
      <c r="F213" t="inlineStr">
        <is>
          <t>RIO哪个最好喝-女大亲测｜2025-02-18｜小红书</t>
        </is>
      </c>
      <c r="G213" t="inlineStr">
        <is>
          <t>小红书</t>
        </is>
      </c>
      <c r="H213" s="2" t="str">
        <f>=HYPERLINK("https://www.xiaohongshu.com/search_result/rio好喝吗", "https://www.xiaohongshu.com/search_result/rio好喝吗")</f>
        <v>https://www.xiaohongshu.com/search_result/rio好喝吗</v>
      </c>
      <c r="I213" s="3">
        <v>46190</v>
      </c>
      <c r="J213" s="4">
        <v>46243</v>
      </c>
      <c r="K213" t="inlineStr">
        <is>
          <t>RIO测评</t>
        </is>
      </c>
      <c r="L213">
        <v>0</v>
      </c>
      <c r="M213" t="inlineStr">
        <is>
          <t>XHS-U0181</t>
        </is>
      </c>
      <c r="N213" t="inlineStr">
        <is>
          <t>公开评论</t>
        </is>
      </c>
      <c r="O213"/>
      <c r="P213" t="inlineStr">
        <is>
          <t>原始:06-17;年份推定·浙江；当前为搜索结果页链接，正式入库前需补原笔记链接</t>
        </is>
      </c>
      <c r="Q213" t="inlineStr">
        <is>
          <t>竞品</t>
        </is>
      </c>
      <c r="R213"/>
      <c r="S213" t="inlineStr">
        <is>
          <t>XHS-SOC-0224_ANALYSIS_BASELINE_formal-attempt-0001_AI</t>
        </is>
      </c>
      <c r="T213" t="inlineStr">
        <is>
          <t>竞品反馈</t>
        </is>
      </c>
      <c r="U213" t="inlineStr">
        <is>
          <t>KEEP</t>
        </is>
      </c>
      <c r="V213" t="inlineStr">
        <is>
          <t>ANALYSIS_BASELINE</t>
        </is>
      </c>
      <c r="W213" t="inlineStr">
        <is>
          <t>可用</t>
        </is>
      </c>
      <c r="X213" t="inlineStr">
        <is>
          <t>品牌语料分析与洞察体系.xlsx#表1：原始语料库!213</t>
        </is>
      </c>
      <c r="Y213" t="inlineStr">
        <is>
          <t>FROZEN_419_V2</t>
        </is>
      </c>
    </row>
    <row r="214" ht="25.5" customHeight="1">
      <c r="A214" t="inlineStr">
        <is>
          <t>XHS-SOC-0225</t>
        </is>
      </c>
      <c r="B214" t="inlineStr">
        <is>
          <t>竞品产品体验反馈</t>
        </is>
      </c>
      <c r="C214" t="inlineStr">
        <is>
          <t>PRJ001</t>
        </is>
      </c>
      <c r="D214" t="inlineStr">
        <is>
          <t>RIO</t>
        </is>
      </c>
      <c r="E214" t="inlineStr">
        <is>
          <t>荔枝最难喝，乳酸菌，乐橘最好喝</t>
        </is>
      </c>
      <c r="F214" t="inlineStr">
        <is>
          <t>RIO哪个最好喝-女大亲测｜2025-02-18｜小红书</t>
        </is>
      </c>
      <c r="G214" t="inlineStr">
        <is>
          <t>小红书</t>
        </is>
      </c>
      <c r="H214" s="2" t="str">
        <f>=HYPERLINK("https://www.xiaohongshu.com/search_result/rio好喝吗", "https://www.xiaohongshu.com/search_result/rio好喝吗")</f>
        <v>https://www.xiaohongshu.com/search_result/rio好喝吗</v>
      </c>
      <c r="I214" s="3">
        <v>45966</v>
      </c>
      <c r="J214" s="4">
        <v>46243</v>
      </c>
      <c r="K214" t="inlineStr">
        <is>
          <t>RIO测评</t>
        </is>
      </c>
      <c r="L214">
        <v>0</v>
      </c>
      <c r="M214" t="inlineStr">
        <is>
          <t>XHS-U0182</t>
        </is>
      </c>
      <c r="N214" t="inlineStr">
        <is>
          <t>公开评论</t>
        </is>
      </c>
      <c r="O214"/>
      <c r="P214" t="inlineStr">
        <is>
          <t>原始:2025-11-05·浙江；当前为搜索结果页链接，正式入库前需补原笔记链接</t>
        </is>
      </c>
      <c r="Q214" t="inlineStr">
        <is>
          <t>竞品</t>
        </is>
      </c>
      <c r="R214"/>
      <c r="S214" t="inlineStr">
        <is>
          <t>XHS-SOC-0225_GOLD_人工标注_人工,XHS-SOC-0225_GOLD_attempt-0002_AI_矫正前,XHS-SOC-0225_GOLD_attempt-0006_AI_矫正后</t>
        </is>
      </c>
      <c r="T214" t="inlineStr">
        <is>
          <t>竞品反馈</t>
        </is>
      </c>
      <c r="U214" t="inlineStr">
        <is>
          <t>KEEP</t>
        </is>
      </c>
      <c r="V214" t="inlineStr">
        <is>
          <t>GOLD</t>
        </is>
      </c>
      <c r="W214" t="inlineStr">
        <is>
          <t>不可用</t>
        </is>
      </c>
      <c r="X214" t="inlineStr">
        <is>
          <t>原始母表#raw_id=XHS-SOC-0225</t>
        </is>
      </c>
      <c r="Y214" t="inlineStr">
        <is>
          <t>FROZEN_419_V2</t>
        </is>
      </c>
    </row>
    <row r="215" ht="25.5" customHeight="1">
      <c r="A215" t="inlineStr">
        <is>
          <t>XHS-SOC-0226</t>
        </is>
      </c>
      <c r="B215" t="inlineStr">
        <is>
          <t>竞品产品体验反馈</t>
        </is>
      </c>
      <c r="C215" t="inlineStr">
        <is>
          <t>PRJ001</t>
        </is>
      </c>
      <c r="D215" t="inlineStr">
        <is>
          <t>RIO</t>
        </is>
      </c>
      <c r="E215" t="inlineStr">
        <is>
          <t>草莓是真的很难喝...</t>
        </is>
      </c>
      <c r="F215" t="inlineStr">
        <is>
          <t>RIO哪个最好喝-女大亲测｜2025-02-18｜小红书</t>
        </is>
      </c>
      <c r="G215" t="inlineStr">
        <is>
          <t>小红书</t>
        </is>
      </c>
      <c r="H215" s="2" t="str">
        <f>=HYPERLINK("https://www.xiaohongshu.com/search_result/rio好喝吗", "https://www.xiaohongshu.com/search_result/rio好喝吗")</f>
        <v>https://www.xiaohongshu.com/search_result/rio好喝吗</v>
      </c>
      <c r="I215" s="3">
        <v>45951</v>
      </c>
      <c r="J215" s="4">
        <v>46243</v>
      </c>
      <c r="K215" t="inlineStr">
        <is>
          <t>RIO测评</t>
        </is>
      </c>
      <c r="L215">
        <v>0</v>
      </c>
      <c r="M215" t="inlineStr">
        <is>
          <t>XHS-U0183</t>
        </is>
      </c>
      <c r="N215" t="inlineStr">
        <is>
          <t>公开评论</t>
        </is>
      </c>
      <c r="O215"/>
      <c r="P215" t="inlineStr">
        <is>
          <t>原始:2025-10-21·广东；当前为搜索结果页链接，正式入库前需补原笔记链接</t>
        </is>
      </c>
      <c r="Q215" t="inlineStr">
        <is>
          <t>竞品</t>
        </is>
      </c>
      <c r="R215"/>
      <c r="S215" t="inlineStr">
        <is>
          <t>XHS-SOC-0226_ANALYSIS_BASELINE_formal-attempt-0001_AI</t>
        </is>
      </c>
      <c r="T215" t="inlineStr">
        <is>
          <t>竞品反馈</t>
        </is>
      </c>
      <c r="U215" t="inlineStr">
        <is>
          <t>KEEP</t>
        </is>
      </c>
      <c r="V215" t="inlineStr">
        <is>
          <t>ANALYSIS_BASELINE</t>
        </is>
      </c>
      <c r="W215" t="inlineStr">
        <is>
          <t>可用</t>
        </is>
      </c>
      <c r="X215" t="inlineStr">
        <is>
          <t>品牌语料分析与洞察体系.xlsx#表1：原始语料库!215</t>
        </is>
      </c>
      <c r="Y215" t="inlineStr">
        <is>
          <t>FROZEN_419_V2</t>
        </is>
      </c>
    </row>
    <row r="216" ht="25.5" customHeight="1">
      <c r="A216" t="inlineStr">
        <is>
          <t>XHS-SOC-0227</t>
        </is>
      </c>
      <c r="B216" t="inlineStr">
        <is>
          <t>竞品产品体验反馈</t>
        </is>
      </c>
      <c r="C216" t="inlineStr">
        <is>
          <t>PRJ001</t>
        </is>
      </c>
      <c r="D216" t="inlineStr">
        <is>
          <t>RIO</t>
        </is>
      </c>
      <c r="E216" t="inlineStr">
        <is>
          <t>只有我觉得很难喝吗</t>
        </is>
      </c>
      <c r="F216" t="inlineStr">
        <is>
          <t>怎么会有这么好喝的梅子酒-时光梅见｜2025-03-21｜小红书</t>
        </is>
      </c>
      <c r="G216" t="inlineStr">
        <is>
          <t>小红书</t>
        </is>
      </c>
      <c r="H216" s="2" t="str">
        <f>=HYPERLINK("https://www.xiaohongshu.com/search_result/果酒哪个牌子好", "https://www.xiaohongshu.com/search_result/果酒哪个牌子好")</f>
        <v>https://www.xiaohongshu.com/search_result/果酒哪个牌子好</v>
      </c>
      <c r="I216" s="3">
        <v>46078</v>
      </c>
      <c r="J216" s="4">
        <v>46243</v>
      </c>
      <c r="K216" t="inlineStr">
        <is>
          <t>果酒哪个牌子好</t>
        </is>
      </c>
      <c r="L216">
        <v>0</v>
      </c>
      <c r="M216" t="inlineStr">
        <is>
          <t>XHS-U0327</t>
        </is>
      </c>
      <c r="N216" t="inlineStr">
        <is>
          <t>公开评论</t>
        </is>
      </c>
      <c r="O216"/>
      <c r="P216" t="inlineStr">
        <is>
          <t>原始:02-25;年份推定·云南；当前为搜索结果页链接，正式入库前需补原笔记链接</t>
        </is>
      </c>
      <c r="Q216" t="inlineStr">
        <is>
          <t>目标品牌</t>
        </is>
      </c>
      <c r="R216"/>
      <c r="S216" t="inlineStr">
        <is>
          <t>XHS-SOC-0227_GOLD_人工标注_人工,XHS-SOC-0227_GOLD_attempt-0002_AI_矫正前,XHS-SOC-0227_GOLD_attempt-0006_AI_矫正后</t>
        </is>
      </c>
      <c r="T216" t="inlineStr">
        <is>
          <t>竞品反馈</t>
        </is>
      </c>
      <c r="U216" t="inlineStr">
        <is>
          <t>KEEP</t>
        </is>
      </c>
      <c r="V216" t="inlineStr">
        <is>
          <t>GOLD</t>
        </is>
      </c>
      <c r="W216" t="inlineStr">
        <is>
          <t>不可用</t>
        </is>
      </c>
      <c r="X216" t="inlineStr">
        <is>
          <t>原始母表#raw_id=XHS-SOC-0227</t>
        </is>
      </c>
      <c r="Y216" t="inlineStr">
        <is>
          <t>FROZEN_419_V2</t>
        </is>
      </c>
    </row>
    <row r="217" ht="25.5" customHeight="1">
      <c r="A217" t="inlineStr">
        <is>
          <t>XHS-SOC-0228</t>
        </is>
      </c>
      <c r="B217" t="inlineStr">
        <is>
          <t>竞品产品体验反馈</t>
        </is>
      </c>
      <c r="C217" t="inlineStr">
        <is>
          <t>PRJ001</t>
        </is>
      </c>
      <c r="D217" t="inlineStr">
        <is>
          <t>RIO</t>
        </is>
      </c>
      <c r="E217" t="inlineStr">
        <is>
          <t>好喝 我刚才还喝了一杯</t>
        </is>
      </c>
      <c r="F217" t="inlineStr">
        <is>
          <t>怎么会有这么好喝的梅子酒-时光梅见｜2025-03-21｜小红书</t>
        </is>
      </c>
      <c r="G217" t="inlineStr">
        <is>
          <t>小红书</t>
        </is>
      </c>
      <c r="H217" s="2" t="str">
        <f>=HYPERLINK("https://www.xiaohongshu.com/search_result/果酒哪个牌子好", "https://www.xiaohongshu.com/search_result/果酒哪个牌子好")</f>
        <v>https://www.xiaohongshu.com/search_result/果酒哪个牌子好</v>
      </c>
      <c r="I217" s="3">
        <v>46037</v>
      </c>
      <c r="J217" s="4">
        <v>46243</v>
      </c>
      <c r="K217" t="inlineStr">
        <is>
          <t>果酒哪个牌子好</t>
        </is>
      </c>
      <c r="L217">
        <v>0</v>
      </c>
      <c r="M217" t="inlineStr">
        <is>
          <t>XHS-U0332</t>
        </is>
      </c>
      <c r="N217" t="inlineStr">
        <is>
          <t>公开评论</t>
        </is>
      </c>
      <c r="O217"/>
      <c r="P217" t="inlineStr">
        <is>
          <t>原始:01-15;年份推定·辽宁；当前为搜索结果页链接，正式入库前需补原笔记链接</t>
        </is>
      </c>
      <c r="Q217" t="inlineStr">
        <is>
          <t>目标品牌</t>
        </is>
      </c>
      <c r="R217"/>
      <c r="S217" t="inlineStr">
        <is>
          <t>XHS-SOC-0228_ANALYSIS_BASELINE_formal-attempt-0001_AI</t>
        </is>
      </c>
      <c r="T217" t="inlineStr">
        <is>
          <t>竞品反馈</t>
        </is>
      </c>
      <c r="U217" t="inlineStr">
        <is>
          <t>KEEP</t>
        </is>
      </c>
      <c r="V217" t="inlineStr">
        <is>
          <t>ANALYSIS_BASELINE</t>
        </is>
      </c>
      <c r="W217" t="inlineStr">
        <is>
          <t>可用</t>
        </is>
      </c>
      <c r="X217" t="inlineStr">
        <is>
          <t>品牌语料分析与洞察体系.xlsx#表1：原始语料库!217</t>
        </is>
      </c>
      <c r="Y217" t="inlineStr">
        <is>
          <t>FROZEN_419_V2</t>
        </is>
      </c>
    </row>
    <row r="218" ht="25.5" customHeight="1">
      <c r="A218" t="inlineStr">
        <is>
          <t>XHS-SOC-0255</t>
        </is>
      </c>
      <c r="B218" t="inlineStr">
        <is>
          <t>竞品产品体验反馈</t>
        </is>
      </c>
      <c r="C218" t="inlineStr">
        <is>
          <t>PRJ001</t>
        </is>
      </c>
      <c r="D218" t="inlineStr">
        <is>
          <t>RIO</t>
        </is>
      </c>
      <c r="E218" t="inlineStr">
        <is>
          <t>哪个味道好喝</t>
        </is>
      </c>
      <c r="F218" t="inlineStr">
        <is>
          <t>怎么会有这么好喝的梅子酒-时光梅见｜2025-03-21｜小红书</t>
        </is>
      </c>
      <c r="G218" t="inlineStr">
        <is>
          <t>小红书</t>
        </is>
      </c>
      <c r="H218" s="2" t="str">
        <f>=HYPERLINK("https://www.xiaohongshu.com/search_result/果酒哪个牌子好", "https://www.xiaohongshu.com/search_result/果酒哪个牌子好")</f>
        <v>https://www.xiaohongshu.com/search_result/果酒哪个牌子好</v>
      </c>
      <c r="I218" s="3">
        <v>46013</v>
      </c>
      <c r="J218" s="4">
        <v>46243</v>
      </c>
      <c r="K218" t="inlineStr">
        <is>
          <t>果酒哪个牌子好</t>
        </is>
      </c>
      <c r="L218">
        <v>3</v>
      </c>
      <c r="M218" t="inlineStr">
        <is>
          <t>XHS-U0330</t>
        </is>
      </c>
      <c r="N218" t="inlineStr">
        <is>
          <t>公开评论</t>
        </is>
      </c>
      <c r="O218"/>
      <c r="P218" t="inlineStr">
        <is>
          <t>原始:2025-12-22·浙江；当前为搜索结果页链接，正式入库前需补原笔记链接</t>
        </is>
      </c>
      <c r="Q218" t="inlineStr">
        <is>
          <t>目标品牌</t>
        </is>
      </c>
      <c r="R218"/>
      <c r="S218" t="inlineStr">
        <is>
          <t>XHS-SOC-0255_ANALYSIS_BASELINE_formal-attempt-0001_AI</t>
        </is>
      </c>
      <c r="T218" t="inlineStr">
        <is>
          <t>竞品反馈</t>
        </is>
      </c>
      <c r="U218" t="inlineStr">
        <is>
          <t>KEEP</t>
        </is>
      </c>
      <c r="V218" t="inlineStr">
        <is>
          <t>ANALYSIS_BASELINE</t>
        </is>
      </c>
      <c r="W218" t="inlineStr">
        <is>
          <t>可用</t>
        </is>
      </c>
      <c r="X218" t="inlineStr">
        <is>
          <t>品牌语料分析与洞察体系.xlsx#表1：原始语料库!218</t>
        </is>
      </c>
      <c r="Y218" t="inlineStr">
        <is>
          <t>FROZEN_419_V2</t>
        </is>
      </c>
    </row>
    <row r="219" ht="25.5" customHeight="1">
      <c r="A219" t="inlineStr">
        <is>
          <t>XHS-SOC-0256</t>
        </is>
      </c>
      <c r="B219" t="inlineStr">
        <is>
          <t>竞品产品体验反馈</t>
        </is>
      </c>
      <c r="C219" t="inlineStr">
        <is>
          <t>PRJ001</t>
        </is>
      </c>
      <c r="D219" t="inlineStr">
        <is>
          <t>RIO</t>
        </is>
      </c>
      <c r="E219" t="inlineStr">
        <is>
          <t>好喝死了</t>
        </is>
      </c>
      <c r="F219" t="inlineStr">
        <is>
          <t>怎么会有这么好喝的梅子酒-时光梅见｜2025-03-21｜小红书</t>
        </is>
      </c>
      <c r="G219" t="inlineStr">
        <is>
          <t>小红书</t>
        </is>
      </c>
      <c r="H219" s="2" t="str">
        <f>=HYPERLINK("https://www.xiaohongshu.com/search_result/果酒哪个牌子好", "https://www.xiaohongshu.com/search_result/果酒哪个牌子好")</f>
        <v>https://www.xiaohongshu.com/search_result/果酒哪个牌子好</v>
      </c>
      <c r="I219" s="3">
        <v>45931</v>
      </c>
      <c r="J219" s="4">
        <v>46243</v>
      </c>
      <c r="K219" t="inlineStr">
        <is>
          <t>果酒哪个牌子好</t>
        </is>
      </c>
      <c r="L219">
        <v>9</v>
      </c>
      <c r="M219" t="inlineStr">
        <is>
          <t>XHS-U0323</t>
        </is>
      </c>
      <c r="N219" t="inlineStr">
        <is>
          <t>公开评论</t>
        </is>
      </c>
      <c r="O219"/>
      <c r="P219" t="inlineStr">
        <is>
          <t>原始:2025-10-01·甘肃；当前为搜索结果页链接，正式入库前需补原笔记链接</t>
        </is>
      </c>
      <c r="Q219" t="inlineStr">
        <is>
          <t>目标品牌</t>
        </is>
      </c>
      <c r="R219"/>
      <c r="S219" t="inlineStr">
        <is>
          <t>XHS-SOC-0256_HOLDOUT_formal-attempt-0001_AI</t>
        </is>
      </c>
      <c r="T219" t="inlineStr">
        <is>
          <t>竞品反馈</t>
        </is>
      </c>
      <c r="U219" t="inlineStr">
        <is>
          <t>KEEP</t>
        </is>
      </c>
      <c r="V219" t="inlineStr">
        <is>
          <t>HOLDOUT</t>
        </is>
      </c>
      <c r="W219" t="inlineStr">
        <is>
          <t>可用</t>
        </is>
      </c>
      <c r="X219" t="inlineStr">
        <is>
          <t>品牌语料分析与洞察体系.xlsx#表1：原始语料库!219</t>
        </is>
      </c>
      <c r="Y219" t="inlineStr">
        <is>
          <t>FROZEN_419_V2</t>
        </is>
      </c>
    </row>
    <row r="220" ht="25.5" customHeight="1">
      <c r="A220" t="inlineStr">
        <is>
          <t>JD-20260809-001</t>
        </is>
      </c>
      <c r="B220" t="inlineStr">
        <is>
          <t>竞品产品体验反馈</t>
        </is>
      </c>
      <c r="C220" t="inlineStr">
        <is>
          <t>PRJ001</t>
        </is>
      </c>
      <c r="D220" t="inlineStr">
        <is>
          <t>CHOYA俏雅｜紫苏3年熟本格梅酒700ml</t>
        </is>
      </c>
      <c r="E220" t="inlineStr">
        <is>
          <t>喝过以后再来评论，很适口，酒劲不大，都可以接受，很美好的感觉，推荐品尝，瓶子也很好，可以再利用</t>
        </is>
      </c>
      <c r="F220" t="inlineStr">
        <is>
          <t>品牌：CHOYA俏雅｜商品/规格：紫苏3年熟本格梅酒700ml｜SKU：100015875653</t>
        </is>
      </c>
      <c r="G220" t="inlineStr">
        <is>
          <t>京东</t>
        </is>
      </c>
      <c r="H220" s="2" t="str">
        <f>=HYPERLINK("https://item.jd.com/100015875653.html", "https://item.jd.com/100015875653.html")</f>
        <v>https://item.jd.com/100015875653.html</v>
      </c>
      <c r="I220" s="3">
        <v>46108</v>
      </c>
      <c r="J220" s="4">
        <v>46243</v>
      </c>
      <c r="K220" t="inlineStr">
        <is>
          <t>CHOYA 俏雅 梅酒 商品评价</t>
        </is>
      </c>
      <c r="L220"/>
      <c r="M220" t="inlineStr">
        <is>
          <t>JD-U-20260809-001</t>
        </is>
      </c>
      <c r="N220" t="inlineStr">
        <is>
          <t>公开评论</t>
        </is>
      </c>
      <c r="O220"/>
      <c r="P220" t="inlineStr">
        <is>
          <t>情绪粗标：正面；主题粗标：入口感；酒精感；包装；京东商品评价弹层核验；未记录用户名；评价页未展示评论点赞/有用数，点赞数留空</t>
        </is>
      </c>
      <c r="Q220" t="inlineStr">
        <is>
          <t>竞品</t>
        </is>
      </c>
      <c r="R220"/>
      <c r="S220" t="inlineStr">
        <is>
          <t>JD-20260809-001_ANALYSIS_BASELINE_formal-attempt-0001_AI</t>
        </is>
      </c>
      <c r="T220" t="inlineStr">
        <is>
          <t>竞品反馈</t>
        </is>
      </c>
      <c r="U220" t="inlineStr">
        <is>
          <t>KEEP</t>
        </is>
      </c>
      <c r="V220" t="inlineStr">
        <is>
          <t>ANALYSIS_BASELINE</t>
        </is>
      </c>
      <c r="W220" t="inlineStr">
        <is>
          <t>可用</t>
        </is>
      </c>
      <c r="X220" t="inlineStr">
        <is>
          <t>品牌语料分析与洞察体系.xlsx#表1：原始语料库!220</t>
        </is>
      </c>
      <c r="Y220" t="inlineStr">
        <is>
          <t>FROZEN_419_V2</t>
        </is>
      </c>
    </row>
    <row r="221" ht="25.5" customHeight="1">
      <c r="A221" t="inlineStr">
        <is>
          <t>JD-20260809-002</t>
        </is>
      </c>
      <c r="B221" t="inlineStr">
        <is>
          <t>竞品产品体验反馈</t>
        </is>
      </c>
      <c r="C221" t="inlineStr">
        <is>
          <t>PRJ001</t>
        </is>
      </c>
      <c r="D221" t="inlineStr">
        <is>
          <t>CHOYA俏雅｜紫苏3年熟本格梅酒700ml</t>
        </is>
      </c>
      <c r="E221" t="inlineStr">
        <is>
          <t>加冰后口感更佳，适合配西餐。喝完嘴里留香，喝起来顺滑</t>
        </is>
      </c>
      <c r="F221" t="inlineStr">
        <is>
          <t>品牌：CHOYA俏雅｜商品/规格：紫苏3年熟本格梅酒700ml｜SKU：100015875653</t>
        </is>
      </c>
      <c r="G221" t="inlineStr">
        <is>
          <t>京东</t>
        </is>
      </c>
      <c r="H221" s="2" t="str">
        <f>=HYPERLINK("https://item.jd.com/100015875653.html", "https://item.jd.com/100015875653.html")</f>
        <v>https://item.jd.com/100015875653.html</v>
      </c>
      <c r="I221" s="3">
        <v>46073</v>
      </c>
      <c r="J221" s="4">
        <v>46243</v>
      </c>
      <c r="K221" t="inlineStr">
        <is>
          <t>CHOYA 俏雅 梅酒 商品评价</t>
        </is>
      </c>
      <c r="L221"/>
      <c r="M221" t="inlineStr">
        <is>
          <t>JD-U-20260809-002</t>
        </is>
      </c>
      <c r="N221" t="inlineStr">
        <is>
          <t>公开评论</t>
        </is>
      </c>
      <c r="O221"/>
      <c r="P221" t="inlineStr">
        <is>
          <t>情绪粗标：正面；主题粗标：加冰；搭餐；香气；入口感；京东商品评价弹层核验；未记录用户名；评价页未展示评论点赞/有用数，点赞数留空</t>
        </is>
      </c>
      <c r="Q221" t="inlineStr">
        <is>
          <t>竞品</t>
        </is>
      </c>
      <c r="R221"/>
      <c r="S221" t="inlineStr">
        <is>
          <t>JD-20260809-002_GOLD_人工标注_人工,JD-20260809-002_GOLD_attempt-0002_AI_矫正前,JD-20260809-002_GOLD_attempt-0006_AI_矫正后</t>
        </is>
      </c>
      <c r="T221" t="inlineStr">
        <is>
          <t>竞品反馈</t>
        </is>
      </c>
      <c r="U221" t="inlineStr">
        <is>
          <t>KEEP</t>
        </is>
      </c>
      <c r="V221" t="inlineStr">
        <is>
          <t>GOLD</t>
        </is>
      </c>
      <c r="W221" t="inlineStr">
        <is>
          <t>不可用</t>
        </is>
      </c>
      <c r="X221" t="inlineStr">
        <is>
          <t>原始母表#raw_id=JD-20260809-002</t>
        </is>
      </c>
      <c r="Y221" t="inlineStr">
        <is>
          <t>FROZEN_419_V2</t>
        </is>
      </c>
    </row>
    <row r="222" ht="25.5" customHeight="1">
      <c r="A222" t="inlineStr">
        <is>
          <t>JD-20260809-006</t>
        </is>
      </c>
      <c r="B222" t="inlineStr">
        <is>
          <t>竞品产品体验反馈</t>
        </is>
      </c>
      <c r="C222" t="inlineStr">
        <is>
          <t>PRJ001</t>
        </is>
      </c>
      <c r="D222" t="inlineStr">
        <is>
          <t>CHOYA俏雅｜纪州Kishu本格梅酒720ml礼盒</t>
        </is>
      </c>
      <c r="E222" t="inlineStr">
        <is>
          <t>以前在山姆店买过这款梅酒，口感清爽香甜，印象很深刻，在京东平台上看到日本进口的这款梅酒，立马下单购入两瓶，快过年了，和自己的家人或和朋友们一起品尝，也是很惬意的啦！</t>
        </is>
      </c>
      <c r="F222" t="inlineStr">
        <is>
          <t>品牌：CHOYA俏雅｜商品/规格：纪州Kishu本格梅酒720ml礼盒｜SKU：100049386783</t>
        </is>
      </c>
      <c r="G222" t="inlineStr">
        <is>
          <t>京东</t>
        </is>
      </c>
      <c r="H222" s="2" t="str">
        <f>=HYPERLINK("https://item.jd.com/100049386783.html", "https://item.jd.com/100049386783.html")</f>
        <v>https://item.jd.com/100049386783.html</v>
      </c>
      <c r="I222" s="3">
        <v>46019</v>
      </c>
      <c r="J222" s="4">
        <v>46243</v>
      </c>
      <c r="K222" t="inlineStr">
        <is>
          <t>CHOYA 俏雅 梅酒 商品评价</t>
        </is>
      </c>
      <c r="L222"/>
      <c r="M222" t="inlineStr">
        <is>
          <t>JD-U-20260809-006</t>
        </is>
      </c>
      <c r="N222" t="inlineStr">
        <is>
          <t>公开评论</t>
        </is>
      </c>
      <c r="O222"/>
      <c r="P222" t="inlineStr">
        <is>
          <t>情绪粗标：正面；主题粗标：清爽；甜度；购买渠道；聚饮；京东商品评价弹层核验；未记录用户名；评价页未展示评论点赞/有用数，点赞数留空</t>
        </is>
      </c>
      <c r="Q222" t="inlineStr">
        <is>
          <t>竞品</t>
        </is>
      </c>
      <c r="R222"/>
      <c r="S222" t="inlineStr">
        <is>
          <t>JD-20260809-006_HOLDOUT_formal-attempt-0001_AI</t>
        </is>
      </c>
      <c r="T222" t="inlineStr">
        <is>
          <t>竞品反馈</t>
        </is>
      </c>
      <c r="U222" t="inlineStr">
        <is>
          <t>KEEP</t>
        </is>
      </c>
      <c r="V222" t="inlineStr">
        <is>
          <t>HOLDOUT</t>
        </is>
      </c>
      <c r="W222" t="inlineStr">
        <is>
          <t>可用</t>
        </is>
      </c>
      <c r="X222" t="inlineStr">
        <is>
          <t>品牌语料分析与洞察体系.xlsx#表1：原始语料库!222</t>
        </is>
      </c>
      <c r="Y222" t="inlineStr">
        <is>
          <t>FROZEN_419_V2</t>
        </is>
      </c>
    </row>
    <row r="223" ht="25.5" customHeight="1">
      <c r="A223" t="inlineStr">
        <is>
          <t>JD-20260809-009</t>
        </is>
      </c>
      <c r="B223" t="inlineStr">
        <is>
          <t>竞品产品体验反馈</t>
        </is>
      </c>
      <c r="C223" t="inlineStr">
        <is>
          <t>PRJ001</t>
        </is>
      </c>
      <c r="D223" t="inlineStr">
        <is>
          <t>CHOYA俏雅｜纪州Kishu本格梅酒720ml</t>
        </is>
      </c>
      <c r="E223" t="inlineStr">
        <is>
          <t>这个牌子真的很不错，喝了那么多的梅子酒，就这个口味最舒服了，喝完还不难受</t>
        </is>
      </c>
      <c r="F223" t="inlineStr">
        <is>
          <t>品牌：CHOYA俏雅｜商品/规格：纪州Kishu本格梅酒720ml｜SKU：100049386783</t>
        </is>
      </c>
      <c r="G223" t="inlineStr">
        <is>
          <t>京东</t>
        </is>
      </c>
      <c r="H223" s="2" t="str">
        <f>=HYPERLINK("https://item.jd.com/100049386783.html", "https://item.jd.com/100049386783.html")</f>
        <v>https://item.jd.com/100049386783.html</v>
      </c>
      <c r="I223" s="3">
        <v>46045</v>
      </c>
      <c r="J223" s="4">
        <v>46243</v>
      </c>
      <c r="K223" t="inlineStr">
        <is>
          <t>CHOYA 俏雅 梅酒 商品评价</t>
        </is>
      </c>
      <c r="L223"/>
      <c r="M223" t="inlineStr">
        <is>
          <t>JD-U-20260809-009</t>
        </is>
      </c>
      <c r="N223" t="inlineStr">
        <is>
          <t>公开评论</t>
        </is>
      </c>
      <c r="O223"/>
      <c r="P223" t="inlineStr">
        <is>
          <t>情绪粗标：正面；主题粗标：与其他酒比较；入口感；身体负担；京东商品评价弹层核验；未记录用户名；评价页未展示评论点赞/有用数，点赞数留空</t>
        </is>
      </c>
      <c r="Q223" t="inlineStr">
        <is>
          <t>竞品</t>
        </is>
      </c>
      <c r="R223"/>
      <c r="S223" t="inlineStr">
        <is>
          <t>JD-20260809-009_CHALLENGE_POOL_formal-attempt-0001_AI</t>
        </is>
      </c>
      <c r="T223" t="inlineStr">
        <is>
          <t>竞品反馈</t>
        </is>
      </c>
      <c r="U223" t="inlineStr">
        <is>
          <t>KEEP</t>
        </is>
      </c>
      <c r="V223" t="inlineStr">
        <is>
          <t>CHALLENGE</t>
        </is>
      </c>
      <c r="W223" t="inlineStr">
        <is>
          <t>可用</t>
        </is>
      </c>
      <c r="X223" t="inlineStr">
        <is>
          <t>品牌语料分析与洞察体系.xlsx#表1：原始语料库!223</t>
        </is>
      </c>
      <c r="Y223" t="inlineStr">
        <is>
          <t>FROZEN_419_V2</t>
        </is>
      </c>
    </row>
    <row r="224" ht="25.5" customHeight="1">
      <c r="A224" t="inlineStr">
        <is>
          <t>JD-20260809-010</t>
        </is>
      </c>
      <c r="B224" t="inlineStr">
        <is>
          <t>竞品产品体验反馈</t>
        </is>
      </c>
      <c r="C224" t="inlineStr">
        <is>
          <t>PRJ001</t>
        </is>
      </c>
      <c r="D224" t="inlineStr">
        <is>
          <t>CHOYA俏雅｜黑金本格梅酒14度700mL</t>
        </is>
      </c>
      <c r="E224" t="inlineStr">
        <is>
          <t>最近想买点酒喝喝，搜了搜好像这个牌子的梅酒比较有名。比较了不同的种类，觉得这个度数还挺合适的。对着冰块喝还是不错的，对我来说有一丢丢甜。</t>
        </is>
      </c>
      <c r="F224" t="inlineStr">
        <is>
          <t>品牌：CHOYA俏雅｜商品/规格：黑金本格梅酒14度700mL｜SKU：100049386775</t>
        </is>
      </c>
      <c r="G224" t="inlineStr">
        <is>
          <t>京东</t>
        </is>
      </c>
      <c r="H224" s="2" t="str">
        <f>=HYPERLINK("https://item.jd.com/100049386775.html", "https://item.jd.com/100049386775.html")</f>
        <v>https://item.jd.com/100049386775.html</v>
      </c>
      <c r="I224" s="3">
        <v>46084</v>
      </c>
      <c r="J224" s="4">
        <v>46243</v>
      </c>
      <c r="K224" t="inlineStr">
        <is>
          <t>CHOYA 俏雅 梅酒 商品评价</t>
        </is>
      </c>
      <c r="L224"/>
      <c r="M224" t="inlineStr">
        <is>
          <t>JD-U-20260809-010</t>
        </is>
      </c>
      <c r="N224" t="inlineStr">
        <is>
          <t>公开评论</t>
        </is>
      </c>
      <c r="O224"/>
      <c r="P224" t="inlineStr">
        <is>
          <t>情绪粗标：中性；主题粗标：品牌认知；酒精度；加冰；偏甜；京东商品评价弹层核验；未记录用户名；评价页未展示评论点赞/有用数，点赞数留空</t>
        </is>
      </c>
      <c r="Q224" t="inlineStr">
        <is>
          <t>竞品</t>
        </is>
      </c>
      <c r="R224"/>
      <c r="S224" t="inlineStr">
        <is>
          <t>JD-20260809-010_ANALYSIS_BASELINE_formal-attempt-0001_AI</t>
        </is>
      </c>
      <c r="T224" t="inlineStr">
        <is>
          <t>竞品反馈</t>
        </is>
      </c>
      <c r="U224" t="inlineStr">
        <is>
          <t>KEEP</t>
        </is>
      </c>
      <c r="V224" t="inlineStr">
        <is>
          <t>ANALYSIS_BASELINE</t>
        </is>
      </c>
      <c r="W224" t="inlineStr">
        <is>
          <t>可用</t>
        </is>
      </c>
      <c r="X224" t="inlineStr">
        <is>
          <t>品牌语料分析与洞察体系.xlsx#表1：原始语料库!224</t>
        </is>
      </c>
      <c r="Y224" t="inlineStr">
        <is>
          <t>FROZEN_419_V2</t>
        </is>
      </c>
    </row>
    <row r="225" ht="25.5" customHeight="1">
      <c r="A225" t="inlineStr">
        <is>
          <t>JD-20260809-012</t>
        </is>
      </c>
      <c r="B225" t="inlineStr">
        <is>
          <t>竞品产品体验反馈</t>
        </is>
      </c>
      <c r="C225" t="inlineStr">
        <is>
          <t>PRJ001</t>
        </is>
      </c>
      <c r="D225" t="inlineStr">
        <is>
          <t>CHOYA俏雅｜黑金本格梅酒14度60mL</t>
        </is>
      </c>
      <c r="E225" t="inlineStr">
        <is>
          <t>喝起来口感很顺滑，味道酸甜平衡，酒精度数不高，香气浓郁，回味还想，毕竟不是陈酿，小瓶量比较合适，果香不错，京东快递包装不错，没有磕碰</t>
        </is>
      </c>
      <c r="F225" t="inlineStr">
        <is>
          <t>品牌：CHOYA俏雅｜商品/规格：黑金本格梅酒14度60mL｜SKU：100049386775</t>
        </is>
      </c>
      <c r="G225" t="inlineStr">
        <is>
          <t>京东</t>
        </is>
      </c>
      <c r="H225" s="2" t="str">
        <f>=HYPERLINK("https://item.jd.com/100049386775.html", "https://item.jd.com/100049386775.html")</f>
        <v>https://item.jd.com/100049386775.html</v>
      </c>
      <c r="I225" s="3">
        <v>46043</v>
      </c>
      <c r="J225" s="4">
        <v>46243</v>
      </c>
      <c r="K225" t="inlineStr">
        <is>
          <t>CHOYA 俏雅 梅酒 商品评价</t>
        </is>
      </c>
      <c r="L225"/>
      <c r="M225" t="inlineStr">
        <is>
          <t>JD-U-20260809-012</t>
        </is>
      </c>
      <c r="N225" t="inlineStr">
        <is>
          <t>公开评论</t>
        </is>
      </c>
      <c r="O225"/>
      <c r="P225" t="inlineStr">
        <is>
          <t>情绪粗标：正面；主题粗标：入口感；酸甜度；酒精感；香气；回味；包装；京东商品评价弹层核验；未记录用户名；评价页未展示评论点赞/有用数，点赞数留空</t>
        </is>
      </c>
      <c r="Q225" t="inlineStr">
        <is>
          <t>竞品</t>
        </is>
      </c>
      <c r="R225"/>
      <c r="S225" t="inlineStr">
        <is>
          <t>JD-20260809-012_GOLD_人工标注_人工,JD-20260809-012_GOLD_attempt-0002_AI_矫正前,JD-20260809-012_GOLD_attempt-0006_AI_矫正后</t>
        </is>
      </c>
      <c r="T225" t="inlineStr">
        <is>
          <t>竞品反馈</t>
        </is>
      </c>
      <c r="U225" t="inlineStr">
        <is>
          <t>KEEP</t>
        </is>
      </c>
      <c r="V225" t="inlineStr">
        <is>
          <t>GOLD</t>
        </is>
      </c>
      <c r="W225" t="inlineStr">
        <is>
          <t>不可用</t>
        </is>
      </c>
      <c r="X225" t="inlineStr">
        <is>
          <t>原始母表#raw_id=JD-20260809-012</t>
        </is>
      </c>
      <c r="Y225" t="inlineStr">
        <is>
          <t>FROZEN_419_V2</t>
        </is>
      </c>
    </row>
    <row r="226" ht="25.5" customHeight="1">
      <c r="A226" t="inlineStr">
        <is>
          <t>JD-20260809-013</t>
        </is>
      </c>
      <c r="B226" t="inlineStr">
        <is>
          <t>竞品产品体验反馈</t>
        </is>
      </c>
      <c r="C226" t="inlineStr">
        <is>
          <t>PRJ001</t>
        </is>
      </c>
      <c r="D226" t="inlineStr">
        <is>
          <t>CHOYA俏雅｜黑金本格梅酒14度60mL*5</t>
        </is>
      </c>
      <c r="E226" t="inlineStr">
        <is>
          <t>俏雅的小包装黑金本格梅酒口酒顺滑，甜度控制的刚刚好，酒精度数适中，入口梅子香气浓郁，口感层次丰富，配料表干净，真正的零添加，值得购买。</t>
        </is>
      </c>
      <c r="F226" t="inlineStr">
        <is>
          <t>品牌：CHOYA俏雅｜商品/规格：黑金本格梅酒14度60mL*5｜SKU：100049386775</t>
        </is>
      </c>
      <c r="G226" t="inlineStr">
        <is>
          <t>京东</t>
        </is>
      </c>
      <c r="H226" s="2" t="str">
        <f>=HYPERLINK("https://item.jd.com/100049386775.html", "https://item.jd.com/100049386775.html")</f>
        <v>https://item.jd.com/100049386775.html</v>
      </c>
      <c r="I226" s="3">
        <v>45967</v>
      </c>
      <c r="J226" s="4">
        <v>46243</v>
      </c>
      <c r="K226" t="inlineStr">
        <is>
          <t>CHOYA 俏雅 梅酒 商品评价</t>
        </is>
      </c>
      <c r="L226"/>
      <c r="M226" t="inlineStr">
        <is>
          <t>JD-U-20260809-013</t>
        </is>
      </c>
      <c r="N226" t="inlineStr">
        <is>
          <t>公开评论</t>
        </is>
      </c>
      <c r="O226"/>
      <c r="P226" t="inlineStr">
        <is>
          <t>情绪粗标：正面；主题粗标：入口感；甜度；酒精感；香气；配料；京东商品评价弹层核验；未记录用户名；评价页未展示评论点赞/有用数，点赞数留空</t>
        </is>
      </c>
      <c r="Q226" t="inlineStr">
        <is>
          <t>竞品</t>
        </is>
      </c>
      <c r="R226"/>
      <c r="S226" t="inlineStr">
        <is>
          <t>JD-20260809-013_ANALYSIS_BASELINE_formal-attempt-0001_AI</t>
        </is>
      </c>
      <c r="T226" t="inlineStr">
        <is>
          <t>竞品反馈</t>
        </is>
      </c>
      <c r="U226" t="inlineStr">
        <is>
          <t>KEEP</t>
        </is>
      </c>
      <c r="V226" t="inlineStr">
        <is>
          <t>ANALYSIS_BASELINE</t>
        </is>
      </c>
      <c r="W226" t="inlineStr">
        <is>
          <t>可用</t>
        </is>
      </c>
      <c r="X226" t="inlineStr">
        <is>
          <t>品牌语料分析与洞察体系.xlsx#表1：原始语料库!226</t>
        </is>
      </c>
      <c r="Y226" t="inlineStr">
        <is>
          <t>FROZEN_419_V2</t>
        </is>
      </c>
    </row>
    <row r="227" ht="25.5" customHeight="1">
      <c r="A227" t="inlineStr">
        <is>
          <t>JD-20260809-014</t>
        </is>
      </c>
      <c r="B227" t="inlineStr">
        <is>
          <t>竞品产品体验反馈</t>
        </is>
      </c>
      <c r="C227" t="inlineStr">
        <is>
          <t>PRJ001</t>
        </is>
      </c>
      <c r="D227" t="inlineStr">
        <is>
          <t>CHOYA俏雅｜黑糖本格梅酒15度700ml</t>
        </is>
      </c>
      <c r="E227" t="inlineStr">
        <is>
          <t>偷懒了，喝完很久才来评论！偶尔换一个口味作为餐饮的第一种酒来喝，甜甜的味道，又加了一点冰，很香也很上头，喜欢那种微熏的感觉！</t>
        </is>
      </c>
      <c r="F227" t="inlineStr">
        <is>
          <t>品牌：CHOYA俏雅｜商品/规格：黑糖本格梅酒15度700ml｜SKU：100049386775</t>
        </is>
      </c>
      <c r="G227" t="inlineStr">
        <is>
          <t>京东</t>
        </is>
      </c>
      <c r="H227" s="2" t="str">
        <f>=HYPERLINK("https://item.jd.com/100049386775.html", "https://item.jd.com/100049386775.html")</f>
        <v>https://item.jd.com/100049386775.html</v>
      </c>
      <c r="I227" s="3">
        <v>46047</v>
      </c>
      <c r="J227" s="4">
        <v>46243</v>
      </c>
      <c r="K227" t="inlineStr">
        <is>
          <t>CHOYA 俏雅 梅酒 商品评价</t>
        </is>
      </c>
      <c r="L227"/>
      <c r="M227" t="inlineStr">
        <is>
          <t>JD-U-20260809-014</t>
        </is>
      </c>
      <c r="N227" t="inlineStr">
        <is>
          <t>公开评论</t>
        </is>
      </c>
      <c r="O227"/>
      <c r="P227" t="inlineStr">
        <is>
          <t>情绪粗标：中性；主题粗标：搭餐；甜度；加冰；香气；上头；京东商品评价弹层核验；未记录用户名；评价页未展示评论点赞/有用数，点赞数留空</t>
        </is>
      </c>
      <c r="Q227" t="inlineStr">
        <is>
          <t>竞品</t>
        </is>
      </c>
      <c r="R227"/>
      <c r="S227" t="inlineStr">
        <is>
          <t>JD-20260809-014_CHALLENGE_POOL_formal-attempt-0001_AI</t>
        </is>
      </c>
      <c r="T227" t="inlineStr">
        <is>
          <t>竞品反馈</t>
        </is>
      </c>
      <c r="U227" t="inlineStr">
        <is>
          <t>KEEP</t>
        </is>
      </c>
      <c r="V227" t="inlineStr">
        <is>
          <t>CHALLENGE</t>
        </is>
      </c>
      <c r="W227" t="inlineStr">
        <is>
          <t>可用</t>
        </is>
      </c>
      <c r="X227" t="inlineStr">
        <is>
          <t>品牌语料分析与洞察体系.xlsx#表1：原始语料库!227</t>
        </is>
      </c>
      <c r="Y227" t="inlineStr">
        <is>
          <t>FROZEN_419_V2</t>
        </is>
      </c>
    </row>
    <row r="228" ht="25.5" customHeight="1">
      <c r="A228" t="inlineStr">
        <is>
          <t>JD-20260809-017</t>
        </is>
      </c>
      <c r="B228" t="inlineStr">
        <is>
          <t>竞品产品体验反馈</t>
        </is>
      </c>
      <c r="C228" t="inlineStr">
        <is>
          <t>PRJ001</t>
        </is>
      </c>
      <c r="D228" t="inlineStr">
        <is>
          <t>CHOYA俏雅｜梅子气泡酒4度250ml</t>
        </is>
      </c>
      <c r="E228" t="inlineStr">
        <is>
          <t>一直都很喜欢喝梅子酒，但是一直没买到好喝的，刷到很多推荐俏雅这个牌子的，就打算买来试下，买了两种，气泡酒那个喝了，非常不错，加冰块好好喝！这个梅子酒还没试，里面还有一个梅子。</t>
        </is>
      </c>
      <c r="F228" t="inlineStr">
        <is>
          <t>品牌：CHOYA俏雅｜商品/规格：梅子气泡酒4度250ml｜SKU：100015875649</t>
        </is>
      </c>
      <c r="G228" t="inlineStr">
        <is>
          <t>京东</t>
        </is>
      </c>
      <c r="H228" s="2" t="str">
        <f>=HYPERLINK("https://item.jd.com/100015875649.html", "https://item.jd.com/100015875649.html")</f>
        <v>https://item.jd.com/100015875649.html</v>
      </c>
      <c r="I228" s="3">
        <v>46109</v>
      </c>
      <c r="J228" s="4">
        <v>46243</v>
      </c>
      <c r="K228" t="inlineStr">
        <is>
          <t>CHOYA 俏雅 梅酒 商品评价</t>
        </is>
      </c>
      <c r="L228"/>
      <c r="M228" t="inlineStr">
        <is>
          <t>JD-U-20260809-017</t>
        </is>
      </c>
      <c r="N228" t="inlineStr">
        <is>
          <t>公开评论</t>
        </is>
      </c>
      <c r="O228"/>
      <c r="P228" t="inlineStr">
        <is>
          <t>情绪粗标：正面；主题粗标：购买决策；加冰；与其他酒比较；京东商品评价弹层核验；未记录用户名；评价页未展示评论点赞/有用数，点赞数留空</t>
        </is>
      </c>
      <c r="Q228" t="inlineStr">
        <is>
          <t>竞品</t>
        </is>
      </c>
      <c r="R228"/>
      <c r="S228" t="inlineStr">
        <is>
          <t>JD-20260809-017_HOLDOUT_formal-attempt-0001_AI</t>
        </is>
      </c>
      <c r="T228" t="inlineStr">
        <is>
          <t>竞品反馈</t>
        </is>
      </c>
      <c r="U228" t="inlineStr">
        <is>
          <t>KEEP</t>
        </is>
      </c>
      <c r="V228" t="inlineStr">
        <is>
          <t>HOLDOUT</t>
        </is>
      </c>
      <c r="W228" t="inlineStr">
        <is>
          <t>可用</t>
        </is>
      </c>
      <c r="X228" t="inlineStr">
        <is>
          <t>品牌语料分析与洞察体系.xlsx#表1：原始语料库!228</t>
        </is>
      </c>
      <c r="Y228" t="inlineStr">
        <is>
          <t>FROZEN_419_V2</t>
        </is>
      </c>
    </row>
    <row r="229" ht="25.5" customHeight="1">
      <c r="A229" t="inlineStr">
        <is>
          <t>JD-20260809-018</t>
        </is>
      </c>
      <c r="B229" t="inlineStr">
        <is>
          <t>竞品产品体验反馈</t>
        </is>
      </c>
      <c r="C229" t="inlineStr">
        <is>
          <t>PRJ001</t>
        </is>
      </c>
      <c r="D229" t="inlineStr">
        <is>
          <t>CHOYA俏雅｜冰熟梅限定款6度720ml</t>
        </is>
      </c>
      <c r="E229" t="inlineStr">
        <is>
          <t>🍯甜度刚刚好，加冰后更清爽～🍹
口感细腻，酸甜比例很舒服，不会腻✨
单喝很解渴，配饮料也超搭🥤
酒劲温和，适合轻松小酌😌
整体体验很棒，会回购！👍</t>
        </is>
      </c>
      <c r="F229" t="inlineStr">
        <is>
          <t>品牌：CHOYA俏雅｜商品/规格：冰熟梅限定款6度720ml｜SKU：100015875649</t>
        </is>
      </c>
      <c r="G229" t="inlineStr">
        <is>
          <t>京东</t>
        </is>
      </c>
      <c r="H229" s="2" t="str">
        <f>=HYPERLINK("https://item.jd.com/100015875649.html", "https://item.jd.com/100015875649.html")</f>
        <v>https://item.jd.com/100015875649.html</v>
      </c>
      <c r="I229" s="3">
        <v>46115</v>
      </c>
      <c r="J229" s="4">
        <v>46243</v>
      </c>
      <c r="K229" t="inlineStr">
        <is>
          <t>CHOYA 俏雅 梅酒 商品评价</t>
        </is>
      </c>
      <c r="L229"/>
      <c r="M229" t="inlineStr">
        <is>
          <t>JD-U-20260809-018</t>
        </is>
      </c>
      <c r="N229" t="inlineStr">
        <is>
          <t>公开评论</t>
        </is>
      </c>
      <c r="O229"/>
      <c r="P229" t="inlineStr">
        <is>
          <t>情绪粗标：正面；主题粗标：甜度；酸甜度；加冰；调配；酒精感；回购；京东商品评价弹层核验；未记录用户名；评价页未展示评论点赞/有用数，点赞数留空；疑似模板化表达，仅作为原始语料导入，表2需人工复核</t>
        </is>
      </c>
      <c r="Q229" t="inlineStr">
        <is>
          <t>竞品</t>
        </is>
      </c>
      <c r="R229"/>
      <c r="S229" t="inlineStr">
        <is>
          <t>JD-20260809-018_ANALYSIS_BASELINE_formal-attempt-0001_AI</t>
        </is>
      </c>
      <c r="T229" t="inlineStr">
        <is>
          <t>竞品反馈</t>
        </is>
      </c>
      <c r="U229" t="inlineStr">
        <is>
          <t>KEEP</t>
        </is>
      </c>
      <c r="V229" t="inlineStr">
        <is>
          <t>ANALYSIS_BASELINE</t>
        </is>
      </c>
      <c r="W229" t="inlineStr">
        <is>
          <t>可用</t>
        </is>
      </c>
      <c r="X229" t="inlineStr">
        <is>
          <t>品牌语料分析与洞察体系.xlsx#表1：原始语料库!229</t>
        </is>
      </c>
      <c r="Y229" t="inlineStr">
        <is>
          <t>FROZEN_419_V2</t>
        </is>
      </c>
    </row>
    <row r="230" ht="25.5" customHeight="1">
      <c r="A230" t="inlineStr">
        <is>
          <t>JD-20260809-019</t>
        </is>
      </c>
      <c r="B230" t="inlineStr">
        <is>
          <t>竞品产品体验反馈</t>
        </is>
      </c>
      <c r="C230" t="inlineStr">
        <is>
          <t>PRJ001</t>
        </is>
      </c>
      <c r="D230" t="inlineStr">
        <is>
          <t>CHOYA俏雅｜冰熟梅限定款6度720ml</t>
        </is>
      </c>
      <c r="E230" t="inlineStr">
        <is>
          <t>口感非常好，可以配一点冰块</t>
        </is>
      </c>
      <c r="F230" t="inlineStr">
        <is>
          <t>品牌：CHOYA俏雅｜商品/规格：冰熟梅限定款6度720ml｜SKU：100015875649</t>
        </is>
      </c>
      <c r="G230" t="inlineStr">
        <is>
          <t>京东</t>
        </is>
      </c>
      <c r="H230" s="2" t="str">
        <f>=HYPERLINK("https://item.jd.com/100015875649.html", "https://item.jd.com/100015875649.html")</f>
        <v>https://item.jd.com/100015875649.html</v>
      </c>
      <c r="I230" s="3">
        <v>46108</v>
      </c>
      <c r="J230" s="4">
        <v>46243</v>
      </c>
      <c r="K230" t="inlineStr">
        <is>
          <t>CHOYA 俏雅 梅酒 商品评价</t>
        </is>
      </c>
      <c r="L230"/>
      <c r="M230" t="inlineStr">
        <is>
          <t>JD-U-20260809-019</t>
        </is>
      </c>
      <c r="N230" t="inlineStr">
        <is>
          <t>公开评论</t>
        </is>
      </c>
      <c r="O230"/>
      <c r="P230" t="inlineStr">
        <is>
          <t>情绪粗标：正面；主题粗标：入口感；加冰；京东商品评价弹层核验；未记录用户名；评价页未展示评论点赞/有用数，点赞数留空</t>
        </is>
      </c>
      <c r="Q230" t="inlineStr">
        <is>
          <t>竞品</t>
        </is>
      </c>
      <c r="R230"/>
      <c r="S230" t="inlineStr">
        <is>
          <t>JD-20260809-019_ANALYSIS_BASELINE_formal-attempt-0001_AI</t>
        </is>
      </c>
      <c r="T230" t="inlineStr">
        <is>
          <t>竞品反馈</t>
        </is>
      </c>
      <c r="U230" t="inlineStr">
        <is>
          <t>KEEP</t>
        </is>
      </c>
      <c r="V230" t="inlineStr">
        <is>
          <t>ANALYSIS_BASELINE</t>
        </is>
      </c>
      <c r="W230" t="inlineStr">
        <is>
          <t>可用</t>
        </is>
      </c>
      <c r="X230" t="inlineStr">
        <is>
          <t>品牌语料分析与洞察体系.xlsx#表1：原始语料库!230</t>
        </is>
      </c>
      <c r="Y230" t="inlineStr">
        <is>
          <t>FROZEN_419_V2</t>
        </is>
      </c>
    </row>
    <row r="231" ht="25.5" customHeight="1">
      <c r="A231" t="inlineStr">
        <is>
          <t>JD-20260809-020</t>
        </is>
      </c>
      <c r="B231" t="inlineStr">
        <is>
          <t>竞品产品体验反馈</t>
        </is>
      </c>
      <c r="C231" t="inlineStr">
        <is>
          <t>PRJ001</t>
        </is>
      </c>
      <c r="D231" t="inlineStr">
        <is>
          <t>RIO锐澳｜共6罐 百香果风味*5罐+赠饮料1罐</t>
        </is>
      </c>
      <c r="E231" t="inlineStr">
        <is>
          <t>这款鸡尾酒酒精浓度适中，微醺感刚好，果香浓郁，喝起来很清爽，多种口味选择满足不同喜好，冰镇后口感更佳，值得推荐，尤其适合想喝酒又喝不了酒的人，酒精度低。</t>
        </is>
      </c>
      <c r="F231" t="inlineStr">
        <is>
          <t>品牌：RIO锐澳｜商品/规格：共6罐 百香果风味*5罐+赠饮料1罐｜SKU：10109256829732</t>
        </is>
      </c>
      <c r="G231" t="inlineStr">
        <is>
          <t>京东</t>
        </is>
      </c>
      <c r="H231" s="2" t="str">
        <f>=HYPERLINK("https://item.jd.com/10109256829732.html", "https://item.jd.com/10109256829732.html")</f>
        <v>https://item.jd.com/10109256829732.html</v>
      </c>
      <c r="I231" s="3">
        <v>45882</v>
      </c>
      <c r="J231" s="4">
        <v>46243</v>
      </c>
      <c r="K231" t="inlineStr">
        <is>
          <t>RIO 锐澳 鸡尾酒 商品评价</t>
        </is>
      </c>
      <c r="L231"/>
      <c r="M231" t="inlineStr">
        <is>
          <t>JD-U-20260809-020</t>
        </is>
      </c>
      <c r="N231" t="inlineStr">
        <is>
          <t>公开评论</t>
        </is>
      </c>
      <c r="O231"/>
      <c r="P231" t="inlineStr">
        <is>
          <t>情绪粗标：正面；主题粗标：酒精感；果香；清爽；冰镇；京东商品评价弹层核验；未记录用户名；评价页未展示评论点赞/有用数，点赞数留空</t>
        </is>
      </c>
      <c r="Q231" t="inlineStr">
        <is>
          <t>竞品</t>
        </is>
      </c>
      <c r="R231"/>
      <c r="S231" t="inlineStr">
        <is>
          <t>JD-20260809-020_ANALYSIS_BASELINE_formal-attempt-0001_AI</t>
        </is>
      </c>
      <c r="T231" t="inlineStr">
        <is>
          <t>竞品反馈</t>
        </is>
      </c>
      <c r="U231" t="inlineStr">
        <is>
          <t>KEEP</t>
        </is>
      </c>
      <c r="V231" t="inlineStr">
        <is>
          <t>ANALYSIS_BASELINE</t>
        </is>
      </c>
      <c r="W231" t="inlineStr">
        <is>
          <t>可用</t>
        </is>
      </c>
      <c r="X231" t="inlineStr">
        <is>
          <t>品牌语料分析与洞察体系.xlsx#表1：原始语料库!231</t>
        </is>
      </c>
      <c r="Y231" t="inlineStr">
        <is>
          <t>FROZEN_419_V2</t>
        </is>
      </c>
    </row>
    <row r="232" ht="25.5" customHeight="1">
      <c r="A232" t="inlineStr">
        <is>
          <t>JD-20260809-022</t>
        </is>
      </c>
      <c r="B232" t="inlineStr">
        <is>
          <t>竞品产品体验反馈</t>
        </is>
      </c>
      <c r="C232" t="inlineStr">
        <is>
          <t>PRJ001</t>
        </is>
      </c>
      <c r="D232" t="inlineStr">
        <is>
          <t>RIO锐澳｜共6罐 百香果风味*5罐+赠饮料1罐</t>
        </is>
      </c>
      <c r="E232" t="inlineStr">
        <is>
          <t>百香果味道的rio口感顺滑，香味浓郁，甜度适中，不会太腻。包装设计也很不错，方便携带，特别适合户外活动或者小憩时饮用。整体来说，是一款值得推荐的好喝饮品！</t>
        </is>
      </c>
      <c r="F232" t="inlineStr">
        <is>
          <t>品牌：RIO锐澳｜商品/规格：共6罐 百香果风味*5罐+赠饮料1罐｜SKU：10109256829732</t>
        </is>
      </c>
      <c r="G232" t="inlineStr">
        <is>
          <t>京东</t>
        </is>
      </c>
      <c r="H232" s="2" t="str">
        <f>=HYPERLINK("https://item.jd.com/10109256829732.html", "https://item.jd.com/10109256829732.html")</f>
        <v>https://item.jd.com/10109256829732.html</v>
      </c>
      <c r="I232" s="3">
        <v>45885</v>
      </c>
      <c r="J232" s="4">
        <v>46243</v>
      </c>
      <c r="K232" t="inlineStr">
        <is>
          <t>RIO 锐澳 鸡尾酒 商品评价</t>
        </is>
      </c>
      <c r="L232"/>
      <c r="M232" t="inlineStr">
        <is>
          <t>JD-U-20260809-022</t>
        </is>
      </c>
      <c r="N232" t="inlineStr">
        <is>
          <t>公开评论</t>
        </is>
      </c>
      <c r="O232"/>
      <c r="P232" t="inlineStr">
        <is>
          <t>情绪粗标：正面；主题粗标：入口感；香气；甜度；包装；便携；京东商品评价弹层核验；未记录用户名；评价页未展示评论点赞/有用数，点赞数留空</t>
        </is>
      </c>
      <c r="Q232" t="inlineStr">
        <is>
          <t>竞品</t>
        </is>
      </c>
      <c r="R232"/>
      <c r="S232" t="inlineStr">
        <is>
          <t>JD-20260809-022_ANALYSIS_BASELINE_formal-attempt-0001_AI</t>
        </is>
      </c>
      <c r="T232" t="inlineStr">
        <is>
          <t>竞品反馈</t>
        </is>
      </c>
      <c r="U232" t="inlineStr">
        <is>
          <t>KEEP</t>
        </is>
      </c>
      <c r="V232" t="inlineStr">
        <is>
          <t>ANALYSIS_BASELINE</t>
        </is>
      </c>
      <c r="W232" t="inlineStr">
        <is>
          <t>可用</t>
        </is>
      </c>
      <c r="X232" t="inlineStr">
        <is>
          <t>品牌语料分析与洞察体系.xlsx#表1：原始语料库!232</t>
        </is>
      </c>
      <c r="Y232" t="inlineStr">
        <is>
          <t>FROZEN_419_V2</t>
        </is>
      </c>
    </row>
    <row r="233" ht="25.5" customHeight="1">
      <c r="A233" t="inlineStr">
        <is>
          <t>JD-20260809-023</t>
        </is>
      </c>
      <c r="B233" t="inlineStr">
        <is>
          <t>竞品产品体验反馈</t>
        </is>
      </c>
      <c r="C233" t="inlineStr">
        <is>
          <t>PRJ001</t>
        </is>
      </c>
      <c r="D233" t="inlineStr">
        <is>
          <t>RIO锐澳｜【人气组合】夏日5罐装+饮料1罐</t>
        </is>
      </c>
      <c r="E233" t="inlineStr">
        <is>
          <t>色泽诱人，果香与基酒完美融合，入口顺滑，层次丰富，回味悠长，一杯恰到好处的微醺艺术。</t>
        </is>
      </c>
      <c r="F233" t="inlineStr">
        <is>
          <t>品牌：RIO锐澳｜商品/规格：【人气组合】夏日5罐装+饮料1罐｜SKU：10109256829732</t>
        </is>
      </c>
      <c r="G233" t="inlineStr">
        <is>
          <t>京东</t>
        </is>
      </c>
      <c r="H233" s="2" t="str">
        <f>=HYPERLINK("https://item.jd.com/10109256829732.html", "https://item.jd.com/10109256829732.html")</f>
        <v>https://item.jd.com/10109256829732.html</v>
      </c>
      <c r="I233" s="3">
        <v>45926</v>
      </c>
      <c r="J233" s="4">
        <v>46243</v>
      </c>
      <c r="K233" t="inlineStr">
        <is>
          <t>RIO 锐澳 鸡尾酒 商品评价</t>
        </is>
      </c>
      <c r="L233"/>
      <c r="M233" t="inlineStr">
        <is>
          <t>JD-U-20260809-023</t>
        </is>
      </c>
      <c r="N233" t="inlineStr">
        <is>
          <t>公开评论</t>
        </is>
      </c>
      <c r="O233"/>
      <c r="P233" t="inlineStr">
        <is>
          <t>情绪粗标：正面；主题粗标：果香；入口感；层次；回味；京东商品评价弹层核验；未记录用户名；评价页未展示评论点赞/有用数，点赞数留空</t>
        </is>
      </c>
      <c r="Q233" t="inlineStr">
        <is>
          <t>竞品</t>
        </is>
      </c>
      <c r="R233"/>
      <c r="S233" t="inlineStr">
        <is>
          <t>JD-20260809-023_ANALYSIS_BASELINE_formal-attempt-0001_AI</t>
        </is>
      </c>
      <c r="T233" t="inlineStr">
        <is>
          <t>竞品反馈</t>
        </is>
      </c>
      <c r="U233" t="inlineStr">
        <is>
          <t>KEEP</t>
        </is>
      </c>
      <c r="V233" t="inlineStr">
        <is>
          <t>ANALYSIS_BASELINE</t>
        </is>
      </c>
      <c r="W233" t="inlineStr">
        <is>
          <t>可用</t>
        </is>
      </c>
      <c r="X233" t="inlineStr">
        <is>
          <t>品牌语料分析与洞察体系.xlsx#表1：原始语料库!233</t>
        </is>
      </c>
      <c r="Y233" t="inlineStr">
        <is>
          <t>FROZEN_419_V2</t>
        </is>
      </c>
    </row>
    <row r="234" ht="25.5" customHeight="1">
      <c r="A234" t="inlineStr">
        <is>
          <t>JD-20260809-025</t>
        </is>
      </c>
      <c r="B234" t="inlineStr">
        <is>
          <t>竞品产品体验反馈</t>
        </is>
      </c>
      <c r="C234" t="inlineStr">
        <is>
          <t>PRJ001</t>
        </is>
      </c>
      <c r="D234" t="inlineStr">
        <is>
          <t>RIO锐澳｜【人气组合】夏日5罐装+饮料1罐</t>
        </is>
      </c>
      <c r="E234" t="inlineStr">
        <is>
          <t>这款微醺不错，适合有几个小菜，喝一杯！！</t>
        </is>
      </c>
      <c r="F234" t="inlineStr">
        <is>
          <t>品牌：RIO锐澳｜商品/规格：【人气组合】夏日5罐装+饮料1罐｜SKU：10109256829732</t>
        </is>
      </c>
      <c r="G234" t="inlineStr">
        <is>
          <t>京东</t>
        </is>
      </c>
      <c r="H234" s="2" t="str">
        <f>=HYPERLINK("https://item.jd.com/10109256829732.html", "https://item.jd.com/10109256829732.html")</f>
        <v>https://item.jd.com/10109256829732.html</v>
      </c>
      <c r="I234" s="3">
        <v>45920</v>
      </c>
      <c r="J234" s="4">
        <v>46243</v>
      </c>
      <c r="K234" t="inlineStr">
        <is>
          <t>RIO 锐澳 鸡尾酒 商品评价</t>
        </is>
      </c>
      <c r="L234"/>
      <c r="M234" t="inlineStr">
        <is>
          <t>JD-U-20260809-025</t>
        </is>
      </c>
      <c r="N234" t="inlineStr">
        <is>
          <t>公开评论</t>
        </is>
      </c>
      <c r="O234"/>
      <c r="P234" t="inlineStr">
        <is>
          <t>情绪粗标：正面；主题粗标：搭餐；微醺；京东商品评价弹层核验；未记录用户名；评价页未展示评论点赞/有用数，点赞数留空</t>
        </is>
      </c>
      <c r="Q234" t="inlineStr">
        <is>
          <t>竞品</t>
        </is>
      </c>
      <c r="R234"/>
      <c r="S234" t="inlineStr">
        <is>
          <t>JD-20260809-025_CHALLENGE_POOL_formal-attempt-0001_AI</t>
        </is>
      </c>
      <c r="T234" t="inlineStr">
        <is>
          <t>竞品反馈</t>
        </is>
      </c>
      <c r="U234" t="inlineStr">
        <is>
          <t>KEEP</t>
        </is>
      </c>
      <c r="V234" t="inlineStr">
        <is>
          <t>CHALLENGE</t>
        </is>
      </c>
      <c r="W234" t="inlineStr">
        <is>
          <t>可用</t>
        </is>
      </c>
      <c r="X234" t="inlineStr">
        <is>
          <t>品牌语料分析与洞察体系.xlsx#表1：原始语料库!234</t>
        </is>
      </c>
      <c r="Y234" t="inlineStr">
        <is>
          <t>FROZEN_419_V2</t>
        </is>
      </c>
    </row>
    <row r="235" ht="25.5" customHeight="1">
      <c r="A235" t="inlineStr">
        <is>
          <t>JD-20260809-026</t>
        </is>
      </c>
      <c r="B235" t="inlineStr">
        <is>
          <t>竞品产品体验反馈</t>
        </is>
      </c>
      <c r="C235" t="inlineStr">
        <is>
          <t>PRJ001</t>
        </is>
      </c>
      <c r="D235" t="inlineStr">
        <is>
          <t>RIO锐澳｜【人气组合】夏日5罐装+饮料1罐</t>
        </is>
      </c>
      <c r="E235" t="inlineStr">
        <is>
          <t>酒精度数不高，适合大众</t>
        </is>
      </c>
      <c r="F235" t="inlineStr">
        <is>
          <t>品牌：RIO锐澳｜商品/规格：【人气组合】夏日5罐装+饮料1罐｜SKU：10109256829732</t>
        </is>
      </c>
      <c r="G235" t="inlineStr">
        <is>
          <t>京东</t>
        </is>
      </c>
      <c r="H235" s="2" t="str">
        <f>=HYPERLINK("https://item.jd.com/10109256829732.html", "https://item.jd.com/10109256829732.html")</f>
        <v>https://item.jd.com/10109256829732.html</v>
      </c>
      <c r="I235" s="3">
        <v>45960</v>
      </c>
      <c r="J235" s="4">
        <v>46243</v>
      </c>
      <c r="K235" t="inlineStr">
        <is>
          <t>RIO 锐澳 鸡尾酒 商品评价</t>
        </is>
      </c>
      <c r="L235"/>
      <c r="M235" t="inlineStr">
        <is>
          <t>JD-U-20260809-026</t>
        </is>
      </c>
      <c r="N235" t="inlineStr">
        <is>
          <t>公开评论</t>
        </is>
      </c>
      <c r="O235"/>
      <c r="P235" t="inlineStr">
        <is>
          <t>情绪粗标：中性；主题粗标：酒精感；适饮人群；京东商品评价弹层核验；未记录用户名；评价页未展示评论点赞/有用数，点赞数留空</t>
        </is>
      </c>
      <c r="Q235" t="inlineStr">
        <is>
          <t>竞品</t>
        </is>
      </c>
      <c r="R235"/>
      <c r="S235" t="inlineStr">
        <is>
          <t>JD-20260809-026_GOLD_人工标注_人工,JD-20260809-026_GOLD_attempt-0002_AI_矫正前,JD-20260809-026_GOLD_attempt-0006_AI_矫正后</t>
        </is>
      </c>
      <c r="T235" t="inlineStr">
        <is>
          <t>竞品反馈</t>
        </is>
      </c>
      <c r="U235" t="inlineStr">
        <is>
          <t>KEEP</t>
        </is>
      </c>
      <c r="V235" t="inlineStr">
        <is>
          <t>GOLD</t>
        </is>
      </c>
      <c r="W235" t="inlineStr">
        <is>
          <t>不可用</t>
        </is>
      </c>
      <c r="X235" t="inlineStr">
        <is>
          <t>原始母表#raw_id=JD-20260809-026</t>
        </is>
      </c>
      <c r="Y235" t="inlineStr">
        <is>
          <t>FROZEN_419_V2</t>
        </is>
      </c>
    </row>
    <row r="236" ht="25.5" customHeight="1">
      <c r="A236" t="inlineStr">
        <is>
          <t>JD-RAW-0027</t>
        </is>
      </c>
      <c r="B236" t="inlineStr">
        <is>
          <t>竞品产品体验反馈</t>
        </is>
      </c>
      <c r="C236" t="inlineStr">
        <is>
          <t>PRJ001</t>
        </is>
      </c>
      <c r="D236" t="inlineStr">
        <is>
          <t>RIO锐澳</t>
        </is>
      </c>
      <c r="E236" t="inlineStr">
        <is>
          <t>这款RIO微醺白桃白兰地风味，3度微醺清甜不烈，白桃果香清新自然，入口顺滑，颜值粉嫩讨喜，很适合女生小酌放松。下班回家喝一瓶，很爽，很惬意</t>
        </is>
      </c>
      <c r="F236" t="inlineStr">
        <is>
          <t>商品：微醺268ml*6罐随机口味；SKU：10112125621688</t>
        </is>
      </c>
      <c r="G236" t="inlineStr">
        <is>
          <t>京东</t>
        </is>
      </c>
      <c r="H236" s="2" t="str">
        <f>=HYPERLINK("https://item.jd.com/10112125621688.html", "https://item.jd.com/10112125621688.html")</f>
        <v>https://item.jd.com/10112125621688.html</v>
      </c>
      <c r="I236" s="3">
        <v>46150</v>
      </c>
      <c r="J236" s="4">
        <v>46243</v>
      </c>
      <c r="K236" t="inlineStr">
        <is>
          <t>青梅酒 竞品 口感 对比</t>
        </is>
      </c>
      <c r="L236"/>
      <c r="M236" t="inlineStr">
        <is>
          <t>MJ-JD-U-004</t>
        </is>
      </c>
      <c r="N236" t="inlineStr">
        <is>
          <t>公开评论</t>
        </is>
      </c>
      <c r="O236"/>
      <c r="P236" t="inlineStr">
        <is>
          <t>与JD-20260809-027原始内容完全重复</t>
        </is>
      </c>
      <c r="Q236" t="inlineStr">
        <is>
          <t>竞品</t>
        </is>
      </c>
      <c r="R236"/>
      <c r="S236" t="inlineStr">
        <is>
          <t>JD-RAW-0027_HOLDOUT_formal-attempt-0001_AI</t>
        </is>
      </c>
      <c r="T236" t="inlineStr">
        <is>
          <t>竞品反馈</t>
        </is>
      </c>
      <c r="U236" t="inlineStr">
        <is>
          <t>EXCLUDE</t>
        </is>
      </c>
      <c r="V236" t="inlineStr">
        <is>
          <t>EXCLUDE</t>
        </is>
      </c>
      <c r="W236" t="inlineStr">
        <is>
          <t>可用</t>
        </is>
      </c>
      <c r="X236" t="inlineStr">
        <is>
          <t>品牌语料分析与洞察体系.xlsx#表1：原始语料库!236</t>
        </is>
      </c>
      <c r="Y236" t="inlineStr">
        <is>
          <t>FROZEN_419_V2</t>
        </is>
      </c>
    </row>
    <row r="237" ht="25.5" customHeight="1">
      <c r="A237" t="inlineStr">
        <is>
          <t>JD-20260809-028</t>
        </is>
      </c>
      <c r="B237" t="inlineStr">
        <is>
          <t>竞品产品体验反馈</t>
        </is>
      </c>
      <c r="C237" t="inlineStr">
        <is>
          <t>PRJ001</t>
        </is>
      </c>
      <c r="D237" t="inlineStr">
        <is>
          <t>RIO锐澳｜微醺330ml*8罐 单葡萄口味</t>
        </is>
      </c>
      <c r="E237" t="inlineStr">
        <is>
          <t>这款饮品口感醇厚顺口，甜度恰到好处不腻口，果香浓郁自然。冰镇后饮用口感更佳，清爽解乏，聚餐日常喝都合适，分量足性价比高，全家都很喜欢。</t>
        </is>
      </c>
      <c r="F237" t="inlineStr">
        <is>
          <t>品牌：RIO锐澳｜商品/规格：微醺330ml*8罐 单葡萄口味｜SKU：10112125621688</t>
        </is>
      </c>
      <c r="G237" t="inlineStr">
        <is>
          <t>京东</t>
        </is>
      </c>
      <c r="H237" s="2" t="str">
        <f>=HYPERLINK("https://item.jd.com/10112125621688.html", "https://item.jd.com/10112125621688.html")</f>
        <v>https://item.jd.com/10112125621688.html</v>
      </c>
      <c r="I237" s="3">
        <v>46168</v>
      </c>
      <c r="J237" s="4">
        <v>46243</v>
      </c>
      <c r="K237" t="inlineStr">
        <is>
          <t>RIO 锐澳 鸡尾酒 商品评价</t>
        </is>
      </c>
      <c r="L237"/>
      <c r="M237" t="inlineStr">
        <is>
          <t>JD-U-20260809-028</t>
        </is>
      </c>
      <c r="N237" t="inlineStr">
        <is>
          <t>公开评论</t>
        </is>
      </c>
      <c r="O237"/>
      <c r="P237" t="inlineStr">
        <is>
          <t>情绪粗标：正面；主题粗标：入口感；甜度；果香；冰镇；性价比；京东商品评价弹层核验；已排除商家回复与用户名；评价页未展示评论点赞/有用数，点赞数留空</t>
        </is>
      </c>
      <c r="Q237" t="inlineStr">
        <is>
          <t>竞品</t>
        </is>
      </c>
      <c r="R237"/>
      <c r="S237" t="inlineStr">
        <is>
          <t>JD-20260809-028_ANALYSIS_BASELINE_formal-attempt-0001_AI</t>
        </is>
      </c>
      <c r="T237" t="inlineStr">
        <is>
          <t>竞品反馈</t>
        </is>
      </c>
      <c r="U237" t="inlineStr">
        <is>
          <t>KEEP</t>
        </is>
      </c>
      <c r="V237" t="inlineStr">
        <is>
          <t>ANALYSIS_BASELINE</t>
        </is>
      </c>
      <c r="W237" t="inlineStr">
        <is>
          <t>可用</t>
        </is>
      </c>
      <c r="X237" t="inlineStr">
        <is>
          <t>品牌语料分析与洞察体系.xlsx#表1：原始语料库!237</t>
        </is>
      </c>
      <c r="Y237" t="inlineStr">
        <is>
          <t>FROZEN_419_V2</t>
        </is>
      </c>
    </row>
    <row r="238" ht="25.5" customHeight="1">
      <c r="A238" t="inlineStr">
        <is>
          <t>JD-20260809-030</t>
        </is>
      </c>
      <c r="B238" t="inlineStr">
        <is>
          <t>竞品产品体验反馈</t>
        </is>
      </c>
      <c r="C238" t="inlineStr">
        <is>
          <t>PRJ001</t>
        </is>
      </c>
      <c r="D238" t="inlineStr">
        <is>
          <t>RIO锐澳｜微醺随机口味8罐</t>
        </is>
      </c>
      <c r="E238" t="inlineStr">
        <is>
          <t>八种口味可选，喝了几瓶。目前喜欢荔枝和草莓，低度小甜果酒口感很好，对于我这种不能沾酒的人来说，这个酒精度很适合，喝完全身暖暖的。希望能够再出新口味。</t>
        </is>
      </c>
      <c r="F238" t="inlineStr">
        <is>
          <t>品牌：RIO锐澳｜商品/规格：微醺随机口味8罐｜SKU：10112125621688</t>
        </is>
      </c>
      <c r="G238" t="inlineStr">
        <is>
          <t>京东</t>
        </is>
      </c>
      <c r="H238" s="2" t="str">
        <f>=HYPERLINK("https://item.jd.com/10112125621688.html", "https://item.jd.com/10112125621688.html")</f>
        <v>https://item.jd.com/10112125621688.html</v>
      </c>
      <c r="I238" s="3">
        <v>46092</v>
      </c>
      <c r="J238" s="4">
        <v>46243</v>
      </c>
      <c r="K238" t="inlineStr">
        <is>
          <t>RIO 锐澳 鸡尾酒 商品评价</t>
        </is>
      </c>
      <c r="L238"/>
      <c r="M238" t="inlineStr">
        <is>
          <t>JD-U-20260809-030</t>
        </is>
      </c>
      <c r="N238" t="inlineStr">
        <is>
          <t>公开评论</t>
        </is>
      </c>
      <c r="O238"/>
      <c r="P238" t="inlineStr">
        <is>
          <t>情绪粗标：正面；主题粗标：多口味；甜度；酒精感；身体感受；京东商品评价弹层核验；已排除商家回复与用户名；评价页未展示评论点赞/有用数，点赞数留空</t>
        </is>
      </c>
      <c r="Q238" t="inlineStr">
        <is>
          <t>竞品</t>
        </is>
      </c>
      <c r="R238"/>
      <c r="S238" t="inlineStr">
        <is>
          <t>JD-20260809-030_CHALLENGE_POOL_formal-attempt-0001_AI</t>
        </is>
      </c>
      <c r="T238" t="inlineStr">
        <is>
          <t>竞品反馈</t>
        </is>
      </c>
      <c r="U238" t="inlineStr">
        <is>
          <t>KEEP</t>
        </is>
      </c>
      <c r="V238" t="inlineStr">
        <is>
          <t>CHALLENGE</t>
        </is>
      </c>
      <c r="W238" t="inlineStr">
        <is>
          <t>可用</t>
        </is>
      </c>
      <c r="X238" t="inlineStr">
        <is>
          <t>品牌语料分析与洞察体系.xlsx#表1：原始语料库!238</t>
        </is>
      </c>
      <c r="Y238" t="inlineStr">
        <is>
          <t>FROZEN_419_V2</t>
        </is>
      </c>
    </row>
    <row r="239" ht="25.5" customHeight="1">
      <c r="A239" t="inlineStr">
        <is>
          <t>JD-20260809-031</t>
        </is>
      </c>
      <c r="B239" t="inlineStr">
        <is>
          <t>竞品产品体验反馈</t>
        </is>
      </c>
      <c r="C239" t="inlineStr">
        <is>
          <t>PRJ001</t>
        </is>
      </c>
      <c r="D239" t="inlineStr">
        <is>
          <t>RIO锐澳｜微醺随机口味8罐</t>
        </is>
      </c>
      <c r="E239" t="inlineStr">
        <is>
          <t>冰镇后口感更佳，酸甜平衡恰到好处，果香浓郁不腻，搭配轻食很合适。气泡细腻，微醺感明显，适合朋友小聚或独自放松时饮用。包装完好，物流迅速，整体体验满意。</t>
        </is>
      </c>
      <c r="F239" t="inlineStr">
        <is>
          <t>品牌：RIO锐澳｜商品/规格：微醺随机口味8罐｜SKU：10112125621688</t>
        </is>
      </c>
      <c r="G239" t="inlineStr">
        <is>
          <t>京东</t>
        </is>
      </c>
      <c r="H239" s="2" t="str">
        <f>=HYPERLINK("https://item.jd.com/10112125621688.html", "https://item.jd.com/10112125621688.html")</f>
        <v>https://item.jd.com/10112125621688.html</v>
      </c>
      <c r="I239" s="3">
        <v>46063</v>
      </c>
      <c r="J239" s="4">
        <v>46243</v>
      </c>
      <c r="K239" t="inlineStr">
        <is>
          <t>RIO 锐澳 鸡尾酒 商品评价</t>
        </is>
      </c>
      <c r="L239"/>
      <c r="M239" t="inlineStr">
        <is>
          <t>JD-U-20260809-031</t>
        </is>
      </c>
      <c r="N239" t="inlineStr">
        <is>
          <t>公开评论</t>
        </is>
      </c>
      <c r="O239"/>
      <c r="P239" t="inlineStr">
        <is>
          <t>情绪粗标：正面；主题粗标：冰镇；酸甜度；果香；搭餐；气泡；微醺；包装；京东商品评价弹层核验；已排除商家回复与用户名；评价页未展示评论点赞/有用数，点赞数留空</t>
        </is>
      </c>
      <c r="Q239" t="inlineStr">
        <is>
          <t>竞品</t>
        </is>
      </c>
      <c r="R239"/>
      <c r="S239" t="inlineStr">
        <is>
          <t>JD-20260809-031_ANALYSIS_BASELINE_formal-attempt-0001_AI</t>
        </is>
      </c>
      <c r="T239" t="inlineStr">
        <is>
          <t>竞品反馈</t>
        </is>
      </c>
      <c r="U239" t="inlineStr">
        <is>
          <t>KEEP</t>
        </is>
      </c>
      <c r="V239" t="inlineStr">
        <is>
          <t>ANALYSIS_BASELINE</t>
        </is>
      </c>
      <c r="W239" t="inlineStr">
        <is>
          <t>可用</t>
        </is>
      </c>
      <c r="X239" t="inlineStr">
        <is>
          <t>品牌语料分析与洞察体系.xlsx#表1：原始语料库!239</t>
        </is>
      </c>
      <c r="Y239" t="inlineStr">
        <is>
          <t>FROZEN_419_V2</t>
        </is>
      </c>
    </row>
    <row r="240" ht="25.5" customHeight="1">
      <c r="A240" t="inlineStr">
        <is>
          <t>JD-20260809-034</t>
        </is>
      </c>
      <c r="B240" t="inlineStr">
        <is>
          <t>竞品产品体验反馈</t>
        </is>
      </c>
      <c r="C240" t="inlineStr">
        <is>
          <t>PRJ001</t>
        </is>
      </c>
      <c r="D240" t="inlineStr">
        <is>
          <t>RIO锐澳｜微醺330ml*8罐 单白桃口味</t>
        </is>
      </c>
      <c r="E240" t="inlineStr">
        <is>
          <t>口味不对，太甜了。甜得有点过分了！</t>
        </is>
      </c>
      <c r="F240" t="inlineStr">
        <is>
          <t>品牌：RIO锐澳｜商品/规格：微醺330ml*8罐 单白桃口味｜SKU：10112125621688</t>
        </is>
      </c>
      <c r="G240" t="inlineStr">
        <is>
          <t>京东</t>
        </is>
      </c>
      <c r="H240" s="2" t="str">
        <f>=HYPERLINK("https://item.jd.com/10112125621688.html", "https://item.jd.com/10112125621688.html")</f>
        <v>https://item.jd.com/10112125621688.html</v>
      </c>
      <c r="I240" s="3">
        <v>45870</v>
      </c>
      <c r="J240" s="4">
        <v>46243</v>
      </c>
      <c r="K240" t="inlineStr">
        <is>
          <t>RIO 锐澳 鸡尾酒 商品评价</t>
        </is>
      </c>
      <c r="L240"/>
      <c r="M240" t="inlineStr">
        <is>
          <t>JD-U-20260809-034</t>
        </is>
      </c>
      <c r="N240" t="inlineStr">
        <is>
          <t>公开评论</t>
        </is>
      </c>
      <c r="O240"/>
      <c r="P240" t="inlineStr">
        <is>
          <t>情绪粗标：负面；主题粗标：口味；甜度过高；京东中评弹层核验；已排除商家回复与用户名；评价页未展示评论点赞/有用数，点赞数留空</t>
        </is>
      </c>
      <c r="Q240" t="inlineStr">
        <is>
          <t>竞品</t>
        </is>
      </c>
      <c r="R240"/>
      <c r="S240" t="inlineStr">
        <is>
          <t>JD-20260809-034_ANALYSIS_BASELINE_formal-attempt-0001_AI</t>
        </is>
      </c>
      <c r="T240" t="inlineStr">
        <is>
          <t>竞品反馈</t>
        </is>
      </c>
      <c r="U240" t="inlineStr">
        <is>
          <t>KEEP</t>
        </is>
      </c>
      <c r="V240" t="inlineStr">
        <is>
          <t>ANALYSIS_BASELINE</t>
        </is>
      </c>
      <c r="W240" t="inlineStr">
        <is>
          <t>可用</t>
        </is>
      </c>
      <c r="X240" t="inlineStr">
        <is>
          <t>品牌语料分析与洞察体系.xlsx#表1：原始语料库!240</t>
        </is>
      </c>
      <c r="Y240" t="inlineStr">
        <is>
          <t>FROZEN_419_V2</t>
        </is>
      </c>
    </row>
    <row r="241" ht="25.5" customHeight="1">
      <c r="A241" t="inlineStr">
        <is>
          <t>JD-20260809-036</t>
        </is>
      </c>
      <c r="B241" t="inlineStr">
        <is>
          <t>竞品产品体验反馈</t>
        </is>
      </c>
      <c r="C241" t="inlineStr">
        <is>
          <t>PRJ001</t>
        </is>
      </c>
      <c r="D241" t="inlineStr">
        <is>
          <t>昆竹牌｜冰梅酒 450ml*6瓶</t>
        </is>
      </c>
      <c r="E241" t="inlineStr">
        <is>
          <t>冰梅酒是夏日微醺的绝佳伴侣。它完美融合了青梅的天然酸甜与酒的醇厚，口感清新顺滑，冰镇后更显沁爽。无论是朋友小聚还是独自小酌，一杯冰梅酒都能瞬间拉满氛围感，带来恰到好处的松弛与惬意。</t>
        </is>
      </c>
      <c r="F241" t="inlineStr">
        <is>
          <t>品牌：昆竹牌｜商品/规格：冰梅酒 450ml*6瓶｜SKU：100348071270</t>
        </is>
      </c>
      <c r="G241" t="inlineStr">
        <is>
          <t>京东</t>
        </is>
      </c>
      <c r="H241" s="2" t="str">
        <f>=HYPERLINK("https://item.jd.com/100348071270.html", "https://item.jd.com/100348071270.html")</f>
        <v>https://item.jd.com/100348071270.html</v>
      </c>
      <c r="I241" s="3">
        <v>46153</v>
      </c>
      <c r="J241" s="4">
        <v>46243</v>
      </c>
      <c r="K241" t="inlineStr">
        <is>
          <t>昆竹 青梅酒 商品评价</t>
        </is>
      </c>
      <c r="L241"/>
      <c r="M241" t="inlineStr">
        <is>
          <t>JD-U-20260809-036</t>
        </is>
      </c>
      <c r="N241" t="inlineStr">
        <is>
          <t>公开评论</t>
        </is>
      </c>
      <c r="O241"/>
      <c r="P241" t="inlineStr">
        <is>
          <t>情绪粗标：正面；主题粗标：酸甜度；入口感；冰镇；微醺；饮用场景；京东商品评价弹层核验；已排除商家回复与用户名；评价页未展示评论点赞/有用数，点赞数留空</t>
        </is>
      </c>
      <c r="Q241" t="inlineStr">
        <is>
          <t>竞品</t>
        </is>
      </c>
      <c r="R241"/>
      <c r="S241" t="inlineStr">
        <is>
          <t>JD-20260809-036_ANALYSIS_BASELINE_formal-attempt-0001_AI</t>
        </is>
      </c>
      <c r="T241" t="inlineStr">
        <is>
          <t>竞品反馈</t>
        </is>
      </c>
      <c r="U241" t="inlineStr">
        <is>
          <t>KEEP</t>
        </is>
      </c>
      <c r="V241" t="inlineStr">
        <is>
          <t>ANALYSIS_BASELINE</t>
        </is>
      </c>
      <c r="W241" t="inlineStr">
        <is>
          <t>可用</t>
        </is>
      </c>
      <c r="X241" t="inlineStr">
        <is>
          <t>品牌语料分析与洞察体系.xlsx#表1：原始语料库!241</t>
        </is>
      </c>
      <c r="Y241" t="inlineStr">
        <is>
          <t>FROZEN_419_V2</t>
        </is>
      </c>
    </row>
    <row r="242" ht="25.5" customHeight="1">
      <c r="A242" t="inlineStr">
        <is>
          <t>JD-20260809-039</t>
        </is>
      </c>
      <c r="B242" t="inlineStr">
        <is>
          <t>竞品产品体验反馈</t>
        </is>
      </c>
      <c r="C242" t="inlineStr">
        <is>
          <t>PRJ001</t>
        </is>
      </c>
      <c r="D242" t="inlineStr">
        <is>
          <t>昆竹牌｜青梅酒450ml 单瓶</t>
        </is>
      </c>
      <c r="E242" t="inlineStr">
        <is>
          <t>昆竹青梅酒太赞！琥珀色透亮，一开瓶满是清新梅香。12度微醺，酸甜平衡不腻，入口顺滑不辣喉。青梅果酸、蜜甜、米酒醇香层次丰富，冰镇后更清爽。无香精感，天然纯粹，加冰/兑苏打都好喝。女生友好、日常小酌、聚会都合适，性价比高，无限回购。</t>
        </is>
      </c>
      <c r="F242" t="inlineStr">
        <is>
          <t>品牌：昆竹牌｜商品/规格：青梅酒450ml 单瓶｜SKU：100348071270</t>
        </is>
      </c>
      <c r="G242" t="inlineStr">
        <is>
          <t>京东</t>
        </is>
      </c>
      <c r="H242" s="2" t="str">
        <f>=HYPERLINK("https://item.jd.com/100348071270.html", "https://item.jd.com/100348071270.html")</f>
        <v>https://item.jd.com/100348071270.html</v>
      </c>
      <c r="I242" s="3">
        <v>46122</v>
      </c>
      <c r="J242" s="4">
        <v>46243</v>
      </c>
      <c r="K242" t="inlineStr">
        <is>
          <t>昆竹 青梅酒 商品评价</t>
        </is>
      </c>
      <c r="L242"/>
      <c r="M242" t="inlineStr">
        <is>
          <t>JD-U-20260809-039</t>
        </is>
      </c>
      <c r="N242" t="inlineStr">
        <is>
          <t>公开评论</t>
        </is>
      </c>
      <c r="O242"/>
      <c r="P242" t="inlineStr">
        <is>
          <t>情绪粗标：正面；主题粗标：酒体；香气；酒精感；酸甜度；入口感；层次；冰镇；兑苏打；性价比；回购；京东商品评价弹层核验；已排除商家回复与用户名；评价页未展示评论点赞/有用数，点赞数留空；疑似模板化表达，仅作为原始语料导入，表2需人工复核</t>
        </is>
      </c>
      <c r="Q242" t="inlineStr">
        <is>
          <t>竞品</t>
        </is>
      </c>
      <c r="R242"/>
      <c r="S242" t="inlineStr">
        <is>
          <t>JD-20260809-039_HOLDOUT_formal-attempt-0001_AI</t>
        </is>
      </c>
      <c r="T242" t="inlineStr">
        <is>
          <t>竞品反馈</t>
        </is>
      </c>
      <c r="U242" t="inlineStr">
        <is>
          <t>KEEP</t>
        </is>
      </c>
      <c r="V242" t="inlineStr">
        <is>
          <t>HOLDOUT</t>
        </is>
      </c>
      <c r="W242" t="inlineStr">
        <is>
          <t>可用</t>
        </is>
      </c>
      <c r="X242" t="inlineStr">
        <is>
          <t>品牌语料分析与洞察体系.xlsx#表1：原始语料库!242</t>
        </is>
      </c>
      <c r="Y242" t="inlineStr">
        <is>
          <t>FROZEN_419_V2</t>
        </is>
      </c>
    </row>
    <row r="243" ht="25.5" customHeight="1">
      <c r="A243" t="inlineStr">
        <is>
          <t>JD-20260809-044</t>
        </is>
      </c>
      <c r="B243" t="inlineStr">
        <is>
          <t>竞品产品体验反馈</t>
        </is>
      </c>
      <c r="C243" t="inlineStr">
        <is>
          <t>PRJ001</t>
        </is>
      </c>
      <c r="D243" t="inlineStr">
        <is>
          <t>RIO锐澳｜强爽荔枝500ML*12罐装</t>
        </is>
      </c>
      <c r="E243" t="inlineStr">
        <is>
          <t>发货很快 包装严实 味感不错 味道很好 吃饭 休闲 追剧喝着刚好 口味多 可根据喜好选。</t>
        </is>
      </c>
      <c r="F243" t="inlineStr">
        <is>
          <t>品牌：RIO锐澳｜商品/规格：强爽荔枝500ML*12罐装｜SKU：10115466070314</t>
        </is>
      </c>
      <c r="G243" t="inlineStr">
        <is>
          <t>京东</t>
        </is>
      </c>
      <c r="H243" s="2" t="str">
        <f>=HYPERLINK("https://item.jd.com/10115466070314.html", "https://item.jd.com/10115466070314.html")</f>
        <v>https://item.jd.com/10115466070314.html</v>
      </c>
      <c r="I243" s="3">
        <v>46143</v>
      </c>
      <c r="J243" s="4">
        <v>46243</v>
      </c>
      <c r="K243" t="inlineStr">
        <is>
          <t>RIO 锐澳 鸡尾酒 商品评价</t>
        </is>
      </c>
      <c r="L243"/>
      <c r="M243" t="inlineStr">
        <is>
          <t>JD-U-20260809-044</t>
        </is>
      </c>
      <c r="N243" t="inlineStr">
        <is>
          <t>公开评论</t>
        </is>
      </c>
      <c r="O243"/>
      <c r="P243" t="inlineStr">
        <is>
          <t>情绪粗标：正面；主题粗标：包装；搭餐；休闲；多口味；京东商品评价弹层核验；已排除商家回复与用户名；评价页未展示评论点赞/有用数，点赞数留空</t>
        </is>
      </c>
      <c r="Q243" t="inlineStr">
        <is>
          <t>竞品</t>
        </is>
      </c>
      <c r="R243"/>
      <c r="S243" t="inlineStr">
        <is>
          <t>JD-20260809-044_CHALLENGE_POOL_formal-attempt-0001_AI</t>
        </is>
      </c>
      <c r="T243" t="inlineStr">
        <is>
          <t>竞品反馈</t>
        </is>
      </c>
      <c r="U243" t="inlineStr">
        <is>
          <t>KEEP</t>
        </is>
      </c>
      <c r="V243" t="inlineStr">
        <is>
          <t>CHALLENGE</t>
        </is>
      </c>
      <c r="W243" t="inlineStr">
        <is>
          <t>可用</t>
        </is>
      </c>
      <c r="X243" t="inlineStr">
        <is>
          <t>品牌语料分析与洞察体系.xlsx#表1：原始语料库!243</t>
        </is>
      </c>
      <c r="Y243" t="inlineStr">
        <is>
          <t>FROZEN_419_V2</t>
        </is>
      </c>
    </row>
    <row r="244" ht="25.5" customHeight="1">
      <c r="A244" t="inlineStr">
        <is>
          <t>JD-20260809-048</t>
        </is>
      </c>
      <c r="B244" t="inlineStr">
        <is>
          <t>竞品产品体验反馈</t>
        </is>
      </c>
      <c r="C244" t="inlineStr">
        <is>
          <t>PRJ001</t>
        </is>
      </c>
      <c r="D244" t="inlineStr">
        <is>
          <t>RIO锐澳｜强爽500ml*6罐 单苹果口味</t>
        </is>
      </c>
      <c r="E244" t="inlineStr">
        <is>
          <t>哦，我想死了，喝了吧，有10 年8年了吧，非常喜欢这个味道，之前喝的是柠檬口味，现在最喜欢苹果口味，强爽比那个其他系列也都要好喝 八度的一罐刚刚好能达到微醺的状态</t>
        </is>
      </c>
      <c r="F244" t="inlineStr">
        <is>
          <t>品牌：RIO锐澳｜商品/规格：强爽500ml*6罐 单苹果口味｜SKU：10115466070314</t>
        </is>
      </c>
      <c r="G244" t="inlineStr">
        <is>
          <t>京东</t>
        </is>
      </c>
      <c r="H244" s="2" t="str">
        <f>=HYPERLINK("https://item.jd.com/10115466070314.html", "https://item.jd.com/10115466070314.html")</f>
        <v>https://item.jd.com/10115466070314.html</v>
      </c>
      <c r="I244" s="3">
        <v>45934</v>
      </c>
      <c r="J244" s="4">
        <v>46243</v>
      </c>
      <c r="K244" t="inlineStr">
        <is>
          <t>RIO 锐澳 鸡尾酒 商品评价</t>
        </is>
      </c>
      <c r="L244"/>
      <c r="M244" t="inlineStr">
        <is>
          <t>JD-U-20260809-048</t>
        </is>
      </c>
      <c r="N244" t="inlineStr">
        <is>
          <t>公开评论</t>
        </is>
      </c>
      <c r="O244"/>
      <c r="P244" t="inlineStr">
        <is>
          <t>情绪粗标：正面；主题粗标：长期饮用；口味比较；8度；微醺；京东商品评价弹层核验；已排除商家回复与用户名；评价页未展示评论点赞/有用数，点赞数留空</t>
        </is>
      </c>
      <c r="Q244" t="inlineStr">
        <is>
          <t>竞品</t>
        </is>
      </c>
      <c r="R244"/>
      <c r="S244" t="inlineStr">
        <is>
          <t>JD-20260809-048_ANALYSIS_BASELINE_formal-attempt-0001_AI</t>
        </is>
      </c>
      <c r="T244" t="inlineStr">
        <is>
          <t>竞品反馈</t>
        </is>
      </c>
      <c r="U244" t="inlineStr">
        <is>
          <t>KEEP</t>
        </is>
      </c>
      <c r="V244" t="inlineStr">
        <is>
          <t>ANALYSIS_BASELINE</t>
        </is>
      </c>
      <c r="W244" t="inlineStr">
        <is>
          <t>可用</t>
        </is>
      </c>
      <c r="X244" t="inlineStr">
        <is>
          <t>品牌语料分析与洞察体系.xlsx#表1：原始语料库!244</t>
        </is>
      </c>
      <c r="Y244" t="inlineStr">
        <is>
          <t>FROZEN_419_V2</t>
        </is>
      </c>
    </row>
    <row r="245" ht="25.5" customHeight="1">
      <c r="A245" t="inlineStr">
        <is>
          <t>TB-20260809-001</t>
        </is>
      </c>
      <c r="B245" t="inlineStr">
        <is>
          <t>竞品产品体验反馈</t>
        </is>
      </c>
      <c r="C245" t="inlineStr">
        <is>
          <t>PRJ001</t>
        </is>
      </c>
      <c r="D245" t="inlineStr">
        <is>
          <t>CHOYA俏雅｜带梅子本格梅酒700ml+赠梅酒杯</t>
        </is>
      </c>
      <c r="E245" t="inlineStr">
        <is>
          <t>买的俏雅梅子酒收到啦，包装挺严实的，玻璃瓶没破损。度数不高，平时在家小酌刚好，酸甜口很开胃～物流也快，两天就到了，满意～</t>
        </is>
      </c>
      <c r="F245" t="inlineStr">
        <is>
          <t>品牌：CHOYA俏雅｜商品/规格：带梅子本格梅酒700ml+赠梅酒杯｜SKU：873823229086</t>
        </is>
      </c>
      <c r="G245" t="inlineStr">
        <is>
          <t>淘宝</t>
        </is>
      </c>
      <c r="H245" s="2" t="str">
        <f>=HYPERLINK("https://detail.tmall.com/item.htm?id=873823229086", "https://detail.tmall.com/item.htm?id=873823229086")</f>
        <v>https://detail.tmall.com/item.htm?id=873823229086</v>
      </c>
      <c r="I245" s="3">
        <v>46219</v>
      </c>
      <c r="J245" s="4">
        <v>46243</v>
      </c>
      <c r="K245" t="inlineStr">
        <is>
          <t>CHOYA 俏雅 梅酒 商品评价</t>
        </is>
      </c>
      <c r="L245"/>
      <c r="M245" t="inlineStr">
        <is>
          <t>TB-U-20260809-001</t>
        </is>
      </c>
      <c r="N245" t="inlineStr">
        <is>
          <t>公开评论</t>
        </is>
      </c>
      <c r="O245"/>
      <c r="P245" t="inlineStr">
        <is>
          <t>情绪粗标：正面；主题粗标：包装；酒精感；日常小酌；酸甜度；开胃；天猫CHOYA旗舰店商品评价；未记录用户名；评价页未展示评论点赞/有用数，点赞数留空</t>
        </is>
      </c>
      <c r="Q245" t="inlineStr">
        <is>
          <t>竞品</t>
        </is>
      </c>
      <c r="R245"/>
      <c r="S245" t="inlineStr">
        <is>
          <t>TB-20260809-001_ANALYSIS_BASELINE_formal-attempt-0001_AI</t>
        </is>
      </c>
      <c r="T245" t="inlineStr">
        <is>
          <t>竞品反馈</t>
        </is>
      </c>
      <c r="U245" t="inlineStr">
        <is>
          <t>KEEP</t>
        </is>
      </c>
      <c r="V245" t="inlineStr">
        <is>
          <t>ANALYSIS_BASELINE</t>
        </is>
      </c>
      <c r="W245" t="inlineStr">
        <is>
          <t>可用</t>
        </is>
      </c>
      <c r="X245" t="inlineStr">
        <is>
          <t>品牌语料分析与洞察体系.xlsx#表1：原始语料库!245</t>
        </is>
      </c>
      <c r="Y245" t="inlineStr">
        <is>
          <t>FROZEN_419_V2</t>
        </is>
      </c>
    </row>
    <row r="246" ht="25.5" customHeight="1">
      <c r="A246" t="inlineStr">
        <is>
          <t>TB-20260809-006</t>
        </is>
      </c>
      <c r="B246" t="inlineStr">
        <is>
          <t>竞品产品体验反馈</t>
        </is>
      </c>
      <c r="C246" t="inlineStr">
        <is>
          <t>PRJ001</t>
        </is>
      </c>
      <c r="D246" t="inlineStr">
        <is>
          <t>CHOYA俏雅｜带梅子本格梅酒750ml+赠至极梅酒</t>
        </is>
      </c>
      <c r="E246" t="inlineStr">
        <is>
          <t>这款口感很好，梅子也好吃，每天一小杯，微醺。</t>
        </is>
      </c>
      <c r="F246" t="inlineStr">
        <is>
          <t>品牌：CHOYA俏雅｜商品/规格：带梅子本格梅酒750ml+赠至极梅酒｜SKU：873823229086</t>
        </is>
      </c>
      <c r="G246" t="inlineStr">
        <is>
          <t>淘宝</t>
        </is>
      </c>
      <c r="H246" s="2" t="str">
        <f>=HYPERLINK("https://detail.tmall.com/item.htm?id=873823229086", "https://detail.tmall.com/item.htm?id=873823229086")</f>
        <v>https://detail.tmall.com/item.htm?id=873823229086</v>
      </c>
      <c r="I246" s="3">
        <v>46223</v>
      </c>
      <c r="J246" s="4">
        <v>46243</v>
      </c>
      <c r="K246" t="inlineStr">
        <is>
          <t>CHOYA 俏雅 梅酒 商品评价</t>
        </is>
      </c>
      <c r="L246"/>
      <c r="M246" t="inlineStr">
        <is>
          <t>TB-U-20260809-006</t>
        </is>
      </c>
      <c r="N246" t="inlineStr">
        <is>
          <t>公开评论</t>
        </is>
      </c>
      <c r="O246"/>
      <c r="P246" t="inlineStr">
        <is>
          <t>情绪粗标：正面；主题粗标：入口感；梅子食用；每日小酌；微醺；天猫CHOYA旗舰店商品评价；未记录用户名；评价页未展示评论点赞/有用数，点赞数留空</t>
        </is>
      </c>
      <c r="Q246" t="inlineStr">
        <is>
          <t>竞品</t>
        </is>
      </c>
      <c r="R246"/>
      <c r="S246" t="inlineStr">
        <is>
          <t>TB-20260809-006_ANALYSIS_BASELINE_formal-attempt-0001_AI</t>
        </is>
      </c>
      <c r="T246" t="inlineStr">
        <is>
          <t>竞品反馈</t>
        </is>
      </c>
      <c r="U246" t="inlineStr">
        <is>
          <t>KEEP</t>
        </is>
      </c>
      <c r="V246" t="inlineStr">
        <is>
          <t>ANALYSIS_BASELINE</t>
        </is>
      </c>
      <c r="W246" t="inlineStr">
        <is>
          <t>可用</t>
        </is>
      </c>
      <c r="X246" t="inlineStr">
        <is>
          <t>品牌语料分析与洞察体系.xlsx#表1：原始语料库!246</t>
        </is>
      </c>
      <c r="Y246" t="inlineStr">
        <is>
          <t>FROZEN_419_V2</t>
        </is>
      </c>
    </row>
    <row r="247" ht="25.5" customHeight="1">
      <c r="A247" t="inlineStr">
        <is>
          <t>TB-20260809-009</t>
        </is>
      </c>
      <c r="B247" t="inlineStr">
        <is>
          <t>竞品产品体验反馈</t>
        </is>
      </c>
      <c r="C247" t="inlineStr">
        <is>
          <t>PRJ001</t>
        </is>
      </c>
      <c r="D247" t="inlineStr">
        <is>
          <t>CHOYA俏雅｜带梅子本格梅酒750ml+赠至极梅酒</t>
        </is>
      </c>
      <c r="E247" t="inlineStr">
        <is>
          <t>清爽好入口，不知不觉就会喝多了，晚上微醺最适合</t>
        </is>
      </c>
      <c r="F247" t="inlineStr">
        <is>
          <t>品牌：CHOYA俏雅｜商品/规格：带梅子本格梅酒750ml+赠至极梅酒｜SKU：873823229086</t>
        </is>
      </c>
      <c r="G247" t="inlineStr">
        <is>
          <t>淘宝</t>
        </is>
      </c>
      <c r="H247" s="2" t="str">
        <f>=HYPERLINK("https://detail.tmall.com/item.htm?id=873823229086", "https://detail.tmall.com/item.htm?id=873823229086")</f>
        <v>https://detail.tmall.com/item.htm?id=873823229086</v>
      </c>
      <c r="I247" s="3">
        <v>46236</v>
      </c>
      <c r="J247" s="4">
        <v>46243</v>
      </c>
      <c r="K247" t="inlineStr">
        <is>
          <t>CHOYA 俏雅 梅酒 商品评价</t>
        </is>
      </c>
      <c r="L247"/>
      <c r="M247" t="inlineStr">
        <is>
          <t>TB-U-20260809-009</t>
        </is>
      </c>
      <c r="N247" t="inlineStr">
        <is>
          <t>公开评论</t>
        </is>
      </c>
      <c r="O247"/>
      <c r="P247" t="inlineStr">
        <is>
          <t>情绪粗标：中性；主题粗标：清爽；入口感；易喝多；夜间微醺；天猫CHOYA旗舰店商品评价；未记录用户名；评价页未展示评论点赞/有用数，点赞数留空</t>
        </is>
      </c>
      <c r="Q247" t="inlineStr">
        <is>
          <t>竞品</t>
        </is>
      </c>
      <c r="R247"/>
      <c r="S247" t="inlineStr">
        <is>
          <t>TB-20260809-009_ANALYSIS_BASELINE_formal-attempt-0001_AI</t>
        </is>
      </c>
      <c r="T247" t="inlineStr">
        <is>
          <t>竞品反馈</t>
        </is>
      </c>
      <c r="U247" t="inlineStr">
        <is>
          <t>KEEP</t>
        </is>
      </c>
      <c r="V247" t="inlineStr">
        <is>
          <t>ANALYSIS_BASELINE</t>
        </is>
      </c>
      <c r="W247" t="inlineStr">
        <is>
          <t>可用</t>
        </is>
      </c>
      <c r="X247" t="inlineStr">
        <is>
          <t>品牌语料分析与洞察体系.xlsx#表1：原始语料库!247</t>
        </is>
      </c>
      <c r="Y247" t="inlineStr">
        <is>
          <t>FROZEN_419_V2</t>
        </is>
      </c>
    </row>
    <row r="248" ht="25.5" customHeight="1">
      <c r="A248" t="inlineStr">
        <is>
          <t>TB-20260809-011</t>
        </is>
      </c>
      <c r="B248" t="inlineStr">
        <is>
          <t>竞品产品体验反馈</t>
        </is>
      </c>
      <c r="C248" t="inlineStr">
        <is>
          <t>PRJ001</t>
        </is>
      </c>
      <c r="D248" t="inlineStr">
        <is>
          <t>RIO锐澳｜【330ml*5罐】清爽4罐+强爽1罐</t>
        </is>
      </c>
      <c r="E248" t="inlineStr">
        <is>
          <t>好喝，可能是我不常喝酒的原因第一次喝的有点猛了喝完脸热发晕过了一会就好了，第二次喝就是脸有点热，反正挺好喝的</t>
        </is>
      </c>
      <c r="F248" t="inlineStr">
        <is>
          <t>品牌：RIO锐澳｜商品/规格：【330ml*5罐】清爽4罐+强爽1罐｜SKU：706647394198</t>
        </is>
      </c>
      <c r="G248" t="inlineStr">
        <is>
          <t>淘宝</t>
        </is>
      </c>
      <c r="H248" s="2" t="str">
        <f>=HYPERLINK("https://detail.tmall.com/item.htm?id=706647394198", "https://detail.tmall.com/item.htm?id=706647394198")</f>
        <v>https://detail.tmall.com/item.htm?id=706647394198</v>
      </c>
      <c r="I248" s="3">
        <v>46233</v>
      </c>
      <c r="J248" s="4">
        <v>46243</v>
      </c>
      <c r="K248" t="inlineStr">
        <is>
          <t>RIO 锐澳 鸡尾酒 商品评价</t>
        </is>
      </c>
      <c r="L248"/>
      <c r="M248" t="inlineStr">
        <is>
          <t>TB-U-20260809-011</t>
        </is>
      </c>
      <c r="N248" t="inlineStr">
        <is>
          <t>公开评论</t>
        </is>
      </c>
      <c r="O248"/>
      <c r="P248" t="inlineStr">
        <is>
          <t>情绪粗标：中性；主题粗标：强爽；饮后脸热；发晕；身体负担；不常喝酒；天猫RIO锐澳旗舰店商品评价；已排除商家回复与用户名；评价页未展示评论点赞/有用数，点赞数留空</t>
        </is>
      </c>
      <c r="Q248" t="inlineStr">
        <is>
          <t>竞品</t>
        </is>
      </c>
      <c r="R248"/>
      <c r="S248" t="inlineStr">
        <is>
          <t>TB-20260809-011_ANALYSIS_BASELINE_formal-attempt-0001_AI</t>
        </is>
      </c>
      <c r="T248" t="inlineStr">
        <is>
          <t>竞品反馈</t>
        </is>
      </c>
      <c r="U248" t="inlineStr">
        <is>
          <t>KEEP</t>
        </is>
      </c>
      <c r="V248" t="inlineStr">
        <is>
          <t>ANALYSIS_BASELINE</t>
        </is>
      </c>
      <c r="W248" t="inlineStr">
        <is>
          <t>可用</t>
        </is>
      </c>
      <c r="X248" t="inlineStr">
        <is>
          <t>品牌语料分析与洞察体系.xlsx#表1：原始语料库!248</t>
        </is>
      </c>
      <c r="Y248" t="inlineStr">
        <is>
          <t>FROZEN_419_V2</t>
        </is>
      </c>
    </row>
    <row r="249" ht="25.5" customHeight="1">
      <c r="A249" t="inlineStr">
        <is>
          <t>TB-20260809-012</t>
        </is>
      </c>
      <c r="B249" t="inlineStr">
        <is>
          <t>竞品产品体验反馈</t>
        </is>
      </c>
      <c r="C249" t="inlineStr">
        <is>
          <t>PRJ001</t>
        </is>
      </c>
      <c r="D249" t="inlineStr">
        <is>
          <t>RIO锐澳｜强爽系列多口味8度330ml*6罐</t>
        </is>
      </c>
      <c r="E249" t="inlineStr">
        <is>
          <t>这家的鸡尾酒真的超出预期！颜值精致，鲜果装饰氛围感拉满。入口满是新鲜果香，酸甜比例恰到好处，酒味柔和不冲喉，薄荷与青柠的清爽在舌尖散开，层次细腻顺滑。调酒师把控得很好，没有齁甜的工业糖浆味，冰量刚好，慢慢抿一口舒缓又治愈。和朋友小酌超合适，微醺感刚刚好，已经列入无限回购清单！</t>
        </is>
      </c>
      <c r="F249" t="inlineStr">
        <is>
          <t>品牌：RIO锐澳｜商品/规格：强爽系列多口味8度330ml*6罐｜SKU：678637031500</t>
        </is>
      </c>
      <c r="G249" t="inlineStr">
        <is>
          <t>淘宝</t>
        </is>
      </c>
      <c r="H249" s="2" t="str">
        <f>=HYPERLINK("https://chaoshi.detail.tmall.com/item.htm?id=678637031500", "https://chaoshi.detail.tmall.com/item.htm?id=678637031500")</f>
        <v>https://chaoshi.detail.tmall.com/item.htm?id=678637031500</v>
      </c>
      <c r="I249" s="3">
        <v>46194</v>
      </c>
      <c r="J249" s="4">
        <v>46243</v>
      </c>
      <c r="K249" t="inlineStr">
        <is>
          <t>RIO 锐澳 鸡尾酒 商品评价</t>
        </is>
      </c>
      <c r="L249"/>
      <c r="M249" t="inlineStr">
        <is>
          <t>TB-U-20260809-012</t>
        </is>
      </c>
      <c r="N249" t="inlineStr">
        <is>
          <t>公开评论</t>
        </is>
      </c>
      <c r="O249"/>
      <c r="P249" t="inlineStr">
        <is>
          <t>情绪粗标：正面；主题粗标：果香；酸甜度；酒精感；入口感；层次；冰饮；朋友小酌；回购；天猫超市商品评价；未记录用户名；评价页未展示评论点赞/有用数，点赞数留空；疑似模板化表达，仅作为原始语料导入，表2需人工复核</t>
        </is>
      </c>
      <c r="Q249" t="inlineStr">
        <is>
          <t>竞品</t>
        </is>
      </c>
      <c r="R249"/>
      <c r="S249" t="inlineStr">
        <is>
          <t>TB-20260809-012_HOLDOUT_formal-attempt-0001_AI</t>
        </is>
      </c>
      <c r="T249" t="inlineStr">
        <is>
          <t>竞品反馈</t>
        </is>
      </c>
      <c r="U249" t="inlineStr">
        <is>
          <t>KEEP</t>
        </is>
      </c>
      <c r="V249" t="inlineStr">
        <is>
          <t>HOLDOUT</t>
        </is>
      </c>
      <c r="W249" t="inlineStr">
        <is>
          <t>可用</t>
        </is>
      </c>
      <c r="X249" t="inlineStr">
        <is>
          <t>品牌语料分析与洞察体系.xlsx#表1：原始语料库!249</t>
        </is>
      </c>
      <c r="Y249" t="inlineStr">
        <is>
          <t>FROZEN_419_V2</t>
        </is>
      </c>
    </row>
    <row r="250" ht="25.5" customHeight="1">
      <c r="A250" t="inlineStr">
        <is>
          <t>TB-20260809-013</t>
        </is>
      </c>
      <c r="B250" t="inlineStr">
        <is>
          <t>竞品产品体验反馈</t>
        </is>
      </c>
      <c r="C250" t="inlineStr">
        <is>
          <t>PRJ001</t>
        </is>
      </c>
      <c r="D250" t="inlineStr">
        <is>
          <t>RIO锐澳｜强爽系列多口味8度330ml*6罐</t>
        </is>
      </c>
      <c r="E250" t="inlineStr">
        <is>
          <t>配料健康 整体评价：给到一个夯 包装品质：天猫包装特别好 口感味道：冰镇后口感极佳</t>
        </is>
      </c>
      <c r="F250" t="inlineStr">
        <is>
          <t>品牌：RIO锐澳｜商品/规格：强爽系列多口味8度330ml*6罐｜SKU：678637031500</t>
        </is>
      </c>
      <c r="G250" t="inlineStr">
        <is>
          <t>淘宝</t>
        </is>
      </c>
      <c r="H250" s="2" t="str">
        <f>=HYPERLINK("https://chaoshi.detail.tmall.com/item.htm?id=678637031500", "https://chaoshi.detail.tmall.com/item.htm?id=678637031500")</f>
        <v>https://chaoshi.detail.tmall.com/item.htm?id=678637031500</v>
      </c>
      <c r="I250" s="3">
        <v>46195</v>
      </c>
      <c r="J250" s="4">
        <v>46243</v>
      </c>
      <c r="K250" t="inlineStr">
        <is>
          <t>RIO 锐澳 鸡尾酒 商品评价</t>
        </is>
      </c>
      <c r="L250"/>
      <c r="M250" t="inlineStr">
        <is>
          <t>TB-U-20260809-013</t>
        </is>
      </c>
      <c r="N250" t="inlineStr">
        <is>
          <t>公开评论</t>
        </is>
      </c>
      <c r="O250"/>
      <c r="P250" t="inlineStr">
        <is>
          <t>情绪粗标：正面；主题粗标：配料；包装；冰镇；天猫超市商品评价；未记录用户名；评价页未展示评论点赞/有用数，点赞数留空</t>
        </is>
      </c>
      <c r="Q250" t="inlineStr">
        <is>
          <t>竞品</t>
        </is>
      </c>
      <c r="R250"/>
      <c r="S250" t="inlineStr">
        <is>
          <t>TB-20260809-013_ANALYSIS_BASELINE_formal-attempt-0001_AI</t>
        </is>
      </c>
      <c r="T250" t="inlineStr">
        <is>
          <t>竞品反馈</t>
        </is>
      </c>
      <c r="U250" t="inlineStr">
        <is>
          <t>KEEP</t>
        </is>
      </c>
      <c r="V250" t="inlineStr">
        <is>
          <t>ANALYSIS_BASELINE</t>
        </is>
      </c>
      <c r="W250" t="inlineStr">
        <is>
          <t>可用</t>
        </is>
      </c>
      <c r="X250" t="inlineStr">
        <is>
          <t>品牌语料分析与洞察体系.xlsx#表1：原始语料库!250</t>
        </is>
      </c>
      <c r="Y250" t="inlineStr">
        <is>
          <t>FROZEN_419_V2</t>
        </is>
      </c>
    </row>
    <row r="251" ht="25.5" customHeight="1">
      <c r="A251" t="inlineStr">
        <is>
          <t>TB-20260809-014</t>
        </is>
      </c>
      <c r="B251" t="inlineStr">
        <is>
          <t>竞品产品体验反馈</t>
        </is>
      </c>
      <c r="C251" t="inlineStr">
        <is>
          <t>PRJ001</t>
        </is>
      </c>
      <c r="D251" t="inlineStr">
        <is>
          <t>RIO锐澳｜强爽系列多口味8度330ml*6罐</t>
        </is>
      </c>
      <c r="E251" t="inlineStr">
        <is>
          <t>一直都很喜欢rio酒，以前是微醺，现在是8度，真的很不错，感觉睡眠都好了很多</t>
        </is>
      </c>
      <c r="F251" t="inlineStr">
        <is>
          <t>品牌：RIO锐澳｜商品/规格：强爽系列多口味8度330ml*6罐｜SKU：678637031500</t>
        </is>
      </c>
      <c r="G251" t="inlineStr">
        <is>
          <t>淘宝</t>
        </is>
      </c>
      <c r="H251" s="2" t="str">
        <f>=HYPERLINK("https://chaoshi.detail.tmall.com/item.htm?id=678637031500", "https://chaoshi.detail.tmall.com/item.htm?id=678637031500")</f>
        <v>https://chaoshi.detail.tmall.com/item.htm?id=678637031500</v>
      </c>
      <c r="I251" s="3">
        <v>46191</v>
      </c>
      <c r="J251" s="4">
        <v>46243</v>
      </c>
      <c r="K251" t="inlineStr">
        <is>
          <t>RIO 锐澳 鸡尾酒 商品评价</t>
        </is>
      </c>
      <c r="L251"/>
      <c r="M251" t="inlineStr">
        <is>
          <t>TB-U-20260809-014</t>
        </is>
      </c>
      <c r="N251" t="inlineStr">
        <is>
          <t>公开评论</t>
        </is>
      </c>
      <c r="O251"/>
      <c r="P251" t="inlineStr">
        <is>
          <t>情绪粗标：中性；主题粗标：微醺与8度比较；酒精感；睡眠感受；天猫超市商品评价；未记录用户名；评价页未展示评论点赞/有用数，点赞数留空</t>
        </is>
      </c>
      <c r="Q251" t="inlineStr">
        <is>
          <t>竞品</t>
        </is>
      </c>
      <c r="R251"/>
      <c r="S251" t="inlineStr">
        <is>
          <t>TB-20260809-014_GOLD_人工标注_人工,TB-20260809-014_GOLD_attempt-0002_AI_矫正前,TB-20260809-014_GOLD_attempt-0006_AI_矫正后</t>
        </is>
      </c>
      <c r="T251" t="inlineStr">
        <is>
          <t>竞品反馈</t>
        </is>
      </c>
      <c r="U251" t="inlineStr">
        <is>
          <t>KEEP</t>
        </is>
      </c>
      <c r="V251" t="inlineStr">
        <is>
          <t>GOLD</t>
        </is>
      </c>
      <c r="W251" t="inlineStr">
        <is>
          <t>不可用</t>
        </is>
      </c>
      <c r="X251" t="inlineStr">
        <is>
          <t>原始母表#raw_id=TB-20260809-014</t>
        </is>
      </c>
      <c r="Y251" t="inlineStr">
        <is>
          <t>FROZEN_419_V2</t>
        </is>
      </c>
    </row>
    <row r="252" ht="25.5" customHeight="1">
      <c r="A252" t="inlineStr">
        <is>
          <t>TB-20260809-015</t>
        </is>
      </c>
      <c r="B252" t="inlineStr">
        <is>
          <t>竞品产品体验反馈</t>
        </is>
      </c>
      <c r="C252" t="inlineStr">
        <is>
          <t>PRJ001</t>
        </is>
      </c>
      <c r="D252" t="inlineStr">
        <is>
          <t>RIO锐澳｜强爽系列多口味8度330ml*6罐</t>
        </is>
      </c>
      <c r="E252" t="inlineStr">
        <is>
          <t>真实果汁+纯净伏特加，酸甜平衡、气泡绵密，顺滑不呛口。温柔果味藏着利落后劲，微醺不头疼、放松不难受，氛围感直接拉满，无限回购！</t>
        </is>
      </c>
      <c r="F252" t="inlineStr">
        <is>
          <t>品牌：RIO锐澳｜商品/规格：强爽系列多口味8度330ml*6罐｜SKU：678637031500</t>
        </is>
      </c>
      <c r="G252" t="inlineStr">
        <is>
          <t>淘宝</t>
        </is>
      </c>
      <c r="H252" s="2" t="str">
        <f>=HYPERLINK("https://chaoshi.detail.tmall.com/item.htm?id=678637031500", "https://chaoshi.detail.tmall.com/item.htm?id=678637031500")</f>
        <v>https://chaoshi.detail.tmall.com/item.htm?id=678637031500</v>
      </c>
      <c r="I252" s="3">
        <v>46189</v>
      </c>
      <c r="J252" s="4">
        <v>46243</v>
      </c>
      <c r="K252" t="inlineStr">
        <is>
          <t>RIO 锐澳 鸡尾酒 商品评价</t>
        </is>
      </c>
      <c r="L252"/>
      <c r="M252" t="inlineStr">
        <is>
          <t>TB-U-20260809-015</t>
        </is>
      </c>
      <c r="N252" t="inlineStr">
        <is>
          <t>公开评论</t>
        </is>
      </c>
      <c r="O252"/>
      <c r="P252" t="inlineStr">
        <is>
          <t>情绪粗标：正面；主题粗标：配料；酸甜度；气泡；入口感；后劲；不头疼；身体负担；回购；天猫超市商品评价；未记录用户名；评价页未展示评论点赞/有用数，点赞数留空；疑似模板化表达，仅作为原始语料导入，表2需人工复核</t>
        </is>
      </c>
      <c r="Q252" t="inlineStr">
        <is>
          <t>竞品</t>
        </is>
      </c>
      <c r="R252"/>
      <c r="S252" t="inlineStr">
        <is>
          <t>TB-20260809-015_CHALLENGE_POOL_formal-attempt-0001_AI</t>
        </is>
      </c>
      <c r="T252" t="inlineStr">
        <is>
          <t>竞品反馈</t>
        </is>
      </c>
      <c r="U252" t="inlineStr">
        <is>
          <t>KEEP</t>
        </is>
      </c>
      <c r="V252" t="inlineStr">
        <is>
          <t>CHALLENGE</t>
        </is>
      </c>
      <c r="W252" t="inlineStr">
        <is>
          <t>可用</t>
        </is>
      </c>
      <c r="X252" t="inlineStr">
        <is>
          <t>品牌语料分析与洞察体系.xlsx#表1：原始语料库!252</t>
        </is>
      </c>
      <c r="Y252" t="inlineStr">
        <is>
          <t>FROZEN_419_V2</t>
        </is>
      </c>
    </row>
    <row r="253" ht="25.5" customHeight="1">
      <c r="A253" t="inlineStr">
        <is>
          <t>TB-20260809-017</t>
        </is>
      </c>
      <c r="B253" t="inlineStr">
        <is>
          <t>竞品产品体验反馈</t>
        </is>
      </c>
      <c r="C253" t="inlineStr">
        <is>
          <t>PRJ001</t>
        </is>
      </c>
      <c r="D253" t="inlineStr">
        <is>
          <t>RIO锐澳｜强爽系列多口味8度330ml*6罐</t>
        </is>
      </c>
      <c r="E253" t="inlineStr">
        <is>
          <t>很好喝的rio强爽鸡尾酒，口感很好，后劲很足，喝起来很舒服！</t>
        </is>
      </c>
      <c r="F253" t="inlineStr">
        <is>
          <t>品牌：RIO锐澳｜商品/规格：强爽系列多口味8度330ml*6罐｜SKU：678637031500</t>
        </is>
      </c>
      <c r="G253" t="inlineStr">
        <is>
          <t>淘宝</t>
        </is>
      </c>
      <c r="H253" s="2" t="str">
        <f>=HYPERLINK("https://chaoshi.detail.tmall.com/item.htm?id=678637031500", "https://chaoshi.detail.tmall.com/item.htm?id=678637031500")</f>
        <v>https://chaoshi.detail.tmall.com/item.htm?id=678637031500</v>
      </c>
      <c r="I253" s="3">
        <v>46228</v>
      </c>
      <c r="J253" s="4">
        <v>46243</v>
      </c>
      <c r="K253" t="inlineStr">
        <is>
          <t>RIO 锐澳 鸡尾酒 商品评价</t>
        </is>
      </c>
      <c r="L253"/>
      <c r="M253" t="inlineStr">
        <is>
          <t>TB-U-20260809-017</t>
        </is>
      </c>
      <c r="N253" t="inlineStr">
        <is>
          <t>公开评论</t>
        </is>
      </c>
      <c r="O253"/>
      <c r="P253" t="inlineStr">
        <is>
          <t>情绪粗标：中性；主题粗标：入口感；后劲足；身体感受；天猫超市商品评价；未记录用户名；评价页未展示评论点赞/有用数，点赞数留空</t>
        </is>
      </c>
      <c r="Q253" t="inlineStr">
        <is>
          <t>竞品</t>
        </is>
      </c>
      <c r="R253"/>
      <c r="S253" t="inlineStr">
        <is>
          <t>TB-20260809-017_ANALYSIS_BASELINE_formal-attempt-0001_AI</t>
        </is>
      </c>
      <c r="T253" t="inlineStr">
        <is>
          <t>竞品反馈</t>
        </is>
      </c>
      <c r="U253" t="inlineStr">
        <is>
          <t>KEEP</t>
        </is>
      </c>
      <c r="V253" t="inlineStr">
        <is>
          <t>ANALYSIS_BASELINE</t>
        </is>
      </c>
      <c r="W253" t="inlineStr">
        <is>
          <t>可用</t>
        </is>
      </c>
      <c r="X253" t="inlineStr">
        <is>
          <t>品牌语料分析与洞察体系.xlsx#表1：原始语料库!253</t>
        </is>
      </c>
      <c r="Y253" t="inlineStr">
        <is>
          <t>FROZEN_419_V2</t>
        </is>
      </c>
    </row>
    <row r="254" ht="25.5" customHeight="1">
      <c r="A254" t="inlineStr">
        <is>
          <t>TB-20260809-019</t>
        </is>
      </c>
      <c r="B254" t="inlineStr">
        <is>
          <t>竞品产品体验反馈</t>
        </is>
      </c>
      <c r="C254" t="inlineStr">
        <is>
          <t>PRJ001</t>
        </is>
      </c>
      <c r="D254" t="inlineStr">
        <is>
          <t>RIO锐澳｜强爽系列多口味8度330ml*6罐</t>
        </is>
      </c>
      <c r="E254" t="inlineStr">
        <is>
          <t>两个口味都是我喜欢的水果味道，喜欢喝，味道好，姐妹一起微醺正好。</t>
        </is>
      </c>
      <c r="F254" t="inlineStr">
        <is>
          <t>品牌：RIO锐澳｜商品/规格：强爽系列多口味8度330ml*6罐｜SKU：678637031500</t>
        </is>
      </c>
      <c r="G254" t="inlineStr">
        <is>
          <t>淘宝</t>
        </is>
      </c>
      <c r="H254" s="2" t="str">
        <f>=HYPERLINK("https://chaoshi.detail.tmall.com/item.htm?id=678637031500", "https://chaoshi.detail.tmall.com/item.htm?id=678637031500")</f>
        <v>https://chaoshi.detail.tmall.com/item.htm?id=678637031500</v>
      </c>
      <c r="I254" s="3">
        <v>46195</v>
      </c>
      <c r="J254" s="4">
        <v>46243</v>
      </c>
      <c r="K254" t="inlineStr">
        <is>
          <t>RIO 锐澳 鸡尾酒 商品评价</t>
        </is>
      </c>
      <c r="L254"/>
      <c r="M254" t="inlineStr">
        <is>
          <t>TB-U-20260809-019</t>
        </is>
      </c>
      <c r="N254" t="inlineStr">
        <is>
          <t>公开评论</t>
        </is>
      </c>
      <c r="O254"/>
      <c r="P254" t="inlineStr">
        <is>
          <t>情绪粗标：正面；主题粗标：水果味；姐妹小酌；微醺；天猫超市商品评价；未记录用户名；评价页未展示评论点赞/有用数，点赞数留空</t>
        </is>
      </c>
      <c r="Q254" t="inlineStr">
        <is>
          <t>竞品</t>
        </is>
      </c>
      <c r="R254"/>
      <c r="S254" t="inlineStr">
        <is>
          <t>TB-20260809-019_HOLDOUT_formal-attempt-0001_AI</t>
        </is>
      </c>
      <c r="T254" t="inlineStr">
        <is>
          <t>竞品反馈</t>
        </is>
      </c>
      <c r="U254" t="inlineStr">
        <is>
          <t>KEEP</t>
        </is>
      </c>
      <c r="V254" t="inlineStr">
        <is>
          <t>HOLDOUT</t>
        </is>
      </c>
      <c r="W254" t="inlineStr">
        <is>
          <t>可用</t>
        </is>
      </c>
      <c r="X254" t="inlineStr">
        <is>
          <t>品牌语料分析与洞察体系.xlsx#表1：原始语料库!254</t>
        </is>
      </c>
      <c r="Y254" t="inlineStr">
        <is>
          <t>FROZEN_419_V2</t>
        </is>
      </c>
    </row>
    <row r="255" ht="25.5" customHeight="1">
      <c r="A255" t="inlineStr">
        <is>
          <t>TB-20260809-020</t>
        </is>
      </c>
      <c r="B255" t="inlineStr">
        <is>
          <t>竞品产品体验反馈</t>
        </is>
      </c>
      <c r="C255" t="inlineStr">
        <is>
          <t>PRJ001</t>
        </is>
      </c>
      <c r="D255" t="inlineStr">
        <is>
          <t>RIO锐澳｜强爽系列多口味8度330ml*6罐</t>
        </is>
      </c>
      <c r="E255" t="inlineStr">
        <is>
          <t>锐奥鸡尾酒6个味道的，朋友聚会不错的选择。</t>
        </is>
      </c>
      <c r="F255" t="inlineStr">
        <is>
          <t>品牌：RIO锐澳｜商品/规格：强爽系列多口味8度330ml*6罐｜SKU：678637031500</t>
        </is>
      </c>
      <c r="G255" t="inlineStr">
        <is>
          <t>淘宝</t>
        </is>
      </c>
      <c r="H255" s="2" t="str">
        <f>=HYPERLINK("https://chaoshi.detail.tmall.com/item.htm?id=678637031500", "https://chaoshi.detail.tmall.com/item.htm?id=678637031500")</f>
        <v>https://chaoshi.detail.tmall.com/item.htm?id=678637031500</v>
      </c>
      <c r="I255" s="3">
        <v>46195</v>
      </c>
      <c r="J255" s="4">
        <v>46243</v>
      </c>
      <c r="K255" t="inlineStr">
        <is>
          <t>RIO 锐澳 鸡尾酒 商品评价</t>
        </is>
      </c>
      <c r="L255"/>
      <c r="M255" t="inlineStr">
        <is>
          <t>TB-U-20260809-020</t>
        </is>
      </c>
      <c r="N255" t="inlineStr">
        <is>
          <t>公开评论</t>
        </is>
      </c>
      <c r="O255"/>
      <c r="P255" t="inlineStr">
        <is>
          <t>情绪粗标：正面；主题粗标：六种口味；朋友聚会；天猫超市商品评价；未记录用户名；评价页未展示评论点赞/有用数，点赞数留空</t>
        </is>
      </c>
      <c r="Q255" t="inlineStr">
        <is>
          <t>竞品</t>
        </is>
      </c>
      <c r="R255"/>
      <c r="S255" t="inlineStr">
        <is>
          <t>TB-20260809-020_CHALLENGE_POOL_formal-attempt-0001_AI</t>
        </is>
      </c>
      <c r="T255" t="inlineStr">
        <is>
          <t>竞品反馈</t>
        </is>
      </c>
      <c r="U255" t="inlineStr">
        <is>
          <t>KEEP</t>
        </is>
      </c>
      <c r="V255" t="inlineStr">
        <is>
          <t>CHALLENGE</t>
        </is>
      </c>
      <c r="W255" t="inlineStr">
        <is>
          <t>可用</t>
        </is>
      </c>
      <c r="X255" t="inlineStr">
        <is>
          <t>品牌语料分析与洞察体系.xlsx#表1：原始语料库!255</t>
        </is>
      </c>
      <c r="Y255" t="inlineStr">
        <is>
          <t>FROZEN_419_V2</t>
        </is>
      </c>
    </row>
    <row r="256" ht="25.5" customHeight="1">
      <c r="A256" t="inlineStr">
        <is>
          <t>TB-20260809-021</t>
        </is>
      </c>
      <c r="B256" t="inlineStr">
        <is>
          <t>竞品产品体验反馈</t>
        </is>
      </c>
      <c r="C256" t="inlineStr">
        <is>
          <t>PRJ001</t>
        </is>
      </c>
      <c r="D256" t="inlineStr">
        <is>
          <t>RIO锐澳｜强爽系列多口味8度330ml*6罐</t>
        </is>
      </c>
      <c r="E256" t="inlineStr">
        <is>
          <t>酒液质量：日期很新喜欢 整体评价：口味多样化，可以品尝多种味道</t>
        </is>
      </c>
      <c r="F256" t="inlineStr">
        <is>
          <t>品牌：RIO锐澳｜商品/规格：强爽系列多口味8度330ml*6罐｜SKU：678637031500</t>
        </is>
      </c>
      <c r="G256" t="inlineStr">
        <is>
          <t>淘宝</t>
        </is>
      </c>
      <c r="H256" s="2" t="str">
        <f>=HYPERLINK("https://chaoshi.detail.tmall.com/item.htm?id=678637031500", "https://chaoshi.detail.tmall.com/item.htm?id=678637031500")</f>
        <v>https://chaoshi.detail.tmall.com/item.htm?id=678637031500</v>
      </c>
      <c r="I256" s="3">
        <v>46180</v>
      </c>
      <c r="J256" s="4">
        <v>46243</v>
      </c>
      <c r="K256" t="inlineStr">
        <is>
          <t>RIO 锐澳 鸡尾酒 商品评价</t>
        </is>
      </c>
      <c r="L256"/>
      <c r="M256" t="inlineStr">
        <is>
          <t>TB-U-20260809-021</t>
        </is>
      </c>
      <c r="N256" t="inlineStr">
        <is>
          <t>公开评论</t>
        </is>
      </c>
      <c r="O256"/>
      <c r="P256" t="inlineStr">
        <is>
          <t>情绪粗标：正面；主题粗标：日期新鲜；多口味尝鲜；天猫超市商品评价；未记录用户名；评价页未展示评论点赞/有用数，点赞数留空</t>
        </is>
      </c>
      <c r="Q256" t="inlineStr">
        <is>
          <t>竞品</t>
        </is>
      </c>
      <c r="R256"/>
      <c r="S256" t="inlineStr">
        <is>
          <t>TB-20260809-021_HOLDOUT_formal-attempt-0001_AI</t>
        </is>
      </c>
      <c r="T256" t="inlineStr">
        <is>
          <t>竞品反馈</t>
        </is>
      </c>
      <c r="U256" t="inlineStr">
        <is>
          <t>KEEP</t>
        </is>
      </c>
      <c r="V256" t="inlineStr">
        <is>
          <t>HOLDOUT</t>
        </is>
      </c>
      <c r="W256" t="inlineStr">
        <is>
          <t>可用</t>
        </is>
      </c>
      <c r="X256" t="inlineStr">
        <is>
          <t>品牌语料分析与洞察体系.xlsx#表1：原始语料库!256</t>
        </is>
      </c>
      <c r="Y256" t="inlineStr">
        <is>
          <t>FROZEN_419_V2</t>
        </is>
      </c>
    </row>
    <row r="257" ht="25.5" customHeight="1">
      <c r="A257" t="inlineStr">
        <is>
          <t>TB-20260809-022</t>
        </is>
      </c>
      <c r="B257" t="inlineStr">
        <is>
          <t>竞品产品体验反馈</t>
        </is>
      </c>
      <c r="C257" t="inlineStr">
        <is>
          <t>PRJ001</t>
        </is>
      </c>
      <c r="D257" t="inlineStr">
        <is>
          <t>昆竹牌｜甜润可口经典微醺13度450ml</t>
        </is>
      </c>
      <c r="E257" t="inlineStr">
        <is>
          <t>一个不爱喝酒的人士第一次主动买了酒来尝尝，一下就给我尝到味了，虽说是青梅酒，但不像其他的喝着没啥酒味，这个是酸甜适度，也有酒的涩，综合起来很平衡，纯喝或者调一点冰红茶都挺好喝的，现在一到周末就会小酌一杯🥃</t>
        </is>
      </c>
      <c r="F257" t="inlineStr">
        <is>
          <t>品牌：昆竹牌｜商品/规格：甜润可口经典微醺13度450ml｜SKU：621878412430</t>
        </is>
      </c>
      <c r="G257" t="inlineStr">
        <is>
          <t>淘宝</t>
        </is>
      </c>
      <c r="H257" s="2" t="str">
        <f>=HYPERLINK("https://detail.tmall.com/item.htm?id=621878412430", "https://detail.tmall.com/item.htm?id=621878412430")</f>
        <v>https://detail.tmall.com/item.htm?id=621878412430</v>
      </c>
      <c r="I257" s="3">
        <v>46236</v>
      </c>
      <c r="J257" s="4">
        <v>46243</v>
      </c>
      <c r="K257" t="inlineStr">
        <is>
          <t>昆竹 青梅酒 商品评价</t>
        </is>
      </c>
      <c r="L257"/>
      <c r="M257" t="inlineStr">
        <is>
          <t>TB-U-20260809-022</t>
        </is>
      </c>
      <c r="N257" t="inlineStr">
        <is>
          <t>公开评论</t>
        </is>
      </c>
      <c r="O257"/>
      <c r="P257" t="inlineStr">
        <is>
          <t>情绪粗标：中性；主题粗标：酸甜度；酒精感；入口感；调配方法；饮用场景；昆竹牌旗舰店商品评价；未记录用户名；评价页未展示评论点赞/有用数，点赞数留空</t>
        </is>
      </c>
      <c r="Q257" t="inlineStr">
        <is>
          <t>竞品</t>
        </is>
      </c>
      <c r="R257"/>
      <c r="S257" t="inlineStr">
        <is>
          <t>TB-20260809-022_ANALYSIS_BASELINE_formal-attempt-0001_AI</t>
        </is>
      </c>
      <c r="T257" t="inlineStr">
        <is>
          <t>竞品反馈</t>
        </is>
      </c>
      <c r="U257" t="inlineStr">
        <is>
          <t>KEEP</t>
        </is>
      </c>
      <c r="V257" t="inlineStr">
        <is>
          <t>ANALYSIS_BASELINE</t>
        </is>
      </c>
      <c r="W257" t="inlineStr">
        <is>
          <t>可用</t>
        </is>
      </c>
      <c r="X257" t="inlineStr">
        <is>
          <t>品牌语料分析与洞察体系.xlsx#表1：原始语料库!257</t>
        </is>
      </c>
      <c r="Y257" t="inlineStr">
        <is>
          <t>FROZEN_419_V2</t>
        </is>
      </c>
    </row>
    <row r="258" ht="25.5" customHeight="1">
      <c r="A258" t="inlineStr">
        <is>
          <t>TB-20260809-025</t>
        </is>
      </c>
      <c r="B258" t="inlineStr">
        <is>
          <t>竞品产品体验反馈</t>
        </is>
      </c>
      <c r="C258" t="inlineStr">
        <is>
          <t>PRJ001</t>
        </is>
      </c>
      <c r="D258" t="inlineStr">
        <is>
          <t>昆竹牌｜甜润可口经典微醺13度450ml</t>
        </is>
      </c>
      <c r="E258" t="inlineStr">
        <is>
          <t>味道挺正，像黄酒，不是那种伏特加，不上头，不呛扣，还想尝试一下另外一种，</t>
        </is>
      </c>
      <c r="F258" t="inlineStr">
        <is>
          <t>品牌：昆竹牌｜商品/规格：甜润可口经典微醺13度450ml｜SKU：621878412430</t>
        </is>
      </c>
      <c r="G258" t="inlineStr">
        <is>
          <t>淘宝</t>
        </is>
      </c>
      <c r="H258" s="2" t="str">
        <f>=HYPERLINK("https://detail.tmall.com/item.htm?id=621878412430", "https://detail.tmall.com/item.htm?id=621878412430")</f>
        <v>https://detail.tmall.com/item.htm?id=621878412430</v>
      </c>
      <c r="I258" s="3">
        <v>46198</v>
      </c>
      <c r="J258" s="4">
        <v>46243</v>
      </c>
      <c r="K258" t="inlineStr">
        <is>
          <t>昆竹 青梅酒 商品评价</t>
        </is>
      </c>
      <c r="L258"/>
      <c r="M258" t="inlineStr">
        <is>
          <t>TB-U-20260809-025</t>
        </is>
      </c>
      <c r="N258" t="inlineStr">
        <is>
          <t>公开评论</t>
        </is>
      </c>
      <c r="O258"/>
      <c r="P258" t="inlineStr">
        <is>
          <t>情绪粗标：中性；主题粗标：酒类比较；是否上头；入口感；购买意向；昆竹牌旗舰店商品评价；未记录用户名；评价页未展示评论点赞/有用数，点赞数留空</t>
        </is>
      </c>
      <c r="Q258" t="inlineStr">
        <is>
          <t>竞品</t>
        </is>
      </c>
      <c r="R258"/>
      <c r="S258" t="inlineStr">
        <is>
          <t>TB-20260809-025_ANALYSIS_BASELINE_formal-attempt-0001_AI</t>
        </is>
      </c>
      <c r="T258" t="inlineStr">
        <is>
          <t>竞品反馈</t>
        </is>
      </c>
      <c r="U258" t="inlineStr">
        <is>
          <t>KEEP</t>
        </is>
      </c>
      <c r="V258" t="inlineStr">
        <is>
          <t>ANALYSIS_BASELINE</t>
        </is>
      </c>
      <c r="W258" t="inlineStr">
        <is>
          <t>可用</t>
        </is>
      </c>
      <c r="X258" t="inlineStr">
        <is>
          <t>品牌语料分析与洞察体系.xlsx#表1：原始语料库!258</t>
        </is>
      </c>
      <c r="Y258" t="inlineStr">
        <is>
          <t>FROZEN_419_V2</t>
        </is>
      </c>
    </row>
    <row r="259" ht="25.5" customHeight="1">
      <c r="A259" t="inlineStr">
        <is>
          <t>TB-20260809-027</t>
        </is>
      </c>
      <c r="B259" t="inlineStr">
        <is>
          <t>竞品产品体验反馈</t>
        </is>
      </c>
      <c r="C259" t="inlineStr">
        <is>
          <t>PRJ001</t>
        </is>
      </c>
      <c r="D259" t="inlineStr">
        <is>
          <t>昆竹牌｜酒版组合100ml*4瓶</t>
        </is>
      </c>
      <c r="E259" t="inlineStr">
        <is>
          <t>四个放在一起好可爱，右一是端庄的梅子酒味道，右二高度数的口味重，昆竹低糖略涩口，梅子味重，左一低糖味道更干净；除了高度数，我觉得都不错；</t>
        </is>
      </c>
      <c r="F259" t="inlineStr">
        <is>
          <t>品牌：昆竹牌｜商品/规格：酒版组合100ml*4瓶｜SKU：621878412430</t>
        </is>
      </c>
      <c r="G259" t="inlineStr">
        <is>
          <t>淘宝</t>
        </is>
      </c>
      <c r="H259" s="2" t="str">
        <f>=HYPERLINK("https://detail.tmall.com/item.htm?id=621878412430", "https://detail.tmall.com/item.htm?id=621878412430")</f>
        <v>https://detail.tmall.com/item.htm?id=621878412430</v>
      </c>
      <c r="I259" s="3">
        <v>46187</v>
      </c>
      <c r="J259" s="4">
        <v>46243</v>
      </c>
      <c r="K259" t="inlineStr">
        <is>
          <t>昆竹 青梅酒 商品评价</t>
        </is>
      </c>
      <c r="L259"/>
      <c r="M259" t="inlineStr">
        <is>
          <t>TB-U-20260809-027</t>
        </is>
      </c>
      <c r="N259" t="inlineStr">
        <is>
          <t>公开评论</t>
        </is>
      </c>
      <c r="O259"/>
      <c r="P259" t="inlineStr">
        <is>
          <t>情绪粗标：中性；主题粗标：多口味比较；酒精感；甜度；涩感；梅味；昆竹牌旗舰店商品评价；未记录用户名；评价页未展示评论点赞/有用数，点赞数留空</t>
        </is>
      </c>
      <c r="Q259" t="inlineStr">
        <is>
          <t>竞品</t>
        </is>
      </c>
      <c r="R259"/>
      <c r="S259" t="inlineStr">
        <is>
          <t>TB-20260809-027_ANALYSIS_BASELINE_formal-attempt-0001_AI</t>
        </is>
      </c>
      <c r="T259" t="inlineStr">
        <is>
          <t>竞品反馈</t>
        </is>
      </c>
      <c r="U259" t="inlineStr">
        <is>
          <t>KEEP</t>
        </is>
      </c>
      <c r="V259" t="inlineStr">
        <is>
          <t>ANALYSIS_BASELINE</t>
        </is>
      </c>
      <c r="W259" t="inlineStr">
        <is>
          <t>可用</t>
        </is>
      </c>
      <c r="X259" t="inlineStr">
        <is>
          <t>品牌语料分析与洞察体系.xlsx#表1：原始语料库!259</t>
        </is>
      </c>
      <c r="Y259" t="inlineStr">
        <is>
          <t>FROZEN_419_V2</t>
        </is>
      </c>
    </row>
    <row r="260" ht="25.5" customHeight="1">
      <c r="A260" t="inlineStr">
        <is>
          <t>TB-20260809-028</t>
        </is>
      </c>
      <c r="B260" t="inlineStr">
        <is>
          <t>竞品产品体验反馈</t>
        </is>
      </c>
      <c r="C260" t="inlineStr">
        <is>
          <t>PRJ001</t>
        </is>
      </c>
      <c r="D260" t="inlineStr">
        <is>
          <t>昆竹牌｜甜润可口经典微醺13度450ml</t>
        </is>
      </c>
      <c r="E260" t="inlineStr">
        <is>
          <t>青梅酒，第一次买这个品牌的，尝尝鲜试一试味道。果然是酒，不是果汁哈。有一定度数。</t>
        </is>
      </c>
      <c r="F260" t="inlineStr">
        <is>
          <t>品牌：昆竹牌｜商品/规格：甜润可口经典微醺13度450ml｜SKU：621878412430</t>
        </is>
      </c>
      <c r="G260" t="inlineStr">
        <is>
          <t>淘宝</t>
        </is>
      </c>
      <c r="H260" s="2" t="str">
        <f>=HYPERLINK("https://detail.tmall.com/item.htm?id=621878412430", "https://detail.tmall.com/item.htm?id=621878412430")</f>
        <v>https://detail.tmall.com/item.htm?id=621878412430</v>
      </c>
      <c r="I260" s="3">
        <v>46190</v>
      </c>
      <c r="J260" s="4">
        <v>46243</v>
      </c>
      <c r="K260" t="inlineStr">
        <is>
          <t>昆竹 青梅酒 商品评价</t>
        </is>
      </c>
      <c r="L260"/>
      <c r="M260" t="inlineStr">
        <is>
          <t>TB-U-20260809-028</t>
        </is>
      </c>
      <c r="N260" t="inlineStr">
        <is>
          <t>公开评论</t>
        </is>
      </c>
      <c r="O260"/>
      <c r="P260" t="inlineStr">
        <is>
          <t>情绪粗标：中性；主题粗标：购买动机；酒精感；品类认知；昆竹牌旗舰店商品评价；未记录用户名；评价页未展示评论点赞/有用数，点赞数留空</t>
        </is>
      </c>
      <c r="Q260" t="inlineStr">
        <is>
          <t>竞品</t>
        </is>
      </c>
      <c r="R260"/>
      <c r="S260" t="inlineStr">
        <is>
          <t>TB-20260809-028_ANALYSIS_BASELINE_formal-attempt-0001_AI</t>
        </is>
      </c>
      <c r="T260" t="inlineStr">
        <is>
          <t>竞品反馈</t>
        </is>
      </c>
      <c r="U260" t="inlineStr">
        <is>
          <t>KEEP</t>
        </is>
      </c>
      <c r="V260" t="inlineStr">
        <is>
          <t>ANALYSIS_BASELINE</t>
        </is>
      </c>
      <c r="W260" t="inlineStr">
        <is>
          <t>可用</t>
        </is>
      </c>
      <c r="X260" t="inlineStr">
        <is>
          <t>品牌语料分析与洞察体系.xlsx#表1：原始语料库!260</t>
        </is>
      </c>
      <c r="Y260" t="inlineStr">
        <is>
          <t>FROZEN_419_V2</t>
        </is>
      </c>
    </row>
    <row r="261" ht="25.5" customHeight="1">
      <c r="A261" t="inlineStr">
        <is>
          <t>TB-20260809-029</t>
        </is>
      </c>
      <c r="B261" t="inlineStr">
        <is>
          <t>竞品产品体验反馈</t>
        </is>
      </c>
      <c r="C261" t="inlineStr">
        <is>
          <t>PRJ001</t>
        </is>
      </c>
      <c r="D261" t="inlineStr">
        <is>
          <t>昆竹牌｜甜润可口经典微醺13度450ml</t>
        </is>
      </c>
      <c r="E261" t="inlineStr">
        <is>
          <t>味道比较清新，能加点桂花之类的风味会好一些。</t>
        </is>
      </c>
      <c r="F261" t="inlineStr">
        <is>
          <t>品牌：昆竹牌｜商品/规格：甜润可口经典微醺13度450ml｜SKU：621878412430</t>
        </is>
      </c>
      <c r="G261" t="inlineStr">
        <is>
          <t>淘宝</t>
        </is>
      </c>
      <c r="H261" s="2" t="str">
        <f>=HYPERLINK("https://detail.tmall.com/item.htm?id=621878412430", "https://detail.tmall.com/item.htm?id=621878412430")</f>
        <v>https://detail.tmall.com/item.htm?id=621878412430</v>
      </c>
      <c r="I261" s="3">
        <v>46237</v>
      </c>
      <c r="J261" s="4">
        <v>46243</v>
      </c>
      <c r="K261" t="inlineStr">
        <is>
          <t>昆竹 青梅酒 商品评价</t>
        </is>
      </c>
      <c r="L261"/>
      <c r="M261" t="inlineStr">
        <is>
          <t>TB-U-20260809-029</t>
        </is>
      </c>
      <c r="N261" t="inlineStr">
        <is>
          <t>公开评论</t>
        </is>
      </c>
      <c r="O261"/>
      <c r="P261" t="inlineStr">
        <is>
          <t>情绪粗标：中性；主题粗标：风味；香气；改进期待；昆竹牌旗舰店商品评价；未记录用户名；评价页未展示评论点赞/有用数，点赞数留空</t>
        </is>
      </c>
      <c r="Q261" t="inlineStr">
        <is>
          <t>竞品</t>
        </is>
      </c>
      <c r="R261"/>
      <c r="S261" t="inlineStr">
        <is>
          <t>TB-20260809-029_CHALLENGE_POOL_formal-attempt-0001_AI</t>
        </is>
      </c>
      <c r="T261" t="inlineStr">
        <is>
          <t>竞品反馈</t>
        </is>
      </c>
      <c r="U261" t="inlineStr">
        <is>
          <t>KEEP</t>
        </is>
      </c>
      <c r="V261" t="inlineStr">
        <is>
          <t>CHALLENGE</t>
        </is>
      </c>
      <c r="W261" t="inlineStr">
        <is>
          <t>可用</t>
        </is>
      </c>
      <c r="X261" t="inlineStr">
        <is>
          <t>品牌语料分析与洞察体系.xlsx#表1：原始语料库!261</t>
        </is>
      </c>
      <c r="Y261" t="inlineStr">
        <is>
          <t>FROZEN_419_V2</t>
        </is>
      </c>
    </row>
    <row r="262" ht="25.5" customHeight="1">
      <c r="A262" t="inlineStr">
        <is>
          <t>TB-20260809-030</t>
        </is>
      </c>
      <c r="B262" t="inlineStr">
        <is>
          <t>竞品产品体验反馈</t>
        </is>
      </c>
      <c r="C262" t="inlineStr">
        <is>
          <t>PRJ001</t>
        </is>
      </c>
      <c r="D262" t="inlineStr">
        <is>
          <t>昆竹牌｜甜润可口经典微醺13度450ml</t>
        </is>
      </c>
      <c r="E262" t="inlineStr">
        <is>
          <t>本来想自己泡青梅酒的，天气太热怕买回来青梅坏了，先买成品青梅酒尝尝味道，还不错，刚入口有点红酒味，然后品一品有青梅，还有点杏仁味。配料表挺干净。过两天再尝尝白金款。</t>
        </is>
      </c>
      <c r="F262" t="inlineStr">
        <is>
          <t>品牌：昆竹牌｜商品/规格：甜润可口经典微醺13度450ml｜SKU：621878412430</t>
        </is>
      </c>
      <c r="G262" t="inlineStr">
        <is>
          <t>淘宝</t>
        </is>
      </c>
      <c r="H262" s="2" t="str">
        <f>=HYPERLINK("https://detail.tmall.com/item.htm?id=621878412430", "https://detail.tmall.com/item.htm?id=621878412430")</f>
        <v>https://detail.tmall.com/item.htm?id=621878412430</v>
      </c>
      <c r="I262" s="3">
        <v>46187</v>
      </c>
      <c r="J262" s="4">
        <v>46243</v>
      </c>
      <c r="K262" t="inlineStr">
        <is>
          <t>昆竹 青梅酒 商品评价</t>
        </is>
      </c>
      <c r="L262"/>
      <c r="M262" t="inlineStr">
        <is>
          <t>TB-U-20260809-030</t>
        </is>
      </c>
      <c r="N262" t="inlineStr">
        <is>
          <t>公开评论</t>
        </is>
      </c>
      <c r="O262"/>
      <c r="P262" t="inlineStr">
        <is>
          <t>情绪粗标：中性；主题粗标：购买动机；入口感；香气；配料；款式尝试；昆竹牌旗舰店商品评价；未记录用户名；评价页未展示评论点赞/有用数，点赞数留空</t>
        </is>
      </c>
      <c r="Q262" t="inlineStr">
        <is>
          <t>竞品</t>
        </is>
      </c>
      <c r="R262"/>
      <c r="S262" t="inlineStr">
        <is>
          <t>TB-20260809-030_CHALLENGE_POOL_formal-attempt-0001_AI</t>
        </is>
      </c>
      <c r="T262" t="inlineStr">
        <is>
          <t>竞品反馈</t>
        </is>
      </c>
      <c r="U262" t="inlineStr">
        <is>
          <t>KEEP</t>
        </is>
      </c>
      <c r="V262" t="inlineStr">
        <is>
          <t>CHALLENGE</t>
        </is>
      </c>
      <c r="W262" t="inlineStr">
        <is>
          <t>可用</t>
        </is>
      </c>
      <c r="X262" t="inlineStr">
        <is>
          <t>品牌语料分析与洞察体系.xlsx#表1：原始语料库!262</t>
        </is>
      </c>
      <c r="Y262" t="inlineStr">
        <is>
          <t>FROZEN_419_V2</t>
        </is>
      </c>
    </row>
    <row r="263" ht="25.5" customHeight="1">
      <c r="A263" t="inlineStr">
        <is>
          <t>JD-20260809-032</t>
        </is>
      </c>
      <c r="B263" t="inlineStr">
        <is>
          <t>竞品产品体验反馈</t>
        </is>
      </c>
      <c r="C263" t="inlineStr">
        <is>
          <t>PRJ001</t>
        </is>
      </c>
      <c r="D263" t="inlineStr">
        <is>
          <t>RIO锐澳｜微醺268ml*6罐随机口味</t>
        </is>
      </c>
      <c r="E263" t="inlineStr">
        <is>
          <t>小瓶感觉瓶子的包装颜色不太对，但是味道还可以</t>
        </is>
      </c>
      <c r="F263" t="inlineStr">
        <is>
          <t>品牌：RIO锐澳｜商品/规格：微醺268ml*6罐随机口味｜SKU：10112125621688</t>
        </is>
      </c>
      <c r="G263" t="inlineStr">
        <is>
          <t>京东</t>
        </is>
      </c>
      <c r="H263" s="2" t="str">
        <f>=HYPERLINK("https://item.jd.com/10112125621688.html", "https://item.jd.com/10112125621688.html")</f>
        <v>https://item.jd.com/10112125621688.html</v>
      </c>
      <c r="I263" s="3">
        <v>46167</v>
      </c>
      <c r="J263" s="4">
        <v>46243</v>
      </c>
      <c r="K263" t="inlineStr">
        <is>
          <t>RIO 锐澳 鸡尾酒 商品评价</t>
        </is>
      </c>
      <c r="L263"/>
      <c r="M263" t="inlineStr">
        <is>
          <t>JD-U-20260809-032</t>
        </is>
      </c>
      <c r="N263" t="inlineStr">
        <is>
          <t>公开评论</t>
        </is>
      </c>
      <c r="O263"/>
      <c r="P263" t="inlineStr">
        <is>
          <t>情绪粗标：中性；主题粗标：包装颜色；味道；京东中评弹层核验；已排除商家回复与用户名；评价页未展示评论点赞/有用数，点赞数留空</t>
        </is>
      </c>
      <c r="Q263" t="inlineStr">
        <is>
          <t>竞品</t>
        </is>
      </c>
      <c r="R263"/>
      <c r="S263" t="inlineStr">
        <is>
          <t>JD-20260809-032_ANALYSIS_BASELINE_formal-attempt-0001_AI</t>
        </is>
      </c>
      <c r="T263" t="inlineStr">
        <is>
          <t>竞品反馈</t>
        </is>
      </c>
      <c r="U263" t="inlineStr">
        <is>
          <t>KEEP</t>
        </is>
      </c>
      <c r="V263" t="inlineStr">
        <is>
          <t>ANALYSIS_BASELINE</t>
        </is>
      </c>
      <c r="W263" t="inlineStr">
        <is>
          <t>可用</t>
        </is>
      </c>
      <c r="X263" t="inlineStr">
        <is>
          <t>品牌语料分析与洞察体系.xlsx#表1：原始语料库!263</t>
        </is>
      </c>
      <c r="Y263" t="inlineStr">
        <is>
          <t>FROZEN_419_V2</t>
        </is>
      </c>
    </row>
    <row r="264" ht="25.5" customHeight="1">
      <c r="A264" t="inlineStr">
        <is>
          <t>JD-20260809-042</t>
        </is>
      </c>
      <c r="B264" t="inlineStr">
        <is>
          <t>竞品产品体验反馈</t>
        </is>
      </c>
      <c r="C264" t="inlineStr">
        <is>
          <t>PRJ001</t>
        </is>
      </c>
      <c r="D264" t="inlineStr">
        <is>
          <t>昆竹牌｜青梅酒白金版 375ml*6瓶</t>
        </is>
      </c>
      <c r="E264" t="inlineStr">
        <is>
          <t>这款青梅酒，之前喝过普通版本的，口感还不错，这次买了白金版回来试试，说是本格梅酒级别的
美中不足的是，收到货箱子是受潮发霉的，一股浓浓的霉味，原本想朋友送礼的，看来只能打开自己喝了，不能送人用了，平台应该加强包装吧，如果有包装受损或瑕疵，应该提前告知</t>
        </is>
      </c>
      <c r="F264" t="inlineStr">
        <is>
          <t>品牌：昆竹牌｜商品/规格：青梅酒白金版 375ml*6瓶｜SKU：100348071270</t>
        </is>
      </c>
      <c r="G264" t="inlineStr">
        <is>
          <t>京东</t>
        </is>
      </c>
      <c r="H264" s="2" t="str">
        <f>=HYPERLINK("https://item.jd.com/100348071270.html", "https://item.jd.com/100348071270.html")</f>
        <v>https://item.jd.com/100348071270.html</v>
      </c>
      <c r="I264" s="3">
        <v>46137</v>
      </c>
      <c r="J264" s="4">
        <v>46243</v>
      </c>
      <c r="K264" t="inlineStr">
        <is>
          <t>昆竹 青梅酒 商品评价</t>
        </is>
      </c>
      <c r="L264"/>
      <c r="M264" t="inlineStr">
        <is>
          <t>JD-U-20260809-042</t>
        </is>
      </c>
      <c r="N264" t="inlineStr">
        <is>
          <t>公开评论</t>
        </is>
      </c>
      <c r="O264"/>
      <c r="P264" t="inlineStr">
        <is>
          <t>情绪粗标：负面；主题粗标：版本比较；包装受潮发霉；礼赠失败；告知不足；京东商品评价弹层核验；已排除商家回复与用户名；评价页未展示评论点赞/有用数，点赞数留空</t>
        </is>
      </c>
      <c r="Q264" t="inlineStr">
        <is>
          <t>竞品</t>
        </is>
      </c>
      <c r="R264"/>
      <c r="S264" t="inlineStr">
        <is>
          <t>JD-20260809-042_ANALYSIS_BASELINE_formal-attempt-0001_AI</t>
        </is>
      </c>
      <c r="T264" t="inlineStr">
        <is>
          <t>竞品反馈</t>
        </is>
      </c>
      <c r="U264" t="inlineStr">
        <is>
          <t>KEEP</t>
        </is>
      </c>
      <c r="V264" t="inlineStr">
        <is>
          <t>ANALYSIS_BASELINE</t>
        </is>
      </c>
      <c r="W264" t="inlineStr">
        <is>
          <t>可用</t>
        </is>
      </c>
      <c r="X264" t="inlineStr">
        <is>
          <t>品牌语料分析与洞察体系.xlsx#表1：原始语料库!264</t>
        </is>
      </c>
      <c r="Y264" t="inlineStr">
        <is>
          <t>FROZEN_419_V2</t>
        </is>
      </c>
    </row>
    <row r="265" ht="25.5" customHeight="1">
      <c r="A265" t="inlineStr">
        <is>
          <t>JD-20260809-045</t>
        </is>
      </c>
      <c r="B265" t="inlineStr">
        <is>
          <t>竞品产品体验反馈</t>
        </is>
      </c>
      <c r="C265" t="inlineStr">
        <is>
          <t>PRJ001</t>
        </is>
      </c>
      <c r="D265" t="inlineStr">
        <is>
          <t>RIO锐澳｜强爽500ml0糖多口味组合12罐装</t>
        </is>
      </c>
      <c r="E265" t="inlineStr">
        <is>
          <t>.RI0锐澳鸡尾酒，买的整箱混合口味的，本来打算送人的，但是只用泡沫箱装的，没有外包装箱，就自己喝了，0糖无负担，口感清爽易入口，微醺感恰到好处，适合健康控糖人群，是聚会小酌的不二之选</t>
        </is>
      </c>
      <c r="F265" t="inlineStr">
        <is>
          <t>品牌：RIO锐澳｜商品/规格：强爽500ml0糖多口味组合12罐装｜SKU：10115466070314</t>
        </is>
      </c>
      <c r="G265" t="inlineStr">
        <is>
          <t>京东</t>
        </is>
      </c>
      <c r="H265" s="2" t="str">
        <f>=HYPERLINK("https://item.jd.com/10115466070314.html", "https://item.jd.com/10115466070314.html")</f>
        <v>https://item.jd.com/10115466070314.html</v>
      </c>
      <c r="I265" s="3">
        <v>46058</v>
      </c>
      <c r="J265" s="4">
        <v>46243</v>
      </c>
      <c r="K265" t="inlineStr">
        <is>
          <t>RIO 锐澳 鸡尾酒 商品评价</t>
        </is>
      </c>
      <c r="L265"/>
      <c r="M265" t="inlineStr">
        <is>
          <t>JD-U-20260809-045</t>
        </is>
      </c>
      <c r="N265" t="inlineStr">
        <is>
          <t>公开评论</t>
        </is>
      </c>
      <c r="O265"/>
      <c r="P265" t="inlineStr">
        <is>
          <t>情绪粗标：中性；主题粗标：礼赠失败；无外箱；0糖；身体负担；入口感；微醺；聚会；京东商品评价弹层核验；已排除商家回复与用户名；评价页未展示评论点赞/有用数，点赞数留空；疑似模板化表达，仅作为原始语料导入，表2需人工复核</t>
        </is>
      </c>
      <c r="Q265" t="inlineStr">
        <is>
          <t>竞品</t>
        </is>
      </c>
      <c r="R265"/>
      <c r="S265" t="inlineStr">
        <is>
          <t>JD-20260809-045_ANALYSIS_BASELINE_formal-attempt-0001_AI</t>
        </is>
      </c>
      <c r="T265" t="inlineStr">
        <is>
          <t>竞品反馈</t>
        </is>
      </c>
      <c r="U265" t="inlineStr">
        <is>
          <t>KEEP</t>
        </is>
      </c>
      <c r="V265" t="inlineStr">
        <is>
          <t>ANALYSIS_BASELINE</t>
        </is>
      </c>
      <c r="W265" t="inlineStr">
        <is>
          <t>可用</t>
        </is>
      </c>
      <c r="X265" t="inlineStr">
        <is>
          <t>品牌语料分析与洞察体系.xlsx#表1：原始语料库!265</t>
        </is>
      </c>
      <c r="Y265" t="inlineStr">
        <is>
          <t>FROZEN_419_V2</t>
        </is>
      </c>
    </row>
    <row r="266" ht="25.5" customHeight="1">
      <c r="A266" t="inlineStr">
        <is>
          <t>JD-20260809-050</t>
        </is>
      </c>
      <c r="B266" t="inlineStr">
        <is>
          <t>竞品产品体验反馈</t>
        </is>
      </c>
      <c r="C266" t="inlineStr">
        <is>
          <t>PRJ001</t>
        </is>
      </c>
      <c r="D266" t="inlineStr">
        <is>
          <t>RIO锐澳｜强爽500*6罐 青提茉莉</t>
        </is>
      </c>
      <c r="E266" t="inlineStr">
        <is>
          <t>算都被压瘪过样，瓶身到处都是纹路，6瓶无一幸免。</t>
        </is>
      </c>
      <c r="F266" t="inlineStr">
        <is>
          <t>品牌：RIO锐澳｜商品/规格：强爽500*6罐 青提茉莉｜SKU：10115466070314</t>
        </is>
      </c>
      <c r="G266" t="inlineStr">
        <is>
          <t>京东</t>
        </is>
      </c>
      <c r="H266" s="2" t="str">
        <f>=HYPERLINK("https://item.jd.com/10115466070314.html", "https://item.jd.com/10115466070314.html")</f>
        <v>https://item.jd.com/10115466070314.html</v>
      </c>
      <c r="I266" s="3">
        <v>46057</v>
      </c>
      <c r="J266" s="4">
        <v>46243</v>
      </c>
      <c r="K266" t="inlineStr">
        <is>
          <t>RIO 锐澳 鸡尾酒 商品评价</t>
        </is>
      </c>
      <c r="L266"/>
      <c r="M266" t="inlineStr">
        <is>
          <t>JD-U-20260809-050</t>
        </is>
      </c>
      <c r="N266" t="inlineStr">
        <is>
          <t>公开评论</t>
        </is>
      </c>
      <c r="O266"/>
      <c r="P266" t="inlineStr">
        <is>
          <t>情绪粗标：负面；主题粗标：包装破损；罐体压瘪；京东商品评价弹层核验；已排除商家回复与用户名；评价页未展示评论点赞/有用数，点赞数留空</t>
        </is>
      </c>
      <c r="Q266" t="inlineStr">
        <is>
          <t>竞品</t>
        </is>
      </c>
      <c r="R266"/>
      <c r="S266" t="inlineStr">
        <is>
          <t>JD-20260809-050_ANALYSIS_BASELINE_formal-attempt-0001_AI</t>
        </is>
      </c>
      <c r="T266" t="inlineStr">
        <is>
          <t>竞品反馈</t>
        </is>
      </c>
      <c r="U266" t="inlineStr">
        <is>
          <t>KEEP</t>
        </is>
      </c>
      <c r="V266" t="inlineStr">
        <is>
          <t>ANALYSIS_BASELINE</t>
        </is>
      </c>
      <c r="W266" t="inlineStr">
        <is>
          <t>可用</t>
        </is>
      </c>
      <c r="X266" t="inlineStr">
        <is>
          <t>品牌语料分析与洞察体系.xlsx#表1：原始语料库!266</t>
        </is>
      </c>
      <c r="Y266" t="inlineStr">
        <is>
          <t>FROZEN_419_V2</t>
        </is>
      </c>
    </row>
    <row r="267" ht="25.5" customHeight="1">
      <c r="A267" t="inlineStr">
        <is>
          <t>TB-20260809-005</t>
        </is>
      </c>
      <c r="B267" t="inlineStr">
        <is>
          <t>竞品产品体验反馈</t>
        </is>
      </c>
      <c r="C267" t="inlineStr">
        <is>
          <t>PRJ001</t>
        </is>
      </c>
      <c r="D267" t="inlineStr">
        <is>
          <t>CHOYA俏雅｜带梅子梅酒430ml+赠梅酒杯</t>
        </is>
      </c>
      <c r="E267" t="inlineStr">
        <is>
          <t>很好喝的梅子酒，送的杯子也很漂亮，继续回购</t>
        </is>
      </c>
      <c r="F267" t="inlineStr">
        <is>
          <t>品牌：CHOYA俏雅｜商品/规格：带梅子梅酒430ml+赠梅酒杯｜SKU：873823229086</t>
        </is>
      </c>
      <c r="G267" t="inlineStr">
        <is>
          <t>淘宝</t>
        </is>
      </c>
      <c r="H267" s="2" t="str">
        <f>=HYPERLINK("https://detail.tmall.com/item.htm?id=873823229086", "https://detail.tmall.com/item.htm?id=873823229086")</f>
        <v>https://detail.tmall.com/item.htm?id=873823229086</v>
      </c>
      <c r="I267" s="3">
        <v>46239</v>
      </c>
      <c r="J267" s="4">
        <v>46243</v>
      </c>
      <c r="K267" t="inlineStr">
        <is>
          <t>CHOYA 俏雅 梅酒 商品评价</t>
        </is>
      </c>
      <c r="L267"/>
      <c r="M267" t="inlineStr">
        <is>
          <t>TB-U-20260809-005</t>
        </is>
      </c>
      <c r="N267" t="inlineStr">
        <is>
          <t>公开评论</t>
        </is>
      </c>
      <c r="O267"/>
      <c r="P267" t="inlineStr">
        <is>
          <t>情绪粗标：正面；主题粗标：赠品酒杯；回购；天猫CHOYA旗舰店商品评价；未记录用户名；评价页未展示评论点赞/有用数，点赞数留空</t>
        </is>
      </c>
      <c r="Q267" t="inlineStr">
        <is>
          <t>竞品</t>
        </is>
      </c>
      <c r="R267"/>
      <c r="S267" t="inlineStr">
        <is>
          <t>TB-20260809-005_ANALYSIS_BASELINE_formal-attempt-0001_AI</t>
        </is>
      </c>
      <c r="T267" t="inlineStr">
        <is>
          <t>竞品反馈</t>
        </is>
      </c>
      <c r="U267" t="inlineStr">
        <is>
          <t>KEEP</t>
        </is>
      </c>
      <c r="V267" t="inlineStr">
        <is>
          <t>ANALYSIS_BASELINE</t>
        </is>
      </c>
      <c r="W267" t="inlineStr">
        <is>
          <t>可用</t>
        </is>
      </c>
      <c r="X267" t="inlineStr">
        <is>
          <t>品牌语料分析与洞察体系.xlsx#表1：原始语料库!267</t>
        </is>
      </c>
      <c r="Y267" t="inlineStr">
        <is>
          <t>FROZEN_419_V2</t>
        </is>
      </c>
    </row>
    <row r="268" ht="25.5" customHeight="1">
      <c r="A268" t="inlineStr">
        <is>
          <t>XHS-SOC-0017</t>
        </is>
      </c>
      <c r="B268" t="inlineStr">
        <is>
          <t>竞品选择与替代理由</t>
        </is>
      </c>
      <c r="C268" t="inlineStr">
        <is>
          <t>PRJ001</t>
        </is>
      </c>
      <c r="D268" t="inlineStr">
        <is>
          <t>昆竹</t>
        </is>
      </c>
      <c r="E268" t="inlineStr">
        <is>
          <t>昆竹牌！广东龙门这边生产的真的很好喝，冰一下喝绝了，我觉得比梅见好喝</t>
        </is>
      </c>
      <c r="F268" t="inlineStr">
        <is>
          <t>除了梅见还有其他梅子酒推荐吗｜2025-07-04｜小红书</t>
        </is>
      </c>
      <c r="G268" t="inlineStr">
        <is>
          <t>小红书</t>
        </is>
      </c>
      <c r="H268" s="2" t="str">
        <f>=HYPERLINK("https://www.xiaohongshu.com/explore/6a48b570000000001603dc9b", "https://www.xiaohongshu.com/explore/6a48b570000000001603dc9b")</f>
        <v>https://www.xiaohongshu.com/explore/6a48b570000000001603dc9b</v>
      </c>
      <c r="I268" s="3">
        <v>46208</v>
      </c>
      <c r="J268" s="4">
        <v>46243</v>
      </c>
      <c r="K268" t="inlineStr">
        <is>
          <t>青梅酒推荐</t>
        </is>
      </c>
      <c r="L268">
        <v>5</v>
      </c>
      <c r="M268" t="inlineStr">
        <is>
          <t>XHS-U0185</t>
        </is>
      </c>
      <c r="N268" t="inlineStr">
        <is>
          <t>公开评论</t>
        </is>
      </c>
      <c r="O268"/>
      <c r="P268" t="inlineStr">
        <is>
          <t>原始:07-05;年份推定·广东</t>
        </is>
      </c>
      <c r="Q268" t="inlineStr">
        <is>
          <t>目标品牌</t>
        </is>
      </c>
      <c r="R268"/>
      <c r="S268" t="inlineStr">
        <is>
          <t>XHS-SOC-0017_ANALYSIS_DEMO_DELTA_formal-attempt-0001_AI</t>
        </is>
      </c>
      <c r="T268" t="inlineStr">
        <is>
          <t>竞品反馈</t>
        </is>
      </c>
      <c r="U268" t="inlineStr">
        <is>
          <t>KEEP</t>
        </is>
      </c>
      <c r="V268" t="inlineStr">
        <is>
          <t>CURATED_DEMO_DELTA</t>
        </is>
      </c>
      <c r="W268" t="inlineStr">
        <is>
          <t>可用</t>
        </is>
      </c>
      <c r="X268" t="inlineStr">
        <is>
          <t>品牌语料分析与洞察体系.xlsx#表1：原始语料库!268</t>
        </is>
      </c>
      <c r="Y268" t="inlineStr">
        <is>
          <t>FROZEN_419_V2</t>
        </is>
      </c>
    </row>
    <row r="269" ht="25.5" customHeight="1">
      <c r="A269" t="inlineStr">
        <is>
          <t>XHS-SOC-0046</t>
        </is>
      </c>
      <c r="B269" t="inlineStr">
        <is>
          <t>竞品选择与替代理由</t>
        </is>
      </c>
      <c r="C269" t="inlineStr">
        <is>
          <t>PRJ001</t>
        </is>
      </c>
      <c r="D269" t="inlineStr">
        <is>
          <t>昆竹</t>
        </is>
      </c>
      <c r="E269" t="inlineStr">
        <is>
          <t>昆竹白金版，或者进口俏雅。但是，都太甜，必须加冰喝。和自己泡的还是差太远。</t>
        </is>
      </c>
      <c r="F269" t="inlineStr">
        <is>
          <t>除了梅见还有其他梅子酒推荐吗｜2025-07-04｜小红书</t>
        </is>
      </c>
      <c r="G269" t="inlineStr">
        <is>
          <t>小红书</t>
        </is>
      </c>
      <c r="H269" s="2" t="str">
        <f>=HYPERLINK("https://www.xiaohongshu.com/explore/6a48b570000000001603dc9b", "https://www.xiaohongshu.com/explore/6a48b570000000001603dc9b")</f>
        <v>https://www.xiaohongshu.com/explore/6a48b570000000001603dc9b</v>
      </c>
      <c r="I269" s="3">
        <v>46212</v>
      </c>
      <c r="J269" s="4">
        <v>46243</v>
      </c>
      <c r="K269" t="inlineStr">
        <is>
          <t>青梅酒推荐</t>
        </is>
      </c>
      <c r="L269">
        <v>0</v>
      </c>
      <c r="M269" t="inlineStr">
        <is>
          <t>XHS-U0191</t>
        </is>
      </c>
      <c r="N269" t="inlineStr">
        <is>
          <t>公开评论</t>
        </is>
      </c>
      <c r="O269"/>
      <c r="P269" t="inlineStr">
        <is>
          <t>原始:07-09;年份推定·贵州</t>
        </is>
      </c>
      <c r="Q269" t="inlineStr">
        <is>
          <t>目标品牌</t>
        </is>
      </c>
      <c r="R269"/>
      <c r="S269" t="inlineStr">
        <is>
          <t>XHS-SOC-0046_ANALYSIS_DEMO_DELTA_formal-attempt-0001_AI</t>
        </is>
      </c>
      <c r="T269" t="inlineStr">
        <is>
          <t>竞品反馈</t>
        </is>
      </c>
      <c r="U269" t="inlineStr">
        <is>
          <t>KEEP</t>
        </is>
      </c>
      <c r="V269" t="inlineStr">
        <is>
          <t>CURATED_DEMO_DELTA</t>
        </is>
      </c>
      <c r="W269" t="inlineStr">
        <is>
          <t>可用</t>
        </is>
      </c>
      <c r="X269" t="inlineStr">
        <is>
          <t>品牌语料分析与洞察体系.xlsx#表1：原始语料库!269</t>
        </is>
      </c>
      <c r="Y269" t="inlineStr">
        <is>
          <t>FROZEN_419_V2</t>
        </is>
      </c>
    </row>
    <row r="270" ht="25.5" customHeight="1">
      <c r="A270" t="inlineStr">
        <is>
          <t>XHS-SOC-0229</t>
        </is>
      </c>
      <c r="B270" t="inlineStr">
        <is>
          <t>竞品选择与替代理由</t>
        </is>
      </c>
      <c r="C270" t="inlineStr">
        <is>
          <t>PRJ001</t>
        </is>
      </c>
      <c r="D270" t="inlineStr">
        <is>
          <t>昆竹</t>
        </is>
      </c>
      <c r="E270" t="inlineStr">
        <is>
          <t>梅见推荐哪一款啊</t>
        </is>
      </c>
      <c r="F270" t="inlineStr">
        <is>
          <t>最近喜欢喝酒-RIO和梅见-求推荐女性酒｜2025-06-10｜小红书</t>
        </is>
      </c>
      <c r="G270" t="inlineStr">
        <is>
          <t>小红书</t>
        </is>
      </c>
      <c r="H270" s="2" t="str">
        <f>=HYPERLINK("https://www.xiaohongshu.com/search_result/梅见和rio", "https://www.xiaohongshu.com/search_result/梅见和rio")</f>
        <v>https://www.xiaohongshu.com/search_result/梅见和rio</v>
      </c>
      <c r="I270" s="3">
        <v>46189</v>
      </c>
      <c r="J270" s="4">
        <v>46243</v>
      </c>
      <c r="K270" t="inlineStr">
        <is>
          <t>梅见和RIO</t>
        </is>
      </c>
      <c r="L270">
        <v>0</v>
      </c>
      <c r="M270" t="inlineStr">
        <is>
          <t>XHS-U0233</t>
        </is>
      </c>
      <c r="N270" t="inlineStr">
        <is>
          <t>公开评论</t>
        </is>
      </c>
      <c r="O270"/>
      <c r="P270" t="inlineStr">
        <is>
          <t>原始:06-16;年份推定·湖北；当前为搜索结果页链接，正式入库前需补原笔记链接</t>
        </is>
      </c>
      <c r="Q270" t="inlineStr">
        <is>
          <t>目标品牌</t>
        </is>
      </c>
      <c r="R270"/>
      <c r="S270" t="inlineStr">
        <is>
          <t>XHS-SOC-0229_CHALLENGE_POOL_formal-attempt-0001_AI</t>
        </is>
      </c>
      <c r="T270" t="inlineStr">
        <is>
          <t>竞品反馈</t>
        </is>
      </c>
      <c r="U270" t="inlineStr">
        <is>
          <t>KEEP</t>
        </is>
      </c>
      <c r="V270" t="inlineStr">
        <is>
          <t>CHALLENGE</t>
        </is>
      </c>
      <c r="W270" t="inlineStr">
        <is>
          <t>可用</t>
        </is>
      </c>
      <c r="X270" t="inlineStr">
        <is>
          <t>品牌语料分析与洞察体系.xlsx#表1：原始语料库!270</t>
        </is>
      </c>
      <c r="Y270" t="inlineStr">
        <is>
          <t>FROZEN_419_V2</t>
        </is>
      </c>
    </row>
    <row r="271" ht="25.5" customHeight="1">
      <c r="A271" t="inlineStr">
        <is>
          <t>XHS-SOC-0230</t>
        </is>
      </c>
      <c r="B271" t="inlineStr">
        <is>
          <t>竞品选择与替代理由</t>
        </is>
      </c>
      <c r="C271" t="inlineStr">
        <is>
          <t>PRJ001</t>
        </is>
      </c>
      <c r="D271" t="inlineStr">
        <is>
          <t>蝶矢</t>
        </is>
      </c>
      <c r="E271" t="inlineStr">
        <is>
          <t>我穷苦人家只喝得起蝶矢</t>
        </is>
      </c>
      <c r="F271" t="inlineStr">
        <is>
          <t>给梅见道歉-会回购｜2025-07-03｜小红书</t>
        </is>
      </c>
      <c r="G271" t="inlineStr">
        <is>
          <t>小红书</t>
        </is>
      </c>
      <c r="H271" s="2" t="str">
        <f>=HYPERLINK("https://www.xiaohongshu.com/search_result/梅见回购", "https://www.xiaohongshu.com/search_result/梅见回购")</f>
        <v>https://www.xiaohongshu.com/search_result/梅见回购</v>
      </c>
      <c r="I271" s="3">
        <v>46117</v>
      </c>
      <c r="J271" s="4">
        <v>46243</v>
      </c>
      <c r="K271" t="inlineStr">
        <is>
          <t>梅见回购</t>
        </is>
      </c>
      <c r="L271">
        <v>0</v>
      </c>
      <c r="M271" t="inlineStr">
        <is>
          <t>XHS-U0339</t>
        </is>
      </c>
      <c r="N271" t="inlineStr">
        <is>
          <t>公开评论</t>
        </is>
      </c>
      <c r="O271"/>
      <c r="P271" t="inlineStr">
        <is>
          <t>原始:04-05;年份推定·中国台湾；当前为搜索结果页链接，正式入库前需补原笔记链接</t>
        </is>
      </c>
      <c r="Q271" t="inlineStr">
        <is>
          <t>目标品牌</t>
        </is>
      </c>
      <c r="R271"/>
      <c r="S271" t="inlineStr">
        <is>
          <t>XHS-SOC-0230_GOLD_人工标注_人工,XHS-SOC-0230_GOLD_attempt-0002_AI_矫正前,XHS-SOC-0230_GOLD_attempt-0006_AI_矫正后</t>
        </is>
      </c>
      <c r="T271" t="inlineStr">
        <is>
          <t>竞品反馈</t>
        </is>
      </c>
      <c r="U271" t="inlineStr">
        <is>
          <t>KEEP</t>
        </is>
      </c>
      <c r="V271" t="inlineStr">
        <is>
          <t>GOLD</t>
        </is>
      </c>
      <c r="W271" t="inlineStr">
        <is>
          <t>不可用</t>
        </is>
      </c>
      <c r="X271" t="inlineStr">
        <is>
          <t>原始母表#raw_id=XHS-SOC-0230</t>
        </is>
      </c>
      <c r="Y271" t="inlineStr">
        <is>
          <t>FROZEN_419_V2</t>
        </is>
      </c>
    </row>
    <row r="272" ht="25.5" customHeight="1">
      <c r="A272" t="inlineStr">
        <is>
          <t>JD-20260809-041</t>
        </is>
      </c>
      <c r="B272" t="inlineStr">
        <is>
          <t>竞品选择与替代理由</t>
        </is>
      </c>
      <c r="C272" t="inlineStr">
        <is>
          <t>PRJ001</t>
        </is>
      </c>
      <c r="D272" t="inlineStr">
        <is>
          <t>昆竹牌｜青梅酒450ml*6瓶</t>
        </is>
      </c>
      <c r="E272" t="inlineStr">
        <is>
          <t>还行有点小辣酒的味道兑饮料还不错
比梅见酒味淡一点，不过好像更甜一点
好喝不上头，推荐推荐多次回购了 家里老人挺喜欢的 也很上档次</t>
        </is>
      </c>
      <c r="F272" t="inlineStr">
        <is>
          <t>品牌：昆竹牌｜商品/规格：青梅酒450ml*6瓶｜SKU：100348071270</t>
        </is>
      </c>
      <c r="G272" t="inlineStr">
        <is>
          <t>京东</t>
        </is>
      </c>
      <c r="H272" s="2" t="str">
        <f>=HYPERLINK("https://item.jd.com/100348071270.html", "https://item.jd.com/100348071270.html")</f>
        <v>https://item.jd.com/100348071270.html</v>
      </c>
      <c r="I272" s="3">
        <v>46080</v>
      </c>
      <c r="J272" s="4">
        <v>46243</v>
      </c>
      <c r="K272" t="inlineStr">
        <is>
          <t>昆竹 青梅酒 商品评价</t>
        </is>
      </c>
      <c r="L272"/>
      <c r="M272" t="inlineStr">
        <is>
          <t>JD-U-20260809-041</t>
        </is>
      </c>
      <c r="N272" t="inlineStr">
        <is>
          <t>公开评论</t>
        </is>
      </c>
      <c r="O272"/>
      <c r="P272" t="inlineStr">
        <is>
          <t>情绪粗标：中性；主题粗标：轻微辣口；兑饮料；与梅见比较；甜度；不上头；回购；品牌档次；京东商品评价弹层核验；已排除商家回复与用户名；评价页未展示评论点赞/有用数，点赞数留空</t>
        </is>
      </c>
      <c r="Q272" t="inlineStr">
        <is>
          <t>竞品</t>
        </is>
      </c>
      <c r="R272"/>
      <c r="S272" t="inlineStr">
        <is>
          <t>JD-20260809-041_ANALYSIS_DEMO_DELTA_formal-attempt-0001_AI</t>
        </is>
      </c>
      <c r="T272" t="inlineStr">
        <is>
          <t>竞品反馈</t>
        </is>
      </c>
      <c r="U272" t="inlineStr">
        <is>
          <t>KEEP</t>
        </is>
      </c>
      <c r="V272" t="inlineStr">
        <is>
          <t>CURATED_DEMO_DELTA</t>
        </is>
      </c>
      <c r="W272" t="inlineStr">
        <is>
          <t>可用</t>
        </is>
      </c>
      <c r="X272" t="inlineStr">
        <is>
          <t>品牌语料分析与洞察体系.xlsx#表1：原始语料库!272</t>
        </is>
      </c>
      <c r="Y272" t="inlineStr">
        <is>
          <t>FROZEN_419_V2</t>
        </is>
      </c>
    </row>
    <row r="273" ht="25.5" customHeight="1">
      <c r="A273" t="inlineStr">
        <is>
          <t>TB-20260809-007</t>
        </is>
      </c>
      <c r="B273" t="inlineStr">
        <is>
          <t>竞品选择与替代理由</t>
        </is>
      </c>
      <c r="C273" t="inlineStr">
        <is>
          <t>PRJ001</t>
        </is>
      </c>
      <c r="D273" t="inlineStr">
        <is>
          <t>CHOYA俏雅｜带梅子本格梅酒700ml*2+赠梅酒杯</t>
        </is>
      </c>
      <c r="E273" t="inlineStr">
        <is>
          <t>喝过日本原装进口的版本，试试国产版，包装完好无损，物流也很快</t>
        </is>
      </c>
      <c r="F273" t="inlineStr">
        <is>
          <t>品牌：CHOYA俏雅｜商品/规格：带梅子本格梅酒700ml*2+赠梅酒杯｜SKU：873823229086</t>
        </is>
      </c>
      <c r="G273" t="inlineStr">
        <is>
          <t>淘宝</t>
        </is>
      </c>
      <c r="H273" s="2" t="str">
        <f>=HYPERLINK("https://detail.tmall.com/item.htm?id=873823229086", "https://detail.tmall.com/item.htm?id=873823229086")</f>
        <v>https://detail.tmall.com/item.htm?id=873823229086</v>
      </c>
      <c r="I273" s="3">
        <v>46209</v>
      </c>
      <c r="J273" s="4">
        <v>46243</v>
      </c>
      <c r="K273" t="inlineStr">
        <is>
          <t>CHOYA 俏雅 梅酒 商品评价</t>
        </is>
      </c>
      <c r="L273"/>
      <c r="M273" t="inlineStr">
        <is>
          <t>TB-U-20260809-007</t>
        </is>
      </c>
      <c r="N273" t="inlineStr">
        <is>
          <t>公开评论</t>
        </is>
      </c>
      <c r="O273"/>
      <c r="P273" t="inlineStr">
        <is>
          <t>情绪粗标：中性；主题粗标：日本进口与国产比较；尝试理由；包装；天猫CHOYA旗舰店商品评价；未记录用户名；评价页未展示评论点赞/有用数，点赞数留空</t>
        </is>
      </c>
      <c r="Q273" t="inlineStr">
        <is>
          <t>竞品</t>
        </is>
      </c>
      <c r="R273"/>
      <c r="S273" t="inlineStr">
        <is>
          <t>TB-20260809-007_CHALLENGE_POOL_formal-attempt-0001_AI</t>
        </is>
      </c>
      <c r="T273" t="inlineStr">
        <is>
          <t>竞品反馈</t>
        </is>
      </c>
      <c r="U273" t="inlineStr">
        <is>
          <t>KEEP</t>
        </is>
      </c>
      <c r="V273" t="inlineStr">
        <is>
          <t>CHALLENGE</t>
        </is>
      </c>
      <c r="W273" t="inlineStr">
        <is>
          <t>可用</t>
        </is>
      </c>
      <c r="X273" t="inlineStr">
        <is>
          <t>品牌语料分析与洞察体系.xlsx#表1：原始语料库!273</t>
        </is>
      </c>
      <c r="Y273" t="inlineStr">
        <is>
          <t>FROZEN_419_V2</t>
        </is>
      </c>
    </row>
    <row r="274" ht="25.5" customHeight="1">
      <c r="A274" t="inlineStr">
        <is>
          <t>XHS-SOC-0001</t>
        </is>
      </c>
      <c r="B274" t="inlineStr">
        <is>
          <t>低度酒品类态度</t>
        </is>
      </c>
      <c r="C274" t="inlineStr">
        <is>
          <t>PRJ001</t>
        </is>
      </c>
      <c r="D274" t="inlineStr">
        <is>
          <t>梅见</t>
        </is>
      </c>
      <c r="E274" t="inlineStr">
        <is>
          <t>自己泡了以后外面买的梅子酒都看不上了</t>
        </is>
      </c>
      <c r="F274" t="inlineStr">
        <is>
          <t>除了梅见还有其他梅子酒推荐吗｜2025-07-04｜小红书</t>
        </is>
      </c>
      <c r="G274" t="inlineStr">
        <is>
          <t>小红书</t>
        </is>
      </c>
      <c r="H274" s="2" t="str">
        <f>=HYPERLINK("https://www.xiaohongshu.com/explore/6a48b570000000001603dc9b", "https://www.xiaohongshu.com/explore/6a48b570000000001603dc9b")</f>
        <v>https://www.xiaohongshu.com/explore/6a48b570000000001603dc9b</v>
      </c>
      <c r="I274" s="3">
        <v>46207</v>
      </c>
      <c r="J274" s="4">
        <v>46243</v>
      </c>
      <c r="K274" t="inlineStr">
        <is>
          <t>青梅酒推荐</t>
        </is>
      </c>
      <c r="L274">
        <v>13</v>
      </c>
      <c r="M274" t="inlineStr">
        <is>
          <t>XHS-U0186</t>
        </is>
      </c>
      <c r="N274" t="inlineStr">
        <is>
          <t>公开评论</t>
        </is>
      </c>
      <c r="O274"/>
      <c r="P274" t="inlineStr">
        <is>
          <t>原始:07-04;年份推定·广东</t>
        </is>
      </c>
      <c r="Q274" t="inlineStr">
        <is>
          <t>目标品牌</t>
        </is>
      </c>
      <c r="R274"/>
      <c r="S274" t="inlineStr">
        <is>
          <t>XHS-SOC-0001_ANALYSIS_BASELINE_formal-attempt-0001_AI</t>
        </is>
      </c>
      <c r="T274" t="inlineStr">
        <is>
          <t>饮酒情绪</t>
        </is>
      </c>
      <c r="U274" t="inlineStr">
        <is>
          <t>KEEP</t>
        </is>
      </c>
      <c r="V274" t="inlineStr">
        <is>
          <t>ANALYSIS_BASELINE</t>
        </is>
      </c>
      <c r="W274" t="inlineStr">
        <is>
          <t>可用</t>
        </is>
      </c>
      <c r="X274" t="inlineStr">
        <is>
          <t>品牌语料分析与洞察体系.xlsx#表1：原始语料库!274</t>
        </is>
      </c>
      <c r="Y274" t="inlineStr">
        <is>
          <t>FROZEN_419_V2</t>
        </is>
      </c>
    </row>
    <row r="275" ht="25.5" customHeight="1">
      <c r="A275" t="inlineStr">
        <is>
          <t>XHS-SOC-0002</t>
        </is>
      </c>
      <c r="B275" t="inlineStr">
        <is>
          <t>低度酒品类态度</t>
        </is>
      </c>
      <c r="C275" t="inlineStr">
        <is>
          <t>PRJ001</t>
        </is>
      </c>
      <c r="D275" t="inlineStr">
        <is>
          <t>低度酒</t>
        </is>
      </c>
      <c r="E275" t="inlineStr">
        <is>
          <t>酒对身体没一丁点好处，不过对情绪有很大好处</t>
        </is>
      </c>
      <c r="F275" t="inlineStr">
        <is>
          <t>喝酒对人体没有一点好处｜2025-12-29｜小红书</t>
        </is>
      </c>
      <c r="G275" t="inlineStr">
        <is>
          <t>小红书</t>
        </is>
      </c>
      <c r="H275" s="2" t="str">
        <f>=HYPERLINK("https://www.xiaohongshu.com/search_result/低度酒智商税", "https://www.xiaohongshu.com/search_result/低度酒智商税")</f>
        <v>https://www.xiaohongshu.com/search_result/低度酒智商税</v>
      </c>
      <c r="I275" s="3">
        <v>46025</v>
      </c>
      <c r="J275" s="4">
        <v>46243</v>
      </c>
      <c r="K275" t="inlineStr">
        <is>
          <t>低度酒智商税</t>
        </is>
      </c>
      <c r="L275">
        <v>730</v>
      </c>
      <c r="M275" t="inlineStr">
        <is>
          <t>XHS-U0234</t>
        </is>
      </c>
      <c r="N275" t="inlineStr">
        <is>
          <t>公开评论</t>
        </is>
      </c>
      <c r="O275"/>
      <c r="P275" t="inlineStr">
        <is>
          <t>原始:01-03;年份推定·江苏；当前为搜索结果页链接，正式入库前需补原笔记链接</t>
        </is>
      </c>
      <c r="Q275" t="inlineStr">
        <is>
          <t>低度酒品类</t>
        </is>
      </c>
      <c r="R275"/>
      <c r="S275" t="inlineStr">
        <is>
          <t>XHS-SOC-0002_ANALYSIS_BASELINE_formal-attempt-0001_AI</t>
        </is>
      </c>
      <c r="T275" t="inlineStr">
        <is>
          <t>饮酒情绪</t>
        </is>
      </c>
      <c r="U275" t="inlineStr">
        <is>
          <t>KEEP</t>
        </is>
      </c>
      <c r="V275" t="inlineStr">
        <is>
          <t>ANALYSIS_BASELINE</t>
        </is>
      </c>
      <c r="W275" t="inlineStr">
        <is>
          <t>可用</t>
        </is>
      </c>
      <c r="X275" t="inlineStr">
        <is>
          <t>品牌语料分析与洞察体系.xlsx#表1：原始语料库!275</t>
        </is>
      </c>
      <c r="Y275" t="inlineStr">
        <is>
          <t>FROZEN_419_V2</t>
        </is>
      </c>
    </row>
    <row r="276" ht="25.5" customHeight="1">
      <c r="A276" t="inlineStr">
        <is>
          <t>XHS-SOC-0003</t>
        </is>
      </c>
      <c r="B276" t="inlineStr">
        <is>
          <t>低度酒品类态度</t>
        </is>
      </c>
      <c r="C276" t="inlineStr">
        <is>
          <t>PRJ001</t>
        </is>
      </c>
      <c r="D276" t="inlineStr">
        <is>
          <t>低度酒</t>
        </is>
      </c>
      <c r="E276" t="inlineStr">
        <is>
          <t>一级致癌的应该是情绪病，常年心情不好的人癌症更多找上门。喝点酒能让心情好就喝点</t>
        </is>
      </c>
      <c r="F276" t="inlineStr">
        <is>
          <t>喝酒对人体没有一点好处｜2025-12-29｜小红书</t>
        </is>
      </c>
      <c r="G276" t="inlineStr">
        <is>
          <t>小红书</t>
        </is>
      </c>
      <c r="H276" s="2" t="str">
        <f>=HYPERLINK("https://www.xiaohongshu.com/search_result/低度酒智商税", "https://www.xiaohongshu.com/search_result/低度酒智商税")</f>
        <v>https://www.xiaohongshu.com/search_result/低度酒智商税</v>
      </c>
      <c r="I276" s="3">
        <v>46026</v>
      </c>
      <c r="J276" s="4">
        <v>46243</v>
      </c>
      <c r="K276" t="inlineStr">
        <is>
          <t>低度酒智商税</t>
        </is>
      </c>
      <c r="L276">
        <v>659</v>
      </c>
      <c r="M276" t="inlineStr">
        <is>
          <t>XHS-U0235</t>
        </is>
      </c>
      <c r="N276" t="inlineStr">
        <is>
          <t>公开评论</t>
        </is>
      </c>
      <c r="O276"/>
      <c r="P276" t="inlineStr">
        <is>
          <t>原始:01-04;年份推定·江苏；当前为搜索结果页链接，正式入库前需补原笔记链接</t>
        </is>
      </c>
      <c r="Q276" t="inlineStr">
        <is>
          <t>低度酒品类</t>
        </is>
      </c>
      <c r="R276"/>
      <c r="S276" t="inlineStr">
        <is>
          <t>XHS-SOC-0003_CHALLENGE_POOL_formal-attempt-0001_AI</t>
        </is>
      </c>
      <c r="T276" t="inlineStr">
        <is>
          <t>饮酒情绪</t>
        </is>
      </c>
      <c r="U276" t="inlineStr">
        <is>
          <t>KEEP</t>
        </is>
      </c>
      <c r="V276" t="inlineStr">
        <is>
          <t>CHALLENGE</t>
        </is>
      </c>
      <c r="W276" t="inlineStr">
        <is>
          <t>可用</t>
        </is>
      </c>
      <c r="X276" t="inlineStr">
        <is>
          <t>品牌语料分析与洞察体系.xlsx#表1：原始语料库!276</t>
        </is>
      </c>
      <c r="Y276" t="inlineStr">
        <is>
          <t>FROZEN_419_V2</t>
        </is>
      </c>
    </row>
    <row r="277" ht="25.5" customHeight="1">
      <c r="A277" t="inlineStr">
        <is>
          <t>XHS-SOC-0004</t>
        </is>
      </c>
      <c r="B277" t="inlineStr">
        <is>
          <t>低度酒品类态度</t>
        </is>
      </c>
      <c r="C277" t="inlineStr">
        <is>
          <t>PRJ001</t>
        </is>
      </c>
      <c r="D277" t="inlineStr">
        <is>
          <t>低度酒</t>
        </is>
      </c>
      <c r="E277" t="inlineStr">
        <is>
          <t>是的，我总觉得惺惺作态。陌生人或者工作场合还好，自己亲戚自己家人之间还要搞这套我尤其厌恶</t>
        </is>
      </c>
      <c r="F277" t="inlineStr">
        <is>
          <t>我为什么厌恶敬酒这个行为｜2025-02-14｜小红书</t>
        </is>
      </c>
      <c r="G277" t="inlineStr">
        <is>
          <t>小红书</t>
        </is>
      </c>
      <c r="H277" s="2" t="str">
        <f>=HYPERLINK("https://www.xiaohongshu.com/search_result/拒绝酒桌文化", "https://www.xiaohongshu.com/search_result/拒绝酒桌文化")</f>
        <v>https://www.xiaohongshu.com/search_result/拒绝酒桌文化</v>
      </c>
      <c r="I277" s="3">
        <v>46067</v>
      </c>
      <c r="J277" s="4">
        <v>46243</v>
      </c>
      <c r="K277" t="inlineStr">
        <is>
          <t>不想被劝酒</t>
        </is>
      </c>
      <c r="L277">
        <v>423</v>
      </c>
      <c r="M277" t="inlineStr">
        <is>
          <t>XHS-U0252</t>
        </is>
      </c>
      <c r="N277" t="inlineStr">
        <is>
          <t>公开评论</t>
        </is>
      </c>
      <c r="O277"/>
      <c r="P277" t="inlineStr">
        <is>
          <t>原始:02-14;年份推定·安徽；当前为搜索结果页链接，正式入库前需补原笔记链接</t>
        </is>
      </c>
      <c r="Q277" t="inlineStr">
        <is>
          <t>低度酒品类</t>
        </is>
      </c>
      <c r="R277"/>
      <c r="S277" t="inlineStr">
        <is>
          <t>XHS-SOC-0004_ANALYSIS_BASELINE_formal-attempt-0001_AI</t>
        </is>
      </c>
      <c r="T277" t="inlineStr">
        <is>
          <t>饮酒情绪</t>
        </is>
      </c>
      <c r="U277" t="inlineStr">
        <is>
          <t>KEEP</t>
        </is>
      </c>
      <c r="V277" t="inlineStr">
        <is>
          <t>ANALYSIS_BASELINE</t>
        </is>
      </c>
      <c r="W277" t="inlineStr">
        <is>
          <t>可用</t>
        </is>
      </c>
      <c r="X277" t="inlineStr">
        <is>
          <t>品牌语料分析与洞察体系.xlsx#表1：原始语料库!277</t>
        </is>
      </c>
      <c r="Y277" t="inlineStr">
        <is>
          <t>FROZEN_419_V2</t>
        </is>
      </c>
    </row>
    <row r="278" ht="25.5" customHeight="1">
      <c r="A278" t="inlineStr">
        <is>
          <t>XHS-SOC-0005</t>
        </is>
      </c>
      <c r="B278" t="inlineStr">
        <is>
          <t>低度酒品类态度</t>
        </is>
      </c>
      <c r="C278" t="inlineStr">
        <is>
          <t>PRJ001</t>
        </is>
      </c>
      <c r="D278" t="inlineStr">
        <is>
          <t>低度酒</t>
        </is>
      </c>
      <c r="E278" t="inlineStr">
        <is>
          <t>只有过一次 感觉头重重的 脚下晃晃的 世界是光怪陆离的 好快乐 嘴角会不由自主上翘</t>
        </is>
      </c>
      <c r="F278" t="inlineStr">
        <is>
          <t>微醺就是把自己还给自己｜2025-08-28｜小红书</t>
        </is>
      </c>
      <c r="G278" t="inlineStr">
        <is>
          <t>小红书</t>
        </is>
      </c>
      <c r="H278" s="2" t="str">
        <f>=HYPERLINK("https://www.xiaohongshu.com/search_result/微醺放松", "https://www.xiaohongshu.com/search_result/微醺放松")</f>
        <v>https://www.xiaohongshu.com/search_result/微醺放松</v>
      </c>
      <c r="I278" s="3">
        <v>45901</v>
      </c>
      <c r="J278" s="4">
        <v>46243</v>
      </c>
      <c r="K278" t="inlineStr">
        <is>
          <t>微醺放松</t>
        </is>
      </c>
      <c r="L278">
        <v>1278</v>
      </c>
      <c r="M278" t="inlineStr">
        <is>
          <t>XHS-U0283</t>
        </is>
      </c>
      <c r="N278" t="inlineStr">
        <is>
          <t>公开评论</t>
        </is>
      </c>
      <c r="O278"/>
      <c r="P278" t="inlineStr">
        <is>
          <t>原始:2025-09-01·浙江；当前为搜索结果页链接，正式入库前需补原笔记链接</t>
        </is>
      </c>
      <c r="Q278" t="inlineStr">
        <is>
          <t>低度酒品类</t>
        </is>
      </c>
      <c r="R278"/>
      <c r="S278" t="inlineStr">
        <is>
          <t>XHS-SOC-0005_HOLDOUT_formal-attempt-0001_AI</t>
        </is>
      </c>
      <c r="T278" t="inlineStr">
        <is>
          <t>饮酒情绪</t>
        </is>
      </c>
      <c r="U278" t="inlineStr">
        <is>
          <t>KEEP</t>
        </is>
      </c>
      <c r="V278" t="inlineStr">
        <is>
          <t>HOLDOUT</t>
        </is>
      </c>
      <c r="W278" t="inlineStr">
        <is>
          <t>可用</t>
        </is>
      </c>
      <c r="X278" t="inlineStr">
        <is>
          <t>品牌语料分析与洞察体系.xlsx#表1：原始语料库!278</t>
        </is>
      </c>
      <c r="Y278" t="inlineStr">
        <is>
          <t>FROZEN_419_V2</t>
        </is>
      </c>
    </row>
    <row r="279" ht="25.5" customHeight="1">
      <c r="A279" t="inlineStr">
        <is>
          <t>XHS-SOC-0006</t>
        </is>
      </c>
      <c r="B279" t="inlineStr">
        <is>
          <t>低度酒品类态度</t>
        </is>
      </c>
      <c r="C279" t="inlineStr">
        <is>
          <t>PRJ001</t>
        </is>
      </c>
      <c r="D279" t="inlineStr">
        <is>
          <t>低度酒</t>
        </is>
      </c>
      <c r="E279" t="inlineStr">
        <is>
          <t>我可太懂了，这个阶段持续的时间太短了，不继续喝就会逐渐清醒，再往下喝就要出洋相了</t>
        </is>
      </c>
      <c r="F279" t="inlineStr">
        <is>
          <t>微醺就是把自己还给自己｜2025-08-28｜小红书</t>
        </is>
      </c>
      <c r="G279" t="inlineStr">
        <is>
          <t>小红书</t>
        </is>
      </c>
      <c r="H279" s="2" t="str">
        <f>=HYPERLINK("https://www.xiaohongshu.com/search_result/微醺放松", "https://www.xiaohongshu.com/search_result/微醺放松")</f>
        <v>https://www.xiaohongshu.com/search_result/微醺放松</v>
      </c>
      <c r="I279" s="3">
        <v>45897</v>
      </c>
      <c r="J279" s="4">
        <v>46243</v>
      </c>
      <c r="K279" t="inlineStr">
        <is>
          <t>微醺放松</t>
        </is>
      </c>
      <c r="L279">
        <v>2553</v>
      </c>
      <c r="M279" t="inlineStr">
        <is>
          <t>XHS-U0284</t>
        </is>
      </c>
      <c r="N279" t="inlineStr">
        <is>
          <t>公开评论</t>
        </is>
      </c>
      <c r="O279"/>
      <c r="P279" t="inlineStr">
        <is>
          <t>原始:2025-08-28·江苏；当前为搜索结果页链接，正式入库前需补原笔记链接</t>
        </is>
      </c>
      <c r="Q279" t="inlineStr">
        <is>
          <t>低度酒品类</t>
        </is>
      </c>
      <c r="R279"/>
      <c r="S279" t="inlineStr">
        <is>
          <t>XHS-SOC-0006_GOLD_人工标注_人工,XHS-SOC-0006_GOLD_attempt-0002_AI_矫正前,XHS-SOC-0006_GOLD_attempt-0006_AI_矫正后</t>
        </is>
      </c>
      <c r="T279" t="inlineStr">
        <is>
          <t>饮酒情绪</t>
        </is>
      </c>
      <c r="U279" t="inlineStr">
        <is>
          <t>KEEP</t>
        </is>
      </c>
      <c r="V279" t="inlineStr">
        <is>
          <t>GOLD</t>
        </is>
      </c>
      <c r="W279" t="inlineStr">
        <is>
          <t>不可用</t>
        </is>
      </c>
      <c r="X279" t="inlineStr">
        <is>
          <t>原始母表#raw_id=XHS-SOC-0006</t>
        </is>
      </c>
      <c r="Y279" t="inlineStr">
        <is>
          <t>FROZEN_419_V2</t>
        </is>
      </c>
    </row>
    <row r="280" ht="25.5" customHeight="1">
      <c r="A280" t="inlineStr">
        <is>
          <t>XHS-SOC-0007</t>
        </is>
      </c>
      <c r="B280" t="inlineStr">
        <is>
          <t>低度酒品类态度</t>
        </is>
      </c>
      <c r="C280" t="inlineStr">
        <is>
          <t>PRJ001</t>
        </is>
      </c>
      <c r="D280" t="inlineStr">
        <is>
          <t>低度酒</t>
        </is>
      </c>
      <c r="E280" t="inlineStr">
        <is>
          <t>我喜欢在这个阶段想事儿，感觉浑浊的无关紧要的东西都在下坠</t>
        </is>
      </c>
      <c r="F280" t="inlineStr">
        <is>
          <t>微醺就是把自己还给自己｜2025-08-28｜小红书</t>
        </is>
      </c>
      <c r="G280" t="inlineStr">
        <is>
          <t>小红书</t>
        </is>
      </c>
      <c r="H280" s="2" t="str">
        <f>=HYPERLINK("https://www.xiaohongshu.com/search_result/微醺放松", "https://www.xiaohongshu.com/search_result/微醺放松")</f>
        <v>https://www.xiaohongshu.com/search_result/微醺放松</v>
      </c>
      <c r="I280" s="3">
        <v>45904</v>
      </c>
      <c r="J280" s="4">
        <v>46243</v>
      </c>
      <c r="K280" t="inlineStr">
        <is>
          <t>微醺放松</t>
        </is>
      </c>
      <c r="L280">
        <v>294</v>
      </c>
      <c r="M280" t="inlineStr">
        <is>
          <t>XHS-U0286</t>
        </is>
      </c>
      <c r="N280" t="inlineStr">
        <is>
          <t>公开评论</t>
        </is>
      </c>
      <c r="O280"/>
      <c r="P280" t="inlineStr">
        <is>
          <t>原始:2025-09-04·广东；当前为搜索结果页链接，正式入库前需补原笔记链接</t>
        </is>
      </c>
      <c r="Q280" t="inlineStr">
        <is>
          <t>低度酒品类</t>
        </is>
      </c>
      <c r="R280"/>
      <c r="S280" t="inlineStr">
        <is>
          <t>XHS-SOC-0007_ANALYSIS_BASELINE_formal-attempt-0001_AI</t>
        </is>
      </c>
      <c r="T280" t="inlineStr">
        <is>
          <t>饮酒情绪</t>
        </is>
      </c>
      <c r="U280" t="inlineStr">
        <is>
          <t>KEEP</t>
        </is>
      </c>
      <c r="V280" t="inlineStr">
        <is>
          <t>ANALYSIS_BASELINE</t>
        </is>
      </c>
      <c r="W280" t="inlineStr">
        <is>
          <t>可用</t>
        </is>
      </c>
      <c r="X280" t="inlineStr">
        <is>
          <t>品牌语料分析与洞察体系.xlsx#表1：原始语料库!280</t>
        </is>
      </c>
      <c r="Y280" t="inlineStr">
        <is>
          <t>FROZEN_419_V2</t>
        </is>
      </c>
    </row>
    <row r="281" ht="25.5" customHeight="1">
      <c r="A281" t="inlineStr">
        <is>
          <t>XHS-SOC-0008</t>
        </is>
      </c>
      <c r="B281" t="inlineStr">
        <is>
          <t>低度酒品类态度</t>
        </is>
      </c>
      <c r="C281" t="inlineStr">
        <is>
          <t>PRJ001</t>
        </is>
      </c>
      <c r="D281" t="inlineStr">
        <is>
          <t>低度酒</t>
        </is>
      </c>
      <c r="E281" t="inlineStr">
        <is>
          <t>开始莫名其妙想笑，干什么都想笑，看见谁都想笑</t>
        </is>
      </c>
      <c r="F281" t="inlineStr">
        <is>
          <t>如何能醺而不挂｜2025-07-05｜小红书</t>
        </is>
      </c>
      <c r="G281" t="inlineStr">
        <is>
          <t>小红书</t>
        </is>
      </c>
      <c r="H281" s="2" t="str">
        <f>=HYPERLINK("https://www.xiaohongshu.com/search_result/不想喝醉", "https://www.xiaohongshu.com/search_result/不想喝醉")</f>
        <v>https://www.xiaohongshu.com/search_result/不想喝醉</v>
      </c>
      <c r="I281" s="3">
        <v>46213</v>
      </c>
      <c r="J281" s="4">
        <v>46243</v>
      </c>
      <c r="K281" t="inlineStr">
        <is>
          <t>不想喝醉</t>
        </is>
      </c>
      <c r="L281">
        <v>764</v>
      </c>
      <c r="M281" t="inlineStr">
        <is>
          <t>XHS-U0291</t>
        </is>
      </c>
      <c r="N281" t="inlineStr">
        <is>
          <t>公开评论</t>
        </is>
      </c>
      <c r="O281"/>
      <c r="P281" t="inlineStr">
        <is>
          <t>原始:07-10;年份推定·湖北；当前为搜索结果页链接，正式入库前需补原笔记链接</t>
        </is>
      </c>
      <c r="Q281" t="inlineStr">
        <is>
          <t>低度酒品类</t>
        </is>
      </c>
      <c r="R281"/>
      <c r="S281" t="inlineStr">
        <is>
          <t>XHS-SOC-0008_ANALYSIS_BASELINE_formal-attempt-0001_AI</t>
        </is>
      </c>
      <c r="T281" t="inlineStr">
        <is>
          <t>饮酒情绪</t>
        </is>
      </c>
      <c r="U281" t="inlineStr">
        <is>
          <t>KEEP</t>
        </is>
      </c>
      <c r="V281" t="inlineStr">
        <is>
          <t>ANALYSIS_BASELINE</t>
        </is>
      </c>
      <c r="W281" t="inlineStr">
        <is>
          <t>可用</t>
        </is>
      </c>
      <c r="X281" t="inlineStr">
        <is>
          <t>品牌语料分析与洞察体系.xlsx#表1：原始语料库!281</t>
        </is>
      </c>
      <c r="Y281" t="inlineStr">
        <is>
          <t>FROZEN_419_V2</t>
        </is>
      </c>
    </row>
    <row r="282" ht="25.5" customHeight="1">
      <c r="A282" t="inlineStr">
        <is>
          <t>XHS-SOC-0015</t>
        </is>
      </c>
      <c r="B282" t="inlineStr">
        <is>
          <t>低度酒品类态度</t>
        </is>
      </c>
      <c r="C282" t="inlineStr">
        <is>
          <t>PRJ001</t>
        </is>
      </c>
      <c r="D282" t="inlineStr">
        <is>
          <t>低度酒</t>
        </is>
      </c>
      <c r="E282" t="inlineStr">
        <is>
          <t>高敏人平时脑子真的想很多，喝了之后能明显感觉到停止了思考，幸福了起来</t>
        </is>
      </c>
      <c r="F282" t="inlineStr">
        <is>
          <t>微醺就是把自己还给自己｜2025-08-28｜小红书</t>
        </is>
      </c>
      <c r="G282" t="inlineStr">
        <is>
          <t>小红书</t>
        </is>
      </c>
      <c r="H282" s="2" t="str">
        <f>=HYPERLINK("https://www.xiaohongshu.com/search_result/微醺放松", "https://www.xiaohongshu.com/search_result/微醺放松")</f>
        <v>https://www.xiaohongshu.com/search_result/微醺放松</v>
      </c>
      <c r="I282" s="3">
        <v>45905</v>
      </c>
      <c r="J282" s="4">
        <v>46243</v>
      </c>
      <c r="K282" t="inlineStr">
        <is>
          <t>微醺放松</t>
        </is>
      </c>
      <c r="L282">
        <v>135</v>
      </c>
      <c r="M282" t="inlineStr">
        <is>
          <t>XHS-U0285</t>
        </is>
      </c>
      <c r="N282" t="inlineStr">
        <is>
          <t>公开评论</t>
        </is>
      </c>
      <c r="O282"/>
      <c r="P282" t="inlineStr">
        <is>
          <t>原始:2025-09-05·重庆；当前为搜索结果页链接，正式入库前需补原笔记链接</t>
        </is>
      </c>
      <c r="Q282" t="inlineStr">
        <is>
          <t>低度酒品类</t>
        </is>
      </c>
      <c r="R282"/>
      <c r="S282" t="inlineStr">
        <is>
          <t>XHS-SOC-0015_CHALLENGE_POOL_formal-attempt-0001_AI</t>
        </is>
      </c>
      <c r="T282" t="inlineStr">
        <is>
          <t>饮酒情绪</t>
        </is>
      </c>
      <c r="U282" t="inlineStr">
        <is>
          <t>KEEP</t>
        </is>
      </c>
      <c r="V282" t="inlineStr">
        <is>
          <t>CHALLENGE</t>
        </is>
      </c>
      <c r="W282" t="inlineStr">
        <is>
          <t>可用</t>
        </is>
      </c>
      <c r="X282" t="inlineStr">
        <is>
          <t>品牌语料分析与洞察体系.xlsx#表1：原始语料库!282</t>
        </is>
      </c>
      <c r="Y282" t="inlineStr">
        <is>
          <t>FROZEN_419_V2</t>
        </is>
      </c>
    </row>
    <row r="283" ht="25.5" customHeight="1">
      <c r="A283" t="inlineStr">
        <is>
          <t>XHS-SOC-0022</t>
        </is>
      </c>
      <c r="B283" t="inlineStr">
        <is>
          <t>低度酒品类态度</t>
        </is>
      </c>
      <c r="C283" t="inlineStr">
        <is>
          <t>PRJ001</t>
        </is>
      </c>
      <c r="D283" t="inlineStr">
        <is>
          <t>低度酒</t>
        </is>
      </c>
      <c r="E283" t="inlineStr">
        <is>
          <t>我喝酒是为了养生吗难道哈哈哈</t>
        </is>
      </c>
      <c r="F283" t="inlineStr">
        <is>
          <t>喝酒对人体没有一点好处｜2025-12-29｜小红书</t>
        </is>
      </c>
      <c r="G283" t="inlineStr">
        <is>
          <t>小红书</t>
        </is>
      </c>
      <c r="H283" s="2" t="str">
        <f>=HYPERLINK("https://www.xiaohongshu.com/search_result/低度酒智商税", "https://www.xiaohongshu.com/search_result/低度酒智商税")</f>
        <v>https://www.xiaohongshu.com/search_result/低度酒智商税</v>
      </c>
      <c r="I283" s="3">
        <v>46028</v>
      </c>
      <c r="J283" s="4">
        <v>46243</v>
      </c>
      <c r="K283" t="inlineStr">
        <is>
          <t>低度酒智商税</t>
        </is>
      </c>
      <c r="L283">
        <v>46</v>
      </c>
      <c r="M283" t="inlineStr">
        <is>
          <t>XHS-U0242</t>
        </is>
      </c>
      <c r="N283" t="inlineStr">
        <is>
          <t>公开评论</t>
        </is>
      </c>
      <c r="O283"/>
      <c r="P283" t="inlineStr">
        <is>
          <t>原始:01-06;年份推定·北京；当前为搜索结果页链接，正式入库前需补原笔记链接</t>
        </is>
      </c>
      <c r="Q283" t="inlineStr">
        <is>
          <t>低度酒品类</t>
        </is>
      </c>
      <c r="R283"/>
      <c r="S283" t="inlineStr">
        <is>
          <t>XHS-SOC-0022_ANALYSIS_BASELINE_formal-attempt-0001_AI</t>
        </is>
      </c>
      <c r="T283" t="inlineStr">
        <is>
          <t>饮酒情绪</t>
        </is>
      </c>
      <c r="U283" t="inlineStr">
        <is>
          <t>KEEP</t>
        </is>
      </c>
      <c r="V283" t="inlineStr">
        <is>
          <t>ANALYSIS_BASELINE</t>
        </is>
      </c>
      <c r="W283" t="inlineStr">
        <is>
          <t>可用</t>
        </is>
      </c>
      <c r="X283" t="inlineStr">
        <is>
          <t>品牌语料分析与洞察体系.xlsx#表1：原始语料库!283</t>
        </is>
      </c>
      <c r="Y283" t="inlineStr">
        <is>
          <t>FROZEN_419_V2</t>
        </is>
      </c>
    </row>
    <row r="284" ht="25.5" customHeight="1">
      <c r="A284" t="inlineStr">
        <is>
          <t>XHS-SOC-0023</t>
        </is>
      </c>
      <c r="B284" t="inlineStr">
        <is>
          <t>低度酒品类态度</t>
        </is>
      </c>
      <c r="C284" t="inlineStr">
        <is>
          <t>PRJ001</t>
        </is>
      </c>
      <c r="D284" t="inlineStr">
        <is>
          <t>低度酒</t>
        </is>
      </c>
      <c r="E284" t="inlineStr">
        <is>
          <t>其实我单纯不理解危害健康的酒为什么会被推到如此崇高的地位</t>
        </is>
      </c>
      <c r="F284" t="inlineStr">
        <is>
          <t>我为什么厌恶敬酒这个行为｜2025-02-14｜小红书</t>
        </is>
      </c>
      <c r="G284" t="inlineStr">
        <is>
          <t>小红书</t>
        </is>
      </c>
      <c r="H284" s="2" t="str">
        <f>=HYPERLINK("https://www.xiaohongshu.com/search_result/拒绝酒桌文化", "https://www.xiaohongshu.com/search_result/拒绝酒桌文化")</f>
        <v>https://www.xiaohongshu.com/search_result/拒绝酒桌文化</v>
      </c>
      <c r="I284" s="3">
        <v>46067</v>
      </c>
      <c r="J284" s="4">
        <v>46243</v>
      </c>
      <c r="K284" t="inlineStr">
        <is>
          <t>不想被劝酒</t>
        </is>
      </c>
      <c r="L284">
        <v>42</v>
      </c>
      <c r="M284" t="inlineStr">
        <is>
          <t>XHS-U0263</t>
        </is>
      </c>
      <c r="N284" t="inlineStr">
        <is>
          <t>公开评论</t>
        </is>
      </c>
      <c r="O284"/>
      <c r="P284" t="inlineStr">
        <is>
          <t>原始:02-14;年份推定·海南；当前为搜索结果页链接，正式入库前需补原笔记链接</t>
        </is>
      </c>
      <c r="Q284" t="inlineStr">
        <is>
          <t>低度酒品类</t>
        </is>
      </c>
      <c r="R284"/>
      <c r="S284" t="inlineStr">
        <is>
          <t>XHS-SOC-0023_CHALLENGE_POOL_formal-attempt-0001_AI</t>
        </is>
      </c>
      <c r="T284" t="inlineStr">
        <is>
          <t>饮酒情绪</t>
        </is>
      </c>
      <c r="U284" t="inlineStr">
        <is>
          <t>KEEP</t>
        </is>
      </c>
      <c r="V284" t="inlineStr">
        <is>
          <t>CHALLENGE</t>
        </is>
      </c>
      <c r="W284" t="inlineStr">
        <is>
          <t>可用</t>
        </is>
      </c>
      <c r="X284" t="inlineStr">
        <is>
          <t>品牌语料分析与洞察体系.xlsx#表1：原始语料库!284</t>
        </is>
      </c>
      <c r="Y284" t="inlineStr">
        <is>
          <t>FROZEN_419_V2</t>
        </is>
      </c>
    </row>
    <row r="285" ht="25.5" customHeight="1">
      <c r="A285" t="inlineStr">
        <is>
          <t>XHS-SOC-0028</t>
        </is>
      </c>
      <c r="B285" t="inlineStr">
        <is>
          <t>低度酒品类态度</t>
        </is>
      </c>
      <c r="C285" t="inlineStr">
        <is>
          <t>PRJ001</t>
        </is>
      </c>
      <c r="D285" t="inlineStr">
        <is>
          <t>梅见</t>
        </is>
      </c>
      <c r="E285" t="inlineStr">
        <is>
          <t>喝过自己泡的梅子酒后，梅见感觉就是工业酒</t>
        </is>
      </c>
      <c r="F285" t="inlineStr">
        <is>
          <t>除了梅见还有其他梅子酒推荐吗｜2025-07-04｜小红书</t>
        </is>
      </c>
      <c r="G285" t="inlineStr">
        <is>
          <t>小红书</t>
        </is>
      </c>
      <c r="H285" s="2" t="str">
        <f>=HYPERLINK("https://www.xiaohongshu.com/explore/6a48b570000000001603dc9b", "https://www.xiaohongshu.com/explore/6a48b570000000001603dc9b")</f>
        <v>https://www.xiaohongshu.com/explore/6a48b570000000001603dc9b</v>
      </c>
      <c r="I285" s="3">
        <v>46210</v>
      </c>
      <c r="J285" s="4">
        <v>46243</v>
      </c>
      <c r="K285" t="inlineStr">
        <is>
          <t>青梅酒推荐</t>
        </is>
      </c>
      <c r="L285">
        <v>1</v>
      </c>
      <c r="M285" t="inlineStr">
        <is>
          <t>XHS-U0189</t>
        </is>
      </c>
      <c r="N285" t="inlineStr">
        <is>
          <t>公开评论</t>
        </is>
      </c>
      <c r="O285"/>
      <c r="P285" t="inlineStr">
        <is>
          <t>原始:07-07;年份推定·广东</t>
        </is>
      </c>
      <c r="Q285" t="inlineStr">
        <is>
          <t>目标品牌</t>
        </is>
      </c>
      <c r="R285"/>
      <c r="S285" t="inlineStr">
        <is>
          <t>XHS-SOC-0028_CHALLENGE_POOL_formal-attempt-0001_AI</t>
        </is>
      </c>
      <c r="T285" t="inlineStr">
        <is>
          <t>饮酒情绪</t>
        </is>
      </c>
      <c r="U285" t="inlineStr">
        <is>
          <t>KEEP</t>
        </is>
      </c>
      <c r="V285" t="inlineStr">
        <is>
          <t>CHALLENGE</t>
        </is>
      </c>
      <c r="W285" t="inlineStr">
        <is>
          <t>可用</t>
        </is>
      </c>
      <c r="X285" t="inlineStr">
        <is>
          <t>品牌语料分析与洞察体系.xlsx#表1：原始语料库!285</t>
        </is>
      </c>
      <c r="Y285" t="inlineStr">
        <is>
          <t>FROZEN_419_V2</t>
        </is>
      </c>
    </row>
    <row r="286" ht="25.5" customHeight="1">
      <c r="A286" t="inlineStr">
        <is>
          <t>XHS-SOC-0031</t>
        </is>
      </c>
      <c r="B286" t="inlineStr">
        <is>
          <t>低度酒品类态度</t>
        </is>
      </c>
      <c r="C286" t="inlineStr">
        <is>
          <t>PRJ001</t>
        </is>
      </c>
      <c r="D286" t="inlineStr">
        <is>
          <t>低度酒</t>
        </is>
      </c>
      <c r="E286" t="inlineStr">
        <is>
          <t>喝晕就想哭的有没有</t>
        </is>
      </c>
      <c r="F286" t="inlineStr">
        <is>
          <t>如何能醺而不挂｜2025-07-05｜小红书</t>
        </is>
      </c>
      <c r="G286" t="inlineStr">
        <is>
          <t>小红书</t>
        </is>
      </c>
      <c r="H286" s="2" t="str">
        <f>=HYPERLINK("https://www.xiaohongshu.com/search_result/不想喝醉", "https://www.xiaohongshu.com/search_result/不想喝醉")</f>
        <v>https://www.xiaohongshu.com/search_result/不想喝醉</v>
      </c>
      <c r="I286" s="3">
        <v>46213</v>
      </c>
      <c r="J286" s="4">
        <v>46243</v>
      </c>
      <c r="K286" t="inlineStr">
        <is>
          <t>不想喝醉</t>
        </is>
      </c>
      <c r="L286">
        <v>33</v>
      </c>
      <c r="M286" t="inlineStr">
        <is>
          <t>XHS-U0292</t>
        </is>
      </c>
      <c r="N286" t="inlineStr">
        <is>
          <t>公开评论</t>
        </is>
      </c>
      <c r="O286"/>
      <c r="P286" t="inlineStr">
        <is>
          <t>原始:07-10;年份推定·河南；当前为搜索结果页链接，正式入库前需补原笔记链接</t>
        </is>
      </c>
      <c r="Q286" t="inlineStr">
        <is>
          <t>低度酒品类</t>
        </is>
      </c>
      <c r="R286"/>
      <c r="S286" t="inlineStr">
        <is>
          <t>XHS-SOC-0031_ANALYSIS_BASELINE_formal-attempt-0001_AI</t>
        </is>
      </c>
      <c r="T286" t="inlineStr">
        <is>
          <t>饮酒情绪</t>
        </is>
      </c>
      <c r="U286" t="inlineStr">
        <is>
          <t>KEEP</t>
        </is>
      </c>
      <c r="V286" t="inlineStr">
        <is>
          <t>ANALYSIS_BASELINE</t>
        </is>
      </c>
      <c r="W286" t="inlineStr">
        <is>
          <t>可用</t>
        </is>
      </c>
      <c r="X286" t="inlineStr">
        <is>
          <t>品牌语料分析与洞察体系.xlsx#表1：原始语料库!286</t>
        </is>
      </c>
      <c r="Y286" t="inlineStr">
        <is>
          <t>FROZEN_419_V2</t>
        </is>
      </c>
    </row>
    <row r="287" ht="25.5" customHeight="1">
      <c r="A287" t="inlineStr">
        <is>
          <t>XHS-SOC-0032</t>
        </is>
      </c>
      <c r="B287" t="inlineStr">
        <is>
          <t>低度酒品类态度</t>
        </is>
      </c>
      <c r="C287" t="inlineStr">
        <is>
          <t>PRJ001</t>
        </is>
      </c>
      <c r="D287" t="inlineStr">
        <is>
          <t>低度酒</t>
        </is>
      </c>
      <c r="E287" t="inlineStr">
        <is>
          <t>总不能一辈子不喝酒吧</t>
        </is>
      </c>
      <c r="F287" t="inlineStr">
        <is>
          <t>喝酒对人体没有一点好处｜2025-12-29｜小红书</t>
        </is>
      </c>
      <c r="G287" t="inlineStr">
        <is>
          <t>小红书</t>
        </is>
      </c>
      <c r="H287" s="2" t="str">
        <f>=HYPERLINK("https://www.xiaohongshu.com/search_result/低度酒智商税", "https://www.xiaohongshu.com/search_result/低度酒智商税")</f>
        <v>https://www.xiaohongshu.com/search_result/低度酒智商税</v>
      </c>
      <c r="I287" s="3">
        <v>46027</v>
      </c>
      <c r="J287" s="4">
        <v>46243</v>
      </c>
      <c r="K287" t="inlineStr">
        <is>
          <t>低度酒智商税</t>
        </is>
      </c>
      <c r="L287">
        <v>24</v>
      </c>
      <c r="M287" t="inlineStr">
        <is>
          <t>XHS-U0236</t>
        </is>
      </c>
      <c r="N287" t="inlineStr">
        <is>
          <t>公开评论</t>
        </is>
      </c>
      <c r="O287"/>
      <c r="P287" t="inlineStr">
        <is>
          <t>原始:01-05;年份推定·广东；当前为搜索结果页链接，正式入库前需补原笔记链接</t>
        </is>
      </c>
      <c r="Q287" t="inlineStr">
        <is>
          <t>低度酒品类</t>
        </is>
      </c>
      <c r="R287"/>
      <c r="S287" t="inlineStr">
        <is>
          <t>XHS-SOC-0032_ANALYSIS_BASELINE_formal-attempt-0001_AI</t>
        </is>
      </c>
      <c r="T287" t="inlineStr">
        <is>
          <t>饮酒情绪</t>
        </is>
      </c>
      <c r="U287" t="inlineStr">
        <is>
          <t>KEEP</t>
        </is>
      </c>
      <c r="V287" t="inlineStr">
        <is>
          <t>ANALYSIS_BASELINE</t>
        </is>
      </c>
      <c r="W287" t="inlineStr">
        <is>
          <t>可用</t>
        </is>
      </c>
      <c r="X287" t="inlineStr">
        <is>
          <t>品牌语料分析与洞察体系.xlsx#表1：原始语料库!287</t>
        </is>
      </c>
      <c r="Y287" t="inlineStr">
        <is>
          <t>FROZEN_419_V2</t>
        </is>
      </c>
    </row>
    <row r="288" ht="25.5" customHeight="1">
      <c r="A288" t="inlineStr">
        <is>
          <t>XHS-SOC-0033</t>
        </is>
      </c>
      <c r="B288" t="inlineStr">
        <is>
          <t>低度酒品类态度</t>
        </is>
      </c>
      <c r="C288" t="inlineStr">
        <is>
          <t>PRJ001</t>
        </is>
      </c>
      <c r="D288" t="inlineStr">
        <is>
          <t>低度酒</t>
        </is>
      </c>
      <c r="E288" t="inlineStr">
        <is>
          <t>现在喝酒后第二天一整天都很不舒服</t>
        </is>
      </c>
      <c r="F288" t="inlineStr">
        <is>
          <t>真不能喝酒-急诊一堆喝酒来的｜2025-03-21｜小红书</t>
        </is>
      </c>
      <c r="G288" t="inlineStr">
        <is>
          <t>小红书</t>
        </is>
      </c>
      <c r="H288" s="2" t="str">
        <f>=HYPERLINK("https://www.xiaohongshu.com/search_result/喝酒胃不舒服", "https://www.xiaohongshu.com/search_result/喝酒胃不舒服")</f>
        <v>https://www.xiaohongshu.com/search_result/喝酒胃不舒服</v>
      </c>
      <c r="I288" s="3">
        <v>46102</v>
      </c>
      <c r="J288" s="4">
        <v>46243</v>
      </c>
      <c r="K288" t="inlineStr">
        <is>
          <t>喝酒胃不舒服</t>
        </is>
      </c>
      <c r="L288">
        <v>24</v>
      </c>
      <c r="M288" t="inlineStr">
        <is>
          <t>XHS-U0346</t>
        </is>
      </c>
      <c r="N288" t="inlineStr">
        <is>
          <t>公开评论</t>
        </is>
      </c>
      <c r="O288"/>
      <c r="P288" t="inlineStr">
        <is>
          <t>原始:03-21;年份推定·广东；当前为搜索结果页链接，正式入库前需补原笔记链接</t>
        </is>
      </c>
      <c r="Q288" t="inlineStr">
        <is>
          <t>低度酒品类</t>
        </is>
      </c>
      <c r="R288"/>
      <c r="S288" t="inlineStr">
        <is>
          <t>XHS-SOC-0033_HOLDOUT_formal-attempt-0001_AI</t>
        </is>
      </c>
      <c r="T288" t="inlineStr">
        <is>
          <t>饮酒情绪</t>
        </is>
      </c>
      <c r="U288" t="inlineStr">
        <is>
          <t>KEEP</t>
        </is>
      </c>
      <c r="V288" t="inlineStr">
        <is>
          <t>HOLDOUT</t>
        </is>
      </c>
      <c r="W288" t="inlineStr">
        <is>
          <t>可用</t>
        </is>
      </c>
      <c r="X288" t="inlineStr">
        <is>
          <t>品牌语料分析与洞察体系.xlsx#表1：原始语料库!288</t>
        </is>
      </c>
      <c r="Y288" t="inlineStr">
        <is>
          <t>FROZEN_419_V2</t>
        </is>
      </c>
    </row>
    <row r="289" ht="25.5" customHeight="1">
      <c r="A289" t="inlineStr">
        <is>
          <t>XHS-SOC-0035</t>
        </is>
      </c>
      <c r="B289" t="inlineStr">
        <is>
          <t>低度酒品类态度</t>
        </is>
      </c>
      <c r="C289" t="inlineStr">
        <is>
          <t>PRJ001</t>
        </is>
      </c>
      <c r="D289" t="inlineStr">
        <is>
          <t>低度酒</t>
        </is>
      </c>
      <c r="E289" t="inlineStr">
        <is>
          <t>高度酒精可以杀细菌好的坏的都杀 酒精的好处还有就是促进血液循环</t>
        </is>
      </c>
      <c r="F289" t="inlineStr">
        <is>
          <t>喝酒对人体没有一点好处｜2025-12-29｜小红书</t>
        </is>
      </c>
      <c r="G289" t="inlineStr">
        <is>
          <t>小红书</t>
        </is>
      </c>
      <c r="H289" s="2" t="str">
        <f>=HYPERLINK("https://www.xiaohongshu.com/search_result/低度酒智商税", "https://www.xiaohongshu.com/search_result/低度酒智商税")</f>
        <v>https://www.xiaohongshu.com/search_result/低度酒智商税</v>
      </c>
      <c r="I289" s="3">
        <v>46020</v>
      </c>
      <c r="J289" s="4">
        <v>46243</v>
      </c>
      <c r="K289" t="inlineStr">
        <is>
          <t>低度酒智商税</t>
        </is>
      </c>
      <c r="L289">
        <v>21</v>
      </c>
      <c r="M289" t="inlineStr">
        <is>
          <t>XHS-U0237</t>
        </is>
      </c>
      <c r="N289" t="inlineStr">
        <is>
          <t>公开评论</t>
        </is>
      </c>
      <c r="O289"/>
      <c r="P289" t="inlineStr">
        <is>
          <t>原始:2025-12-29·云南；当前为搜索结果页链接，正式入库前需补原笔记链接</t>
        </is>
      </c>
      <c r="Q289" t="inlineStr">
        <is>
          <t>低度酒品类</t>
        </is>
      </c>
      <c r="R289"/>
      <c r="S289" t="inlineStr">
        <is>
          <t>XHS-SOC-0035_HOLDOUT_formal-attempt-0001_AI</t>
        </is>
      </c>
      <c r="T289" t="inlineStr">
        <is>
          <t>饮酒情绪</t>
        </is>
      </c>
      <c r="U289" t="inlineStr">
        <is>
          <t>KEEP</t>
        </is>
      </c>
      <c r="V289" t="inlineStr">
        <is>
          <t>HOLDOUT</t>
        </is>
      </c>
      <c r="W289" t="inlineStr">
        <is>
          <t>可用</t>
        </is>
      </c>
      <c r="X289" t="inlineStr">
        <is>
          <t>品牌语料分析与洞察体系.xlsx#表1：原始语料库!289</t>
        </is>
      </c>
      <c r="Y289" t="inlineStr">
        <is>
          <t>FROZEN_419_V2</t>
        </is>
      </c>
    </row>
    <row r="290" ht="25.5" customHeight="1">
      <c r="A290" t="inlineStr">
        <is>
          <t>DY-SOC-0090</t>
        </is>
      </c>
      <c r="B290" t="inlineStr">
        <is>
          <t>低度酒品类态度</t>
        </is>
      </c>
      <c r="C290" t="inlineStr">
        <is>
          <t>PRJ001</t>
        </is>
      </c>
      <c r="D290" t="inlineStr">
        <is>
          <t>梅见</t>
        </is>
      </c>
      <c r="E290" t="inlineStr">
        <is>
          <t>还没有喝过梅子酒</t>
        </is>
      </c>
      <c r="F290" t="inlineStr">
        <is>
          <t>俏雅梅酒居家特调｜2024-08-16｜抖音</t>
        </is>
      </c>
      <c r="G290" t="inlineStr">
        <is>
          <t>抖音</t>
        </is>
      </c>
      <c r="H290" s="2" t="str">
        <f>=HYPERLINK("https://www.douyin.com/video/7447475027085200650", "https://www.douyin.com/video/7447475027085200650")</f>
        <v>https://www.douyin.com/video/7447475027085200650</v>
      </c>
      <c r="I290" s="3">
        <v>45520</v>
      </c>
      <c r="J290" s="4">
        <v>46243</v>
      </c>
      <c r="K290" t="inlineStr">
        <is>
          <t>梅见和CHOYA</t>
        </is>
      </c>
      <c r="L290"/>
      <c r="M290" t="inlineStr">
        <is>
          <t>DY-U0267</t>
        </is>
      </c>
      <c r="N290" t="inlineStr">
        <is>
          <t>公开评论</t>
        </is>
      </c>
      <c r="O290"/>
      <c r="P290" t="inlineStr">
        <is>
          <t>点赞数未成功识别，暂置空，禁止随机补值；原始:1年前;无法解析;原始时间未精确提取,根据页面公示时间范围估算;评论点赞数未精确提取,填写为0待人工复核</t>
        </is>
      </c>
      <c r="Q290" t="inlineStr">
        <is>
          <t>目标品牌</t>
        </is>
      </c>
      <c r="R290"/>
      <c r="S290" t="inlineStr">
        <is>
          <t>DY-SOC-0090_GOLD_人工标注_人工,DY-SOC-0090_GOLD_attempt-0002_AI_矫正前,DY-SOC-0090_GOLD_attempt-0006_AI_矫正后</t>
        </is>
      </c>
      <c r="T290" t="inlineStr">
        <is>
          <t>饮酒情绪</t>
        </is>
      </c>
      <c r="U290" t="inlineStr">
        <is>
          <t>KEEP</t>
        </is>
      </c>
      <c r="V290" t="inlineStr">
        <is>
          <t>GOLD</t>
        </is>
      </c>
      <c r="W290" t="inlineStr">
        <is>
          <t>不可用</t>
        </is>
      </c>
      <c r="X290" t="inlineStr">
        <is>
          <t>原始母表#raw_id=DY-SOC-0090</t>
        </is>
      </c>
      <c r="Y290" t="inlineStr">
        <is>
          <t>FROZEN_419_V2</t>
        </is>
      </c>
    </row>
    <row r="291" ht="25.5" customHeight="1">
      <c r="A291" t="inlineStr">
        <is>
          <t>DY-SOC-0091</t>
        </is>
      </c>
      <c r="B291" t="inlineStr">
        <is>
          <t>低度酒品类态度</t>
        </is>
      </c>
      <c r="C291" t="inlineStr">
        <is>
          <t>PRJ001</t>
        </is>
      </c>
      <c r="D291" t="inlineStr">
        <is>
          <t>低度酒</t>
        </is>
      </c>
      <c r="E291" t="inlineStr">
        <is>
          <t>推荐一款开车适合喝的酒</t>
        </is>
      </c>
      <c r="F291" t="inlineStr">
        <is>
          <t>喝完这三瓶谁是你心中的白月光｜2025-08-08｜抖音</t>
        </is>
      </c>
      <c r="G291" t="inlineStr">
        <is>
          <t>抖音</t>
        </is>
      </c>
      <c r="H291" s="2" t="str">
        <f>=HYPERLINK("https://www.douyin.com/video/7625642082769669382", "https://www.douyin.com/video/7625642082769669382")</f>
        <v>https://www.douyin.com/video/7625642082769669382</v>
      </c>
      <c r="I291" s="3">
        <v>45877</v>
      </c>
      <c r="J291" s="4">
        <v>46243</v>
      </c>
      <c r="K291" t="inlineStr">
        <is>
          <t>青梅酒推荐①</t>
        </is>
      </c>
      <c r="L291"/>
      <c r="M291" t="inlineStr">
        <is>
          <t>DY-U0270</t>
        </is>
      </c>
      <c r="N291" t="inlineStr">
        <is>
          <t>公开评论</t>
        </is>
      </c>
      <c r="O291"/>
      <c r="P291" t="inlineStr">
        <is>
          <t>点赞数未成功识别，暂置空，禁止随机补值；当前日期来自视频发布时间，评论发布时间未识别</t>
        </is>
      </c>
      <c r="Q291" t="inlineStr">
        <is>
          <t>低度酒品类</t>
        </is>
      </c>
      <c r="R291"/>
      <c r="S291" t="inlineStr">
        <is>
          <t>DY-SOC-0091_ANALYSIS_BASELINE_formal-attempt-0001_AI</t>
        </is>
      </c>
      <c r="T291" t="inlineStr">
        <is>
          <t>饮酒情绪</t>
        </is>
      </c>
      <c r="U291" t="inlineStr">
        <is>
          <t>KEEP</t>
        </is>
      </c>
      <c r="V291" t="inlineStr">
        <is>
          <t>ANALYSIS_BASELINE</t>
        </is>
      </c>
      <c r="W291" t="inlineStr">
        <is>
          <t>可用</t>
        </is>
      </c>
      <c r="X291" t="inlineStr">
        <is>
          <t>品牌语料分析与洞察体系.xlsx#表1：原始语料库!291</t>
        </is>
      </c>
      <c r="Y291" t="inlineStr">
        <is>
          <t>FROZEN_419_V2</t>
        </is>
      </c>
    </row>
    <row r="292" ht="25.5" customHeight="1">
      <c r="A292" t="inlineStr">
        <is>
          <t>DY-SOC-0092</t>
        </is>
      </c>
      <c r="B292" t="inlineStr">
        <is>
          <t>低度酒品类态度</t>
        </is>
      </c>
      <c r="C292" t="inlineStr">
        <is>
          <t>PRJ001</t>
        </is>
      </c>
      <c r="D292" t="inlineStr">
        <is>
          <t>低度酒</t>
        </is>
      </c>
      <c r="E292" t="inlineStr">
        <is>
          <t>开车不喝酒开酒不喝车</t>
        </is>
      </c>
      <c r="F292" t="inlineStr">
        <is>
          <t>喝完这三瓶谁是你心中的白月光｜2025-08-08｜抖音</t>
        </is>
      </c>
      <c r="G292" t="inlineStr">
        <is>
          <t>抖音</t>
        </is>
      </c>
      <c r="H292" s="2" t="str">
        <f>=HYPERLINK("https://www.douyin.com/video/7625642082769669382", "https://www.douyin.com/video/7625642082769669382")</f>
        <v>https://www.douyin.com/video/7625642082769669382</v>
      </c>
      <c r="I292" s="3">
        <v>45877</v>
      </c>
      <c r="J292" s="4">
        <v>46243</v>
      </c>
      <c r="K292" t="inlineStr">
        <is>
          <t>青梅酒推荐①</t>
        </is>
      </c>
      <c r="L292"/>
      <c r="M292" t="inlineStr">
        <is>
          <t>DY-U0271</t>
        </is>
      </c>
      <c r="N292" t="inlineStr">
        <is>
          <t>公开评论</t>
        </is>
      </c>
      <c r="O292"/>
      <c r="P292" t="inlineStr">
        <is>
          <t>点赞数未成功识别，暂置空，禁止随机补值；当前日期来自视频发布时间，评论发布时间未识别</t>
        </is>
      </c>
      <c r="Q292" t="inlineStr">
        <is>
          <t>低度酒品类</t>
        </is>
      </c>
      <c r="R292"/>
      <c r="S292" t="inlineStr">
        <is>
          <t>DY-SOC-0092_ANALYSIS_BASELINE_formal-attempt-0001_AI</t>
        </is>
      </c>
      <c r="T292" t="inlineStr">
        <is>
          <t>饮酒情绪</t>
        </is>
      </c>
      <c r="U292" t="inlineStr">
        <is>
          <t>KEEP</t>
        </is>
      </c>
      <c r="V292" t="inlineStr">
        <is>
          <t>ANALYSIS_BASELINE</t>
        </is>
      </c>
      <c r="W292" t="inlineStr">
        <is>
          <t>可用</t>
        </is>
      </c>
      <c r="X292" t="inlineStr">
        <is>
          <t>品牌语料分析与洞察体系.xlsx#表1：原始语料库!292</t>
        </is>
      </c>
      <c r="Y292" t="inlineStr">
        <is>
          <t>FROZEN_419_V2</t>
        </is>
      </c>
    </row>
    <row r="293" ht="25.5" customHeight="1">
      <c r="A293" t="inlineStr">
        <is>
          <t>DY-SOC-0093</t>
        </is>
      </c>
      <c r="B293" t="inlineStr">
        <is>
          <t>低度酒品类态度</t>
        </is>
      </c>
      <c r="C293" t="inlineStr">
        <is>
          <t>PRJ001</t>
        </is>
      </c>
      <c r="D293" t="inlineStr">
        <is>
          <t>低度酒</t>
        </is>
      </c>
      <c r="E293" t="inlineStr">
        <is>
          <t>你不知道青梅酒可以自己浸泡吗我去年就酿了十斤青梅酒打算放个六七年</t>
        </is>
      </c>
      <c r="F293" t="inlineStr">
        <is>
          <t>喝完这三瓶谁是你心中的白月光｜2025-08-08｜抖音</t>
        </is>
      </c>
      <c r="G293" t="inlineStr">
        <is>
          <t>抖音</t>
        </is>
      </c>
      <c r="H293" s="2" t="str">
        <f>=HYPERLINK("https://www.douyin.com/video/7625642082769669382", "https://www.douyin.com/video/7625642082769669382")</f>
        <v>https://www.douyin.com/video/7625642082769669382</v>
      </c>
      <c r="I293" s="3">
        <v>45877</v>
      </c>
      <c r="J293" s="4">
        <v>46243</v>
      </c>
      <c r="K293" t="inlineStr">
        <is>
          <t>青梅酒推荐①</t>
        </is>
      </c>
      <c r="L293"/>
      <c r="M293" t="inlineStr">
        <is>
          <t>DY-U0273</t>
        </is>
      </c>
      <c r="N293" t="inlineStr">
        <is>
          <t>公开评论</t>
        </is>
      </c>
      <c r="O293"/>
      <c r="P293" t="inlineStr">
        <is>
          <t>点赞数未成功识别，暂置空，禁止随机补值；当前日期来自视频发布时间，评论发布时间未识别</t>
        </is>
      </c>
      <c r="Q293" t="inlineStr">
        <is>
          <t>低度酒品类</t>
        </is>
      </c>
      <c r="R293"/>
      <c r="S293" t="inlineStr">
        <is>
          <t>DY-SOC-0093_HOLDOUT_formal-attempt-0001_AI</t>
        </is>
      </c>
      <c r="T293" t="inlineStr">
        <is>
          <t>饮酒情绪</t>
        </is>
      </c>
      <c r="U293" t="inlineStr">
        <is>
          <t>KEEP</t>
        </is>
      </c>
      <c r="V293" t="inlineStr">
        <is>
          <t>HOLDOUT</t>
        </is>
      </c>
      <c r="W293" t="inlineStr">
        <is>
          <t>可用</t>
        </is>
      </c>
      <c r="X293" t="inlineStr">
        <is>
          <t>品牌语料分析与洞察体系.xlsx#表1：原始语料库!293</t>
        </is>
      </c>
      <c r="Y293" t="inlineStr">
        <is>
          <t>FROZEN_419_V2</t>
        </is>
      </c>
    </row>
    <row r="294" ht="25.5" customHeight="1">
      <c r="A294" t="inlineStr">
        <is>
          <t>DY-SOC-0094</t>
        </is>
      </c>
      <c r="B294" t="inlineStr">
        <is>
          <t>低度酒品类态度</t>
        </is>
      </c>
      <c r="C294" t="inlineStr">
        <is>
          <t>PRJ001</t>
        </is>
      </c>
      <c r="D294" t="inlineStr">
        <is>
          <t>低度酒</t>
        </is>
      </c>
      <c r="E294" t="inlineStr">
        <is>
          <t>我还是喜欢馒头[看][看]</t>
        </is>
      </c>
      <c r="F294" t="inlineStr">
        <is>
          <t>喝完这三瓶谁是你心中的白月光｜2025-08-08｜抖音</t>
        </is>
      </c>
      <c r="G294" t="inlineStr">
        <is>
          <t>抖音</t>
        </is>
      </c>
      <c r="H294" s="2" t="str">
        <f>=HYPERLINK("https://www.douyin.com/video/7625642082769669382", "https://www.douyin.com/video/7625642082769669382")</f>
        <v>https://www.douyin.com/video/7625642082769669382</v>
      </c>
      <c r="I294" s="3">
        <v>45877</v>
      </c>
      <c r="J294" s="4">
        <v>46243</v>
      </c>
      <c r="K294" t="inlineStr">
        <is>
          <t>青梅酒推荐①</t>
        </is>
      </c>
      <c r="L294"/>
      <c r="M294" t="inlineStr">
        <is>
          <t>DY-U0274</t>
        </is>
      </c>
      <c r="N294" t="inlineStr">
        <is>
          <t>公开评论</t>
        </is>
      </c>
      <c r="O294"/>
      <c r="P294" t="inlineStr">
        <is>
          <t>点赞数未成功识别，暂置空，禁止随机补值；当前日期来自视频发布时间，评论发布时间未识别</t>
        </is>
      </c>
      <c r="Q294" t="inlineStr">
        <is>
          <t>低度酒品类</t>
        </is>
      </c>
      <c r="R294"/>
      <c r="S294"/>
      <c r="T294" t="inlineStr">
        <is>
          <t>饮酒情绪</t>
        </is>
      </c>
      <c r="U294" t="inlineStr">
        <is>
          <t>EXCLUDE</t>
        </is>
      </c>
      <c r="V294" t="inlineStr">
        <is>
          <t>EXCLUDE</t>
        </is>
      </c>
      <c r="W294" t="inlineStr">
        <is>
          <t>不可用</t>
        </is>
      </c>
      <c r="X294" t="inlineStr">
        <is>
          <t>原始母表#raw_id=DY-SOC-0094</t>
        </is>
      </c>
      <c r="Y294" t="inlineStr">
        <is>
          <t>FROZEN_419_V2</t>
        </is>
      </c>
    </row>
    <row r="295" ht="25.5" customHeight="1">
      <c r="A295" t="inlineStr">
        <is>
          <t>DY-SOC-0095</t>
        </is>
      </c>
      <c r="B295" t="inlineStr">
        <is>
          <t>低度酒品类态度</t>
        </is>
      </c>
      <c r="C295" t="inlineStr">
        <is>
          <t>PRJ001</t>
        </is>
      </c>
      <c r="D295" t="inlineStr">
        <is>
          <t>低度酒</t>
        </is>
      </c>
      <c r="E295" t="inlineStr">
        <is>
          <t>已经到了对零食毫无欲望看到酒就走不动的年纪了[憨笑]</t>
        </is>
      </c>
      <c r="F295" t="inlineStr">
        <is>
          <t>青梅酒全测评｜2025-07-29｜抖音</t>
        </is>
      </c>
      <c r="G295" t="inlineStr">
        <is>
          <t>抖音</t>
        </is>
      </c>
      <c r="H295" s="2" t="str">
        <f>=HYPERLINK("https://www.douyin.com/video/7261209144718282042", "https://www.douyin.com/video/7261209144718282042")</f>
        <v>https://www.douyin.com/video/7261209144718282042</v>
      </c>
      <c r="I295" s="3">
        <v>45867</v>
      </c>
      <c r="J295" s="4">
        <v>46243</v>
      </c>
      <c r="K295" t="inlineStr">
        <is>
          <t>青梅酒推荐②</t>
        </is>
      </c>
      <c r="L295"/>
      <c r="M295" t="inlineStr">
        <is>
          <t>DY-U0278</t>
        </is>
      </c>
      <c r="N295" t="inlineStr">
        <is>
          <t>公开评论</t>
        </is>
      </c>
      <c r="O295"/>
      <c r="P295" t="inlineStr">
        <is>
          <t>点赞数未成功识别，暂置空，禁止随机补值；当前日期来自视频发布时间，评论发布时间未识别</t>
        </is>
      </c>
      <c r="Q295" t="inlineStr">
        <is>
          <t>低度酒品类</t>
        </is>
      </c>
      <c r="R295"/>
      <c r="S295" t="inlineStr">
        <is>
          <t>DY-SOC-0095_ANALYSIS_BASELINE_formal-attempt-0001_AI</t>
        </is>
      </c>
      <c r="T295" t="inlineStr">
        <is>
          <t>饮酒情绪</t>
        </is>
      </c>
      <c r="U295" t="inlineStr">
        <is>
          <t>KEEP</t>
        </is>
      </c>
      <c r="V295" t="inlineStr">
        <is>
          <t>ANALYSIS_BASELINE</t>
        </is>
      </c>
      <c r="W295" t="inlineStr">
        <is>
          <t>可用</t>
        </is>
      </c>
      <c r="X295" t="inlineStr">
        <is>
          <t>品牌语料分析与洞察体系.xlsx#表1：原始语料库!295</t>
        </is>
      </c>
      <c r="Y295" t="inlineStr">
        <is>
          <t>FROZEN_419_V2</t>
        </is>
      </c>
    </row>
    <row r="296" ht="25.5" customHeight="1">
      <c r="A296" t="inlineStr">
        <is>
          <t>DY-SOC-0096</t>
        </is>
      </c>
      <c r="B296" t="inlineStr">
        <is>
          <t>低度酒品类态度</t>
        </is>
      </c>
      <c r="C296" t="inlineStr">
        <is>
          <t>PRJ001</t>
        </is>
      </c>
      <c r="D296" t="inlineStr">
        <is>
          <t>低度酒</t>
        </is>
      </c>
      <c r="E296" t="inlineStr">
        <is>
          <t>眼神渐渐迷离[捂脸][捂脸][捂脸]</t>
        </is>
      </c>
      <c r="F296" t="inlineStr">
        <is>
          <t>青梅酒全测评｜2025-07-29｜抖音</t>
        </is>
      </c>
      <c r="G296" t="inlineStr">
        <is>
          <t>抖音</t>
        </is>
      </c>
      <c r="H296" s="2" t="str">
        <f>=HYPERLINK("https://www.douyin.com/video/7261209144718282042", "https://www.douyin.com/video/7261209144718282042")</f>
        <v>https://www.douyin.com/video/7261209144718282042</v>
      </c>
      <c r="I296" s="3">
        <v>45867</v>
      </c>
      <c r="J296" s="4">
        <v>46243</v>
      </c>
      <c r="K296" t="inlineStr">
        <is>
          <t>青梅酒推荐②</t>
        </is>
      </c>
      <c r="L296"/>
      <c r="M296" t="inlineStr">
        <is>
          <t>DY-U0279</t>
        </is>
      </c>
      <c r="N296" t="inlineStr">
        <is>
          <t>公开评论</t>
        </is>
      </c>
      <c r="O296"/>
      <c r="P296" t="inlineStr">
        <is>
          <t>点赞数未成功识别，暂置空，禁止随机补值；当前日期来自视频发布时间，评论发布时间未识别</t>
        </is>
      </c>
      <c r="Q296" t="inlineStr">
        <is>
          <t>低度酒品类</t>
        </is>
      </c>
      <c r="R296"/>
      <c r="S296" t="inlineStr">
        <is>
          <t>DY-SOC-0096_ANALYSIS_BASELINE_formal-attempt-0001_AI</t>
        </is>
      </c>
      <c r="T296" t="inlineStr">
        <is>
          <t>饮酒情绪</t>
        </is>
      </c>
      <c r="U296" t="inlineStr">
        <is>
          <t>KEEP</t>
        </is>
      </c>
      <c r="V296" t="inlineStr">
        <is>
          <t>ANALYSIS_BASELINE</t>
        </is>
      </c>
      <c r="W296" t="inlineStr">
        <is>
          <t>可用</t>
        </is>
      </c>
      <c r="X296" t="inlineStr">
        <is>
          <t>品牌语料分析与洞察体系.xlsx#表1：原始语料库!296</t>
        </is>
      </c>
      <c r="Y296" t="inlineStr">
        <is>
          <t>FROZEN_419_V2</t>
        </is>
      </c>
    </row>
    <row r="297" ht="25.5" customHeight="1">
      <c r="A297" t="inlineStr">
        <is>
          <t>DY-SOC-0097</t>
        </is>
      </c>
      <c r="B297" t="inlineStr">
        <is>
          <t>低度酒品类态度</t>
        </is>
      </c>
      <c r="C297" t="inlineStr">
        <is>
          <t>PRJ001</t>
        </is>
      </c>
      <c r="D297" t="inlineStr">
        <is>
          <t>低度酒</t>
        </is>
      </c>
      <c r="E297" t="inlineStr">
        <is>
          <t>没啥比加苏打水更快的了</t>
        </is>
      </c>
      <c r="F297" t="inlineStr">
        <is>
          <t>青梅酒全测评｜2025-07-29｜抖音</t>
        </is>
      </c>
      <c r="G297" t="inlineStr">
        <is>
          <t>抖音</t>
        </is>
      </c>
      <c r="H297" s="2" t="str">
        <f>=HYPERLINK("https://www.douyin.com/video/7261209144718282042", "https://www.douyin.com/video/7261209144718282042")</f>
        <v>https://www.douyin.com/video/7261209144718282042</v>
      </c>
      <c r="I297" s="3">
        <v>45867</v>
      </c>
      <c r="J297" s="4">
        <v>46243</v>
      </c>
      <c r="K297" t="inlineStr">
        <is>
          <t>青梅酒推荐②</t>
        </is>
      </c>
      <c r="L297"/>
      <c r="M297" t="inlineStr">
        <is>
          <t>DY-U0281</t>
        </is>
      </c>
      <c r="N297" t="inlineStr">
        <is>
          <t>公开评论</t>
        </is>
      </c>
      <c r="O297"/>
      <c r="P297" t="inlineStr">
        <is>
          <t>点赞数未成功识别，暂置空，禁止随机补值；当前日期来自视频发布时间，评论发布时间未识别</t>
        </is>
      </c>
      <c r="Q297" t="inlineStr">
        <is>
          <t>低度酒品类</t>
        </is>
      </c>
      <c r="R297"/>
      <c r="S297" t="inlineStr">
        <is>
          <t>DY-SOC-0097_ANALYSIS_BASELINE_formal-attempt-0001_AI</t>
        </is>
      </c>
      <c r="T297" t="inlineStr">
        <is>
          <t>饮酒情绪</t>
        </is>
      </c>
      <c r="U297" t="inlineStr">
        <is>
          <t>KEEP</t>
        </is>
      </c>
      <c r="V297" t="inlineStr">
        <is>
          <t>ANALYSIS_BASELINE</t>
        </is>
      </c>
      <c r="W297" t="inlineStr">
        <is>
          <t>可用</t>
        </is>
      </c>
      <c r="X297" t="inlineStr">
        <is>
          <t>品牌语料分析与洞察体系.xlsx#表1：原始语料库!297</t>
        </is>
      </c>
      <c r="Y297" t="inlineStr">
        <is>
          <t>FROZEN_419_V2</t>
        </is>
      </c>
    </row>
    <row r="298" ht="25.5" customHeight="1">
      <c r="A298" t="inlineStr">
        <is>
          <t>DY-SOC-0098</t>
        </is>
      </c>
      <c r="B298" t="inlineStr">
        <is>
          <t>低度酒品类态度</t>
        </is>
      </c>
      <c r="C298" t="inlineStr">
        <is>
          <t>PRJ001</t>
        </is>
      </c>
      <c r="D298" t="inlineStr">
        <is>
          <t>低度酒</t>
        </is>
      </c>
      <c r="E298" t="inlineStr">
        <is>
          <t>喜野梅子酒+汤力水</t>
        </is>
      </c>
      <c r="F298" t="inlineStr">
        <is>
          <t>青梅酒全测评｜2025-07-29｜抖音</t>
        </is>
      </c>
      <c r="G298" t="inlineStr">
        <is>
          <t>抖音</t>
        </is>
      </c>
      <c r="H298" s="2" t="str">
        <f>=HYPERLINK("https://www.douyin.com/video/7261209144718282042", "https://www.douyin.com/video/7261209144718282042")</f>
        <v>https://www.douyin.com/video/7261209144718282042</v>
      </c>
      <c r="I298" s="3">
        <v>45867</v>
      </c>
      <c r="J298" s="4">
        <v>46243</v>
      </c>
      <c r="K298" t="inlineStr">
        <is>
          <t>青梅酒推荐②</t>
        </is>
      </c>
      <c r="L298"/>
      <c r="M298" t="inlineStr">
        <is>
          <t>DY-U0282</t>
        </is>
      </c>
      <c r="N298" t="inlineStr">
        <is>
          <t>公开评论</t>
        </is>
      </c>
      <c r="O298"/>
      <c r="P298" t="inlineStr">
        <is>
          <t>点赞数未成功识别，暂置空，禁止随机补值；当前日期来自视频发布时间，评论发布时间未识别</t>
        </is>
      </c>
      <c r="Q298" t="inlineStr">
        <is>
          <t>低度酒品类</t>
        </is>
      </c>
      <c r="R298"/>
      <c r="S298" t="inlineStr">
        <is>
          <t>DY-SOC-0098_ANALYSIS_BASELINE_formal-attempt-0001_AI</t>
        </is>
      </c>
      <c r="T298" t="inlineStr">
        <is>
          <t>饮酒情绪</t>
        </is>
      </c>
      <c r="U298" t="inlineStr">
        <is>
          <t>KEEP</t>
        </is>
      </c>
      <c r="V298" t="inlineStr">
        <is>
          <t>ANALYSIS_BASELINE</t>
        </is>
      </c>
      <c r="W298" t="inlineStr">
        <is>
          <t>可用</t>
        </is>
      </c>
      <c r="X298" t="inlineStr">
        <is>
          <t>品牌语料分析与洞察体系.xlsx#表1：原始语料库!298</t>
        </is>
      </c>
      <c r="Y298" t="inlineStr">
        <is>
          <t>FROZEN_419_V2</t>
        </is>
      </c>
    </row>
    <row r="299" ht="25.5" customHeight="1">
      <c r="A299" t="inlineStr">
        <is>
          <t>DY-SOC-0099</t>
        </is>
      </c>
      <c r="B299" t="inlineStr">
        <is>
          <t>低度酒品类态度</t>
        </is>
      </c>
      <c r="C299" t="inlineStr">
        <is>
          <t>PRJ001</t>
        </is>
      </c>
      <c r="D299" t="inlineStr">
        <is>
          <t>低度酒</t>
        </is>
      </c>
      <c r="E299" t="inlineStr">
        <is>
          <t>我喜欢喝那个马天尼阿蒂斯起泡酒</t>
        </is>
      </c>
      <c r="F299" t="inlineStr">
        <is>
          <t>青梅酒全测评｜2025-07-29｜抖音</t>
        </is>
      </c>
      <c r="G299" t="inlineStr">
        <is>
          <t>抖音</t>
        </is>
      </c>
      <c r="H299" s="2" t="str">
        <f>=HYPERLINK("https://www.douyin.com/video/7261209144718282042", "https://www.douyin.com/video/7261209144718282042")</f>
        <v>https://www.douyin.com/video/7261209144718282042</v>
      </c>
      <c r="I299" s="3">
        <v>45867</v>
      </c>
      <c r="J299" s="4">
        <v>46243</v>
      </c>
      <c r="K299" t="inlineStr">
        <is>
          <t>青梅酒推荐②</t>
        </is>
      </c>
      <c r="L299"/>
      <c r="M299" t="inlineStr">
        <is>
          <t>DY-U0283</t>
        </is>
      </c>
      <c r="N299" t="inlineStr">
        <is>
          <t>公开评论</t>
        </is>
      </c>
      <c r="O299"/>
      <c r="P299" t="inlineStr">
        <is>
          <t>点赞数未成功识别，暂置空，禁止随机补值；当前日期来自视频发布时间，评论发布时间未识别</t>
        </is>
      </c>
      <c r="Q299" t="inlineStr">
        <is>
          <t>低度酒品类</t>
        </is>
      </c>
      <c r="R299"/>
      <c r="S299" t="inlineStr">
        <is>
          <t>DY-SOC-0099_ANALYSIS_BASELINE_formal-attempt-0001_AI</t>
        </is>
      </c>
      <c r="T299" t="inlineStr">
        <is>
          <t>饮酒情绪</t>
        </is>
      </c>
      <c r="U299" t="inlineStr">
        <is>
          <t>KEEP</t>
        </is>
      </c>
      <c r="V299" t="inlineStr">
        <is>
          <t>ANALYSIS_BASELINE</t>
        </is>
      </c>
      <c r="W299" t="inlineStr">
        <is>
          <t>可用</t>
        </is>
      </c>
      <c r="X299" t="inlineStr">
        <is>
          <t>品牌语料分析与洞察体系.xlsx#表1：原始语料库!299</t>
        </is>
      </c>
      <c r="Y299" t="inlineStr">
        <is>
          <t>FROZEN_419_V2</t>
        </is>
      </c>
    </row>
    <row r="300" ht="25.5" customHeight="1">
      <c r="A300" t="inlineStr">
        <is>
          <t>DY-SOC-0100</t>
        </is>
      </c>
      <c r="B300" t="inlineStr">
        <is>
          <t>低度酒品类态度</t>
        </is>
      </c>
      <c r="C300" t="inlineStr">
        <is>
          <t>PRJ001</t>
        </is>
      </c>
      <c r="D300" t="inlineStr">
        <is>
          <t>低度酒</t>
        </is>
      </c>
      <c r="E300" t="inlineStr">
        <is>
          <t>第一[流泪][流泪][流泪]</t>
        </is>
      </c>
      <c r="F300" t="inlineStr">
        <is>
          <t>青梅酒全测评｜2025-07-29｜抖音</t>
        </is>
      </c>
      <c r="G300" t="inlineStr">
        <is>
          <t>抖音</t>
        </is>
      </c>
      <c r="H300" s="2" t="str">
        <f>=HYPERLINK("https://www.douyin.com/video/7261209144718282042", "https://www.douyin.com/video/7261209144718282042")</f>
        <v>https://www.douyin.com/video/7261209144718282042</v>
      </c>
      <c r="I300" s="3">
        <v>45867</v>
      </c>
      <c r="J300" s="4">
        <v>46243</v>
      </c>
      <c r="K300" t="inlineStr">
        <is>
          <t>青梅酒推荐②</t>
        </is>
      </c>
      <c r="L300"/>
      <c r="M300" t="inlineStr">
        <is>
          <t>DY-U0285</t>
        </is>
      </c>
      <c r="N300" t="inlineStr">
        <is>
          <t>公开评论</t>
        </is>
      </c>
      <c r="O300"/>
      <c r="P300" t="inlineStr">
        <is>
          <t>点赞数未成功识别，暂置空，禁止随机补值；当前日期来自视频发布时间，评论发布时间未识别</t>
        </is>
      </c>
      <c r="Q300" t="inlineStr">
        <is>
          <t>低度酒品类</t>
        </is>
      </c>
      <c r="R300"/>
      <c r="S300"/>
      <c r="T300" t="inlineStr">
        <is>
          <t>饮酒情绪</t>
        </is>
      </c>
      <c r="U300" t="inlineStr">
        <is>
          <t>EXCLUDE</t>
        </is>
      </c>
      <c r="V300" t="inlineStr">
        <is>
          <t>EXCLUDE</t>
        </is>
      </c>
      <c r="W300" t="inlineStr">
        <is>
          <t>不可用</t>
        </is>
      </c>
      <c r="X300" t="inlineStr">
        <is>
          <t>原始母表#raw_id=DY-SOC-0100</t>
        </is>
      </c>
      <c r="Y300" t="inlineStr">
        <is>
          <t>FROZEN_419_V2</t>
        </is>
      </c>
    </row>
    <row r="301" ht="25.5" customHeight="1">
      <c r="A301" t="inlineStr">
        <is>
          <t>DY-SOC-0101</t>
        </is>
      </c>
      <c r="B301" t="inlineStr">
        <is>
          <t>低度酒品类态度</t>
        </is>
      </c>
      <c r="C301" t="inlineStr">
        <is>
          <t>PRJ001</t>
        </is>
      </c>
      <c r="D301" t="inlineStr">
        <is>
          <t>低度酒</t>
        </is>
      </c>
      <c r="E301" t="inlineStr">
        <is>
          <t>蹲酒蒙子寄玫瑰汾酒</t>
        </is>
      </c>
      <c r="F301" t="inlineStr">
        <is>
          <t>平价年度好酒Top10｜2025-01-03｜抖音</t>
        </is>
      </c>
      <c r="G301" t="inlineStr">
        <is>
          <t>抖音</t>
        </is>
      </c>
      <c r="H301" s="2" t="str">
        <f>=HYPERLINK("https://www.douyin.com/video/7592552745405085545", "https://www.douyin.com/video/7592552745405085545")</f>
        <v>https://www.douyin.com/video/7592552745405085545</v>
      </c>
      <c r="I301" s="3">
        <v>45660</v>
      </c>
      <c r="J301" s="4">
        <v>46243</v>
      </c>
      <c r="K301" t="inlineStr">
        <is>
          <t>低度酒推荐①</t>
        </is>
      </c>
      <c r="L301"/>
      <c r="M301" t="inlineStr">
        <is>
          <t>DY-U0288</t>
        </is>
      </c>
      <c r="N301" t="inlineStr">
        <is>
          <t>公开评论</t>
        </is>
      </c>
      <c r="O301"/>
      <c r="P301" t="inlineStr">
        <is>
          <t>点赞数未成功识别，暂置空，禁止随机补值；当前日期来自视频发布时间，评论发布时间未识别</t>
        </is>
      </c>
      <c r="Q301" t="inlineStr">
        <is>
          <t>低度酒品类</t>
        </is>
      </c>
      <c r="R301"/>
      <c r="S301" t="inlineStr">
        <is>
          <t>DY-SOC-0101_ANALYSIS_BASELINE_formal-attempt-0001_AI</t>
        </is>
      </c>
      <c r="T301" t="inlineStr">
        <is>
          <t>饮酒情绪</t>
        </is>
      </c>
      <c r="U301" t="inlineStr">
        <is>
          <t>KEEP</t>
        </is>
      </c>
      <c r="V301" t="inlineStr">
        <is>
          <t>ANALYSIS_BASELINE</t>
        </is>
      </c>
      <c r="W301" t="inlineStr">
        <is>
          <t>可用</t>
        </is>
      </c>
      <c r="X301" t="inlineStr">
        <is>
          <t>品牌语料分析与洞察体系.xlsx#表1：原始语料库!301</t>
        </is>
      </c>
      <c r="Y301" t="inlineStr">
        <is>
          <t>FROZEN_419_V2</t>
        </is>
      </c>
    </row>
    <row r="302" ht="25.5" customHeight="1">
      <c r="A302" t="inlineStr">
        <is>
          <t>XHS-SOC-0177</t>
        </is>
      </c>
      <c r="B302" t="inlineStr">
        <is>
          <t>低度酒品类态度</t>
        </is>
      </c>
      <c r="C302" t="inlineStr">
        <is>
          <t>PRJ001</t>
        </is>
      </c>
      <c r="D302" t="inlineStr">
        <is>
          <t>低度酒</t>
        </is>
      </c>
      <c r="E302" t="inlineStr">
        <is>
          <t>我自从发现喝了酒之后第二天会加重抑郁就再也没有想喝的欲望了</t>
        </is>
      </c>
      <c r="F302" t="inlineStr">
        <is>
          <t>真不能喝酒-急诊一堆喝酒来的｜2025-03-21｜小红书</t>
        </is>
      </c>
      <c r="G302" t="inlineStr">
        <is>
          <t>小红书</t>
        </is>
      </c>
      <c r="H302" s="2" t="str">
        <f>=HYPERLINK("https://www.xiaohongshu.com/search_result/喝酒胃不舒服", "https://www.xiaohongshu.com/search_result/喝酒胃不舒服")</f>
        <v>https://www.xiaohongshu.com/search_result/喝酒胃不舒服</v>
      </c>
      <c r="I302" s="3">
        <v>46114</v>
      </c>
      <c r="J302" s="4">
        <v>46243</v>
      </c>
      <c r="K302" t="inlineStr">
        <is>
          <t>喝酒胃不舒服</t>
        </is>
      </c>
      <c r="L302">
        <v>18</v>
      </c>
      <c r="M302" t="inlineStr">
        <is>
          <t>XHS-U0347</t>
        </is>
      </c>
      <c r="N302" t="inlineStr">
        <is>
          <t>公开评论</t>
        </is>
      </c>
      <c r="O302"/>
      <c r="P302" t="inlineStr">
        <is>
          <t>原始:04-02;年份推定·四川；当前为搜索结果页链接，正式入库前需补原笔记链接</t>
        </is>
      </c>
      <c r="Q302" t="inlineStr">
        <is>
          <t>低度酒品类</t>
        </is>
      </c>
      <c r="R302"/>
      <c r="S302" t="inlineStr">
        <is>
          <t>XHS-SOC-0177_HOLDOUT_formal-attempt-0001_AI</t>
        </is>
      </c>
      <c r="T302" t="inlineStr">
        <is>
          <t>饮酒情绪</t>
        </is>
      </c>
      <c r="U302" t="inlineStr">
        <is>
          <t>KEEP</t>
        </is>
      </c>
      <c r="V302" t="inlineStr">
        <is>
          <t>HOLDOUT</t>
        </is>
      </c>
      <c r="W302" t="inlineStr">
        <is>
          <t>可用</t>
        </is>
      </c>
      <c r="X302" t="inlineStr">
        <is>
          <t>品牌语料分析与洞察体系.xlsx#表1：原始语料库!302</t>
        </is>
      </c>
      <c r="Y302" t="inlineStr">
        <is>
          <t>FROZEN_419_V2</t>
        </is>
      </c>
    </row>
    <row r="303" ht="25.5" customHeight="1">
      <c r="A303" t="inlineStr">
        <is>
          <t>XHS-SOC-0180</t>
        </is>
      </c>
      <c r="B303" t="inlineStr">
        <is>
          <t>低度酒品类态度</t>
        </is>
      </c>
      <c r="C303" t="inlineStr">
        <is>
          <t>PRJ001</t>
        </is>
      </c>
      <c r="D303" t="inlineStr">
        <is>
          <t>低度酒</t>
        </is>
      </c>
      <c r="E303" t="inlineStr">
        <is>
          <t>对生理没好处 但是对心理有好处 而且比烟的危害小</t>
        </is>
      </c>
      <c r="F303" t="inlineStr">
        <is>
          <t>喝酒对人体没有一点好处｜2025-12-29｜小红书</t>
        </is>
      </c>
      <c r="G303" t="inlineStr">
        <is>
          <t>小红书</t>
        </is>
      </c>
      <c r="H303" s="2" t="str">
        <f>=HYPERLINK("https://www.xiaohongshu.com/search_result/低度酒智商税", "https://www.xiaohongshu.com/search_result/低度酒智商税")</f>
        <v>https://www.xiaohongshu.com/search_result/低度酒智商税</v>
      </c>
      <c r="I303" s="3">
        <v>46021</v>
      </c>
      <c r="J303" s="4">
        <v>46243</v>
      </c>
      <c r="K303" t="inlineStr">
        <is>
          <t>低度酒智商税</t>
        </is>
      </c>
      <c r="L303">
        <v>14</v>
      </c>
      <c r="M303" t="inlineStr">
        <is>
          <t>XHS-U0239</t>
        </is>
      </c>
      <c r="N303" t="inlineStr">
        <is>
          <t>公开评论</t>
        </is>
      </c>
      <c r="O303"/>
      <c r="P303" t="inlineStr">
        <is>
          <t>原始:2025-12-30·重庆；当前为搜索结果页链接，正式入库前需补原笔记链接</t>
        </is>
      </c>
      <c r="Q303" t="inlineStr">
        <is>
          <t>低度酒品类</t>
        </is>
      </c>
      <c r="R303"/>
      <c r="S303" t="inlineStr">
        <is>
          <t>XHS-SOC-0180_ANALYSIS_BASELINE_formal-attempt-0001_AI</t>
        </is>
      </c>
      <c r="T303" t="inlineStr">
        <is>
          <t>饮酒情绪</t>
        </is>
      </c>
      <c r="U303" t="inlineStr">
        <is>
          <t>KEEP</t>
        </is>
      </c>
      <c r="V303" t="inlineStr">
        <is>
          <t>ANALYSIS_BASELINE</t>
        </is>
      </c>
      <c r="W303" t="inlineStr">
        <is>
          <t>可用</t>
        </is>
      </c>
      <c r="X303" t="inlineStr">
        <is>
          <t>品牌语料分析与洞察体系.xlsx#表1：原始语料库!303</t>
        </is>
      </c>
      <c r="Y303" t="inlineStr">
        <is>
          <t>FROZEN_419_V2</t>
        </is>
      </c>
    </row>
    <row r="304" ht="25.5" customHeight="1">
      <c r="A304" t="inlineStr">
        <is>
          <t>XHS-SOC-0181</t>
        </is>
      </c>
      <c r="B304" t="inlineStr">
        <is>
          <t>低度酒品类态度</t>
        </is>
      </c>
      <c r="C304" t="inlineStr">
        <is>
          <t>PRJ001</t>
        </is>
      </c>
      <c r="D304" t="inlineStr">
        <is>
          <t>梅见</t>
        </is>
      </c>
      <c r="E304" t="inlineStr">
        <is>
          <t>好特卖梅见仅售18元</t>
        </is>
      </c>
      <c r="F304" t="inlineStr">
        <is>
          <t>梅见青梅酒调酒搭配｜2025-08-27｜小红书</t>
        </is>
      </c>
      <c r="G304" t="inlineStr">
        <is>
          <t>小红书</t>
        </is>
      </c>
      <c r="H304" s="2" t="str">
        <f>=HYPERLINK("https://www.xiaohongshu.com/search_result/梅见配什么", "https://www.xiaohongshu.com/search_result/梅见配什么")</f>
        <v>https://www.xiaohongshu.com/search_result/梅见配什么</v>
      </c>
      <c r="I304" s="3">
        <v>45955</v>
      </c>
      <c r="J304" s="4">
        <v>46243</v>
      </c>
      <c r="K304" t="inlineStr">
        <is>
          <t>梅见配什么</t>
        </is>
      </c>
      <c r="L304">
        <v>14</v>
      </c>
      <c r="M304" t="inlineStr">
        <is>
          <t>XHS-U0341</t>
        </is>
      </c>
      <c r="N304" t="inlineStr">
        <is>
          <t>公开评论</t>
        </is>
      </c>
      <c r="O304"/>
      <c r="P304" t="inlineStr">
        <is>
          <t>原始:2025-10-25·上海；当前为搜索结果页链接，正式入库前需补原笔记链接</t>
        </is>
      </c>
      <c r="Q304" t="inlineStr">
        <is>
          <t>目标品牌</t>
        </is>
      </c>
      <c r="R304"/>
      <c r="S304" t="inlineStr">
        <is>
          <t>XHS-SOC-0181_ANALYSIS_BASELINE_formal-attempt-0001_AI</t>
        </is>
      </c>
      <c r="T304" t="inlineStr">
        <is>
          <t>饮酒情绪</t>
        </is>
      </c>
      <c r="U304" t="inlineStr">
        <is>
          <t>KEEP</t>
        </is>
      </c>
      <c r="V304" t="inlineStr">
        <is>
          <t>ANALYSIS_BASELINE</t>
        </is>
      </c>
      <c r="W304" t="inlineStr">
        <is>
          <t>可用</t>
        </is>
      </c>
      <c r="X304" t="inlineStr">
        <is>
          <t>品牌语料分析与洞察体系.xlsx#表1：原始语料库!304</t>
        </is>
      </c>
      <c r="Y304" t="inlineStr">
        <is>
          <t>FROZEN_419_V2</t>
        </is>
      </c>
    </row>
    <row r="305" ht="25.5" customHeight="1">
      <c r="A305" t="inlineStr">
        <is>
          <t>XHS-SOC-0182</t>
        </is>
      </c>
      <c r="B305" t="inlineStr">
        <is>
          <t>低度酒品类态度</t>
        </is>
      </c>
      <c r="C305" t="inlineStr">
        <is>
          <t>PRJ001</t>
        </is>
      </c>
      <c r="D305" t="inlineStr">
        <is>
          <t>低度酒</t>
        </is>
      </c>
      <c r="E305" t="inlineStr">
        <is>
          <t>脑子清醒，但是眼睛眨眼频率高，去上个厕所，如果需要刻意才能走直线那就是喝多了</t>
        </is>
      </c>
      <c r="F305" t="inlineStr">
        <is>
          <t>如何能醺而不挂｜2025-07-05｜小红书</t>
        </is>
      </c>
      <c r="G305" t="inlineStr">
        <is>
          <t>小红书</t>
        </is>
      </c>
      <c r="H305" s="2" t="str">
        <f>=HYPERLINK("https://www.xiaohongshu.com/search_result/不想喝醉", "https://www.xiaohongshu.com/search_result/不想喝醉")</f>
        <v>https://www.xiaohongshu.com/search_result/不想喝醉</v>
      </c>
      <c r="I305" s="3">
        <v>46211</v>
      </c>
      <c r="J305" s="4">
        <v>46243</v>
      </c>
      <c r="K305" t="inlineStr">
        <is>
          <t>不想喝醉</t>
        </is>
      </c>
      <c r="L305">
        <v>13</v>
      </c>
      <c r="M305" t="inlineStr">
        <is>
          <t>XHS-U0295</t>
        </is>
      </c>
      <c r="N305" t="inlineStr">
        <is>
          <t>公开评论</t>
        </is>
      </c>
      <c r="O305"/>
      <c r="P305" t="inlineStr">
        <is>
          <t>原始:07-08;年份推定·广东；当前为搜索结果页链接，正式入库前需补原笔记链接</t>
        </is>
      </c>
      <c r="Q305" t="inlineStr">
        <is>
          <t>低度酒品类</t>
        </is>
      </c>
      <c r="R305"/>
      <c r="S305" t="inlineStr">
        <is>
          <t>XHS-SOC-0182_ANALYSIS_BASELINE_formal-attempt-0001_AI</t>
        </is>
      </c>
      <c r="T305" t="inlineStr">
        <is>
          <t>饮酒情绪</t>
        </is>
      </c>
      <c r="U305" t="inlineStr">
        <is>
          <t>KEEP</t>
        </is>
      </c>
      <c r="V305" t="inlineStr">
        <is>
          <t>ANALYSIS_BASELINE</t>
        </is>
      </c>
      <c r="W305" t="inlineStr">
        <is>
          <t>可用</t>
        </is>
      </c>
      <c r="X305" t="inlineStr">
        <is>
          <t>品牌语料分析与洞察体系.xlsx#表1：原始语料库!305</t>
        </is>
      </c>
      <c r="Y305" t="inlineStr">
        <is>
          <t>FROZEN_419_V2</t>
        </is>
      </c>
    </row>
    <row r="306" ht="25.5" customHeight="1">
      <c r="A306" t="inlineStr">
        <is>
          <t>XHS-SOC-0183</t>
        </is>
      </c>
      <c r="B306" t="inlineStr">
        <is>
          <t>低度酒品类态度</t>
        </is>
      </c>
      <c r="C306" t="inlineStr">
        <is>
          <t>PRJ001</t>
        </is>
      </c>
      <c r="D306" t="inlineStr">
        <is>
          <t>低度酒</t>
        </is>
      </c>
      <c r="E306" t="inlineStr">
        <is>
          <t>感觉自己话太多了，从i人变e人了</t>
        </is>
      </c>
      <c r="F306" t="inlineStr">
        <is>
          <t>如何能醺而不挂｜2025-07-05｜小红书</t>
        </is>
      </c>
      <c r="G306" t="inlineStr">
        <is>
          <t>小红书</t>
        </is>
      </c>
      <c r="H306" s="2" t="str">
        <f>=HYPERLINK("https://www.xiaohongshu.com/search_result/不想喝醉", "https://www.xiaohongshu.com/search_result/不想喝醉")</f>
        <v>https://www.xiaohongshu.com/search_result/不想喝醉</v>
      </c>
      <c r="I306" s="3">
        <v>46212</v>
      </c>
      <c r="J306" s="4">
        <v>46243</v>
      </c>
      <c r="K306" t="inlineStr">
        <is>
          <t>不想喝醉</t>
        </is>
      </c>
      <c r="L306">
        <v>11</v>
      </c>
      <c r="M306" t="inlineStr">
        <is>
          <t>XHS-U0298</t>
        </is>
      </c>
      <c r="N306" t="inlineStr">
        <is>
          <t>公开评论</t>
        </is>
      </c>
      <c r="O306"/>
      <c r="P306" t="inlineStr">
        <is>
          <t>原始:07-09;年份推定·新加坡；当前为搜索结果页链接，正式入库前需补原笔记链接</t>
        </is>
      </c>
      <c r="Q306" t="inlineStr">
        <is>
          <t>低度酒品类</t>
        </is>
      </c>
      <c r="R306"/>
      <c r="S306" t="inlineStr">
        <is>
          <t>XHS-SOC-0183_ANALYSIS_BASELINE_formal-attempt-0001_AI</t>
        </is>
      </c>
      <c r="T306" t="inlineStr">
        <is>
          <t>饮酒情绪</t>
        </is>
      </c>
      <c r="U306" t="inlineStr">
        <is>
          <t>KEEP</t>
        </is>
      </c>
      <c r="V306" t="inlineStr">
        <is>
          <t>ANALYSIS_BASELINE</t>
        </is>
      </c>
      <c r="W306" t="inlineStr">
        <is>
          <t>可用</t>
        </is>
      </c>
      <c r="X306" t="inlineStr">
        <is>
          <t>品牌语料分析与洞察体系.xlsx#表1：原始语料库!306</t>
        </is>
      </c>
      <c r="Y306" t="inlineStr">
        <is>
          <t>FROZEN_419_V2</t>
        </is>
      </c>
    </row>
    <row r="307" ht="25.5" customHeight="1">
      <c r="A307" t="inlineStr">
        <is>
          <t>XHS-SOC-0187</t>
        </is>
      </c>
      <c r="B307" t="inlineStr">
        <is>
          <t>低度酒品类态度</t>
        </is>
      </c>
      <c r="C307" t="inlineStr">
        <is>
          <t>PRJ001</t>
        </is>
      </c>
      <c r="D307" t="inlineStr">
        <is>
          <t>低度酒</t>
        </is>
      </c>
      <c r="E307" t="inlineStr">
        <is>
          <t>对人体有害的全是让人开心的</t>
        </is>
      </c>
      <c r="F307" t="inlineStr">
        <is>
          <t>喝酒对人体没有一点好处｜2025-12-29｜小红书</t>
        </is>
      </c>
      <c r="G307" t="inlineStr">
        <is>
          <t>小红书</t>
        </is>
      </c>
      <c r="H307" s="2" t="str">
        <f>=HYPERLINK("https://www.xiaohongshu.com/search_result/低度酒智商税", "https://www.xiaohongshu.com/search_result/低度酒智商税")</f>
        <v>https://www.xiaohongshu.com/search_result/低度酒智商税</v>
      </c>
      <c r="I307" s="3">
        <v>46028</v>
      </c>
      <c r="J307" s="4">
        <v>46243</v>
      </c>
      <c r="K307" t="inlineStr">
        <is>
          <t>低度酒智商税</t>
        </is>
      </c>
      <c r="L307">
        <v>7</v>
      </c>
      <c r="M307" t="inlineStr">
        <is>
          <t>XHS-U0240</t>
        </is>
      </c>
      <c r="N307" t="inlineStr">
        <is>
          <t>公开评论</t>
        </is>
      </c>
      <c r="O307"/>
      <c r="P307" t="inlineStr">
        <is>
          <t>原始:01-06;年份推定·重庆；当前为搜索结果页链接，正式入库前需补原笔记链接</t>
        </is>
      </c>
      <c r="Q307" t="inlineStr">
        <is>
          <t>低度酒品类</t>
        </is>
      </c>
      <c r="R307"/>
      <c r="S307" t="inlineStr">
        <is>
          <t>XHS-SOC-0187_ANALYSIS_BASELINE_formal-attempt-0001_AI</t>
        </is>
      </c>
      <c r="T307" t="inlineStr">
        <is>
          <t>饮酒情绪</t>
        </is>
      </c>
      <c r="U307" t="inlineStr">
        <is>
          <t>KEEP</t>
        </is>
      </c>
      <c r="V307" t="inlineStr">
        <is>
          <t>ANALYSIS_BASELINE</t>
        </is>
      </c>
      <c r="W307" t="inlineStr">
        <is>
          <t>可用</t>
        </is>
      </c>
      <c r="X307" t="inlineStr">
        <is>
          <t>品牌语料分析与洞察体系.xlsx#表1：原始语料库!307</t>
        </is>
      </c>
      <c r="Y307" t="inlineStr">
        <is>
          <t>FROZEN_419_V2</t>
        </is>
      </c>
    </row>
    <row r="308" ht="25.5" customHeight="1">
      <c r="A308" t="inlineStr">
        <is>
          <t>XHS-SOC-0188</t>
        </is>
      </c>
      <c r="B308" t="inlineStr">
        <is>
          <t>低度酒品类态度</t>
        </is>
      </c>
      <c r="C308" t="inlineStr">
        <is>
          <t>PRJ001</t>
        </is>
      </c>
      <c r="D308" t="inlineStr">
        <is>
          <t>低度酒</t>
        </is>
      </c>
      <c r="E308" t="inlineStr">
        <is>
          <t>喝多一点就容易醒睡不着</t>
        </is>
      </c>
      <c r="F308" t="inlineStr">
        <is>
          <t>真不能喝酒-急诊一堆喝酒来的｜2025-03-21｜小红书</t>
        </is>
      </c>
      <c r="G308" t="inlineStr">
        <is>
          <t>小红书</t>
        </is>
      </c>
      <c r="H308" s="2" t="str">
        <f>=HYPERLINK("https://www.xiaohongshu.com/search_result/喝酒胃不舒服", "https://www.xiaohongshu.com/search_result/喝酒胃不舒服")</f>
        <v>https://www.xiaohongshu.com/search_result/喝酒胃不舒服</v>
      </c>
      <c r="I308" s="3">
        <v>46108</v>
      </c>
      <c r="J308" s="4">
        <v>46243</v>
      </c>
      <c r="K308" t="inlineStr">
        <is>
          <t>喝酒胃不舒服</t>
        </is>
      </c>
      <c r="L308">
        <v>7</v>
      </c>
      <c r="M308" t="inlineStr">
        <is>
          <t>XHS-U0348</t>
        </is>
      </c>
      <c r="N308" t="inlineStr">
        <is>
          <t>公开评论</t>
        </is>
      </c>
      <c r="O308"/>
      <c r="P308" t="inlineStr">
        <is>
          <t>原始:03-27;年份推定·河南；当前为搜索结果页链接，正式入库前需补原笔记链接</t>
        </is>
      </c>
      <c r="Q308" t="inlineStr">
        <is>
          <t>低度酒品类</t>
        </is>
      </c>
      <c r="R308"/>
      <c r="S308" t="inlineStr">
        <is>
          <t>XHS-SOC-0188_CHALLENGE_POOL_formal-attempt-0001_AI</t>
        </is>
      </c>
      <c r="T308" t="inlineStr">
        <is>
          <t>饮酒情绪</t>
        </is>
      </c>
      <c r="U308" t="inlineStr">
        <is>
          <t>KEEP</t>
        </is>
      </c>
      <c r="V308" t="inlineStr">
        <is>
          <t>CHALLENGE</t>
        </is>
      </c>
      <c r="W308" t="inlineStr">
        <is>
          <t>可用</t>
        </is>
      </c>
      <c r="X308" t="inlineStr">
        <is>
          <t>品牌语料分析与洞察体系.xlsx#表1：原始语料库!308</t>
        </is>
      </c>
      <c r="Y308" t="inlineStr">
        <is>
          <t>FROZEN_419_V2</t>
        </is>
      </c>
    </row>
    <row r="309" ht="25.5" customHeight="1">
      <c r="A309" t="inlineStr">
        <is>
          <t>XHS-SOC-0189</t>
        </is>
      </c>
      <c r="B309" t="inlineStr">
        <is>
          <t>低度酒品类态度</t>
        </is>
      </c>
      <c r="C309" t="inlineStr">
        <is>
          <t>PRJ001</t>
        </is>
      </c>
      <c r="D309" t="inlineStr">
        <is>
          <t>低度酒</t>
        </is>
      </c>
      <c r="E309" t="inlineStr">
        <is>
          <t>说自己没喝多，然后去卫生间对着镜子说：xxx你别晕，精神点！</t>
        </is>
      </c>
      <c r="F309" t="inlineStr">
        <is>
          <t>如何能醺而不挂｜2025-07-05｜小红书</t>
        </is>
      </c>
      <c r="G309" t="inlineStr">
        <is>
          <t>小红书</t>
        </is>
      </c>
      <c r="H309" s="2" t="str">
        <f>=HYPERLINK("https://www.xiaohongshu.com/search_result/不想喝醉", "https://www.xiaohongshu.com/search_result/不想喝醉")</f>
        <v>https://www.xiaohongshu.com/search_result/不想喝醉</v>
      </c>
      <c r="I309" s="3">
        <v>46213</v>
      </c>
      <c r="J309" s="4">
        <v>46243</v>
      </c>
      <c r="K309" t="inlineStr">
        <is>
          <t>不想喝醉</t>
        </is>
      </c>
      <c r="L309">
        <v>6</v>
      </c>
      <c r="M309" t="inlineStr">
        <is>
          <t>XHS-U0299</t>
        </is>
      </c>
      <c r="N309" t="inlineStr">
        <is>
          <t>公开评论</t>
        </is>
      </c>
      <c r="O309"/>
      <c r="P309" t="inlineStr">
        <is>
          <t>原始:07-10;年份推定·四川；当前为搜索结果页链接，正式入库前需补原笔记链接</t>
        </is>
      </c>
      <c r="Q309" t="inlineStr">
        <is>
          <t>低度酒品类</t>
        </is>
      </c>
      <c r="R309"/>
      <c r="S309" t="inlineStr">
        <is>
          <t>XHS-SOC-0189_CHALLENGE_POOL_formal-attempt-0001_AI</t>
        </is>
      </c>
      <c r="T309" t="inlineStr">
        <is>
          <t>饮酒情绪</t>
        </is>
      </c>
      <c r="U309" t="inlineStr">
        <is>
          <t>KEEP</t>
        </is>
      </c>
      <c r="V309" t="inlineStr">
        <is>
          <t>CHALLENGE</t>
        </is>
      </c>
      <c r="W309" t="inlineStr">
        <is>
          <t>可用</t>
        </is>
      </c>
      <c r="X309" t="inlineStr">
        <is>
          <t>品牌语料分析与洞察体系.xlsx#表1：原始语料库!309</t>
        </is>
      </c>
      <c r="Y309" t="inlineStr">
        <is>
          <t>FROZEN_419_V2</t>
        </is>
      </c>
    </row>
    <row r="310" ht="25.5" customHeight="1">
      <c r="A310" t="inlineStr">
        <is>
          <t>XHS-SOC-0190</t>
        </is>
      </c>
      <c r="B310" t="inlineStr">
        <is>
          <t>低度酒品类态度</t>
        </is>
      </c>
      <c r="C310" t="inlineStr">
        <is>
          <t>PRJ001</t>
        </is>
      </c>
      <c r="D310" t="inlineStr">
        <is>
          <t>低度酒</t>
        </is>
      </c>
      <c r="E310" t="inlineStr">
        <is>
          <t>我今年73岁了，喝了一辈子的高度白酒，我觉得酒不是什么好东西，非必要最好都不要喝</t>
        </is>
      </c>
      <c r="F310" t="inlineStr">
        <is>
          <t>真不能喝酒-急诊一堆喝酒来的｜2025-03-21｜小红书</t>
        </is>
      </c>
      <c r="G310" t="inlineStr">
        <is>
          <t>小红书</t>
        </is>
      </c>
      <c r="H310" s="2" t="str">
        <f>=HYPERLINK("https://www.xiaohongshu.com/search_result/喝酒胃不舒服", "https://www.xiaohongshu.com/search_result/喝酒胃不舒服")</f>
        <v>https://www.xiaohongshu.com/search_result/喝酒胃不舒服</v>
      </c>
      <c r="I310" s="3">
        <v>46106</v>
      </c>
      <c r="J310" s="4">
        <v>46243</v>
      </c>
      <c r="K310" t="inlineStr">
        <is>
          <t>喝酒胃不舒服</t>
        </is>
      </c>
      <c r="L310">
        <v>5</v>
      </c>
      <c r="M310" t="inlineStr">
        <is>
          <t>XHS-U0351</t>
        </is>
      </c>
      <c r="N310" t="inlineStr">
        <is>
          <t>公开评论</t>
        </is>
      </c>
      <c r="O310"/>
      <c r="P310" t="inlineStr">
        <is>
          <t>原始:03-25;年份推定·湖南；当前为搜索结果页链接，正式入库前需补原笔记链接</t>
        </is>
      </c>
      <c r="Q310" t="inlineStr">
        <is>
          <t>低度酒品类</t>
        </is>
      </c>
      <c r="R310"/>
      <c r="S310" t="inlineStr">
        <is>
          <t>XHS-SOC-0190_ANALYSIS_BASELINE_formal-attempt-0001_AI</t>
        </is>
      </c>
      <c r="T310" t="inlineStr">
        <is>
          <t>饮酒情绪</t>
        </is>
      </c>
      <c r="U310" t="inlineStr">
        <is>
          <t>KEEP</t>
        </is>
      </c>
      <c r="V310" t="inlineStr">
        <is>
          <t>ANALYSIS_BASELINE</t>
        </is>
      </c>
      <c r="W310" t="inlineStr">
        <is>
          <t>可用</t>
        </is>
      </c>
      <c r="X310" t="inlineStr">
        <is>
          <t>品牌语料分析与洞察体系.xlsx#表1：原始语料库!310</t>
        </is>
      </c>
      <c r="Y310" t="inlineStr">
        <is>
          <t>FROZEN_419_V2</t>
        </is>
      </c>
    </row>
    <row r="311" ht="25.5" customHeight="1">
      <c r="A311" t="inlineStr">
        <is>
          <t>XHS-SOC-0203</t>
        </is>
      </c>
      <c r="B311" t="inlineStr">
        <is>
          <t>低度酒品类态度</t>
        </is>
      </c>
      <c r="C311" t="inlineStr">
        <is>
          <t>PRJ001</t>
        </is>
      </c>
      <c r="D311" t="inlineStr">
        <is>
          <t>低度酒</t>
        </is>
      </c>
      <c r="E311" t="inlineStr">
        <is>
          <t>以前我还喝两口，自从看到它是二级致癌物之后就不喝了</t>
        </is>
      </c>
      <c r="F311" t="inlineStr">
        <is>
          <t>喝酒对人体没有一点好处｜2025-12-29｜小红书</t>
        </is>
      </c>
      <c r="G311" t="inlineStr">
        <is>
          <t>小红书</t>
        </is>
      </c>
      <c r="H311" s="2" t="str">
        <f>=HYPERLINK("https://www.xiaohongshu.com/search_result/低度酒智商税", "https://www.xiaohongshu.com/search_result/低度酒智商税")</f>
        <v>https://www.xiaohongshu.com/search_result/低度酒智商税</v>
      </c>
      <c r="I311" s="3">
        <v>46027</v>
      </c>
      <c r="J311" s="4">
        <v>46243</v>
      </c>
      <c r="K311" t="inlineStr">
        <is>
          <t>低度酒智商税</t>
        </is>
      </c>
      <c r="L311">
        <v>2</v>
      </c>
      <c r="M311" t="inlineStr">
        <is>
          <t>XHS-U0241</t>
        </is>
      </c>
      <c r="N311" t="inlineStr">
        <is>
          <t>公开评论</t>
        </is>
      </c>
      <c r="O311"/>
      <c r="P311" t="inlineStr">
        <is>
          <t>原始:01-05;年份推定·江西；当前为搜索结果页链接，正式入库前需补原笔记链接</t>
        </is>
      </c>
      <c r="Q311" t="inlineStr">
        <is>
          <t>低度酒品类</t>
        </is>
      </c>
      <c r="R311"/>
      <c r="S311" t="inlineStr">
        <is>
          <t>XHS-SOC-0203_GOLD_人工标注_人工,XHS-SOC-0203_GOLD_attempt-0002_AI_矫正前,XHS-SOC-0203_GOLD_attempt-0006_AI_矫正后</t>
        </is>
      </c>
      <c r="T311" t="inlineStr">
        <is>
          <t>饮酒情绪</t>
        </is>
      </c>
      <c r="U311" t="inlineStr">
        <is>
          <t>KEEP</t>
        </is>
      </c>
      <c r="V311" t="inlineStr">
        <is>
          <t>GOLD</t>
        </is>
      </c>
      <c r="W311" t="inlineStr">
        <is>
          <t>不可用</t>
        </is>
      </c>
      <c r="X311" t="inlineStr">
        <is>
          <t>原始母表#raw_id=XHS-SOC-0203</t>
        </is>
      </c>
      <c r="Y311" t="inlineStr">
        <is>
          <t>FROZEN_419_V2</t>
        </is>
      </c>
    </row>
    <row r="312" ht="25.5" customHeight="1">
      <c r="A312" t="inlineStr">
        <is>
          <t>XHS-SOC-0204</t>
        </is>
      </c>
      <c r="B312" t="inlineStr">
        <is>
          <t>低度酒品类态度</t>
        </is>
      </c>
      <c r="C312" t="inlineStr">
        <is>
          <t>PRJ001</t>
        </is>
      </c>
      <c r="D312" t="inlineStr">
        <is>
          <t>低度酒</t>
        </is>
      </c>
      <c r="E312" t="inlineStr">
        <is>
          <t>咬一下手指感觉不痛的时候或者突然变得特别有社交欲的时候就是多了</t>
        </is>
      </c>
      <c r="F312" t="inlineStr">
        <is>
          <t>如何能醺而不挂｜2025-07-05｜小红书</t>
        </is>
      </c>
      <c r="G312" t="inlineStr">
        <is>
          <t>小红书</t>
        </is>
      </c>
      <c r="H312" s="2" t="str">
        <f>=HYPERLINK("https://www.xiaohongshu.com/search_result/不想喝醉", "https://www.xiaohongshu.com/search_result/不想喝醉")</f>
        <v>https://www.xiaohongshu.com/search_result/不想喝醉</v>
      </c>
      <c r="I312" s="3">
        <v>46210</v>
      </c>
      <c r="J312" s="4">
        <v>46243</v>
      </c>
      <c r="K312" t="inlineStr">
        <is>
          <t>不想喝醉</t>
        </is>
      </c>
      <c r="L312">
        <v>2</v>
      </c>
      <c r="M312" t="inlineStr">
        <is>
          <t>XHS-U0297</t>
        </is>
      </c>
      <c r="N312" t="inlineStr">
        <is>
          <t>公开评论</t>
        </is>
      </c>
      <c r="O312"/>
      <c r="P312" t="inlineStr">
        <is>
          <t>原始:07-07;年份推定·江苏；当前为搜索结果页链接，正式入库前需补原笔记链接</t>
        </is>
      </c>
      <c r="Q312" t="inlineStr">
        <is>
          <t>低度酒品类</t>
        </is>
      </c>
      <c r="R312"/>
      <c r="S312" t="inlineStr">
        <is>
          <t>XHS-SOC-0204_CHALLENGE_POOL_formal-attempt-0001_AI</t>
        </is>
      </c>
      <c r="T312" t="inlineStr">
        <is>
          <t>饮酒情绪</t>
        </is>
      </c>
      <c r="U312" t="inlineStr">
        <is>
          <t>KEEP</t>
        </is>
      </c>
      <c r="V312" t="inlineStr">
        <is>
          <t>CHALLENGE</t>
        </is>
      </c>
      <c r="W312" t="inlineStr">
        <is>
          <t>可用</t>
        </is>
      </c>
      <c r="X312" t="inlineStr">
        <is>
          <t>品牌语料分析与洞察体系.xlsx#表1：原始语料库!312</t>
        </is>
      </c>
      <c r="Y312" t="inlineStr">
        <is>
          <t>FROZEN_419_V2</t>
        </is>
      </c>
    </row>
    <row r="313" ht="25.5" customHeight="1">
      <c r="A313" t="inlineStr">
        <is>
          <t>XHS-SOC-0218</t>
        </is>
      </c>
      <c r="B313" t="inlineStr">
        <is>
          <t>低度酒品类态度</t>
        </is>
      </c>
      <c r="C313" t="inlineStr">
        <is>
          <t>PRJ001</t>
        </is>
      </c>
      <c r="D313" t="inlineStr">
        <is>
          <t>梅见</t>
        </is>
      </c>
      <c r="E313" t="inlineStr">
        <is>
          <t>每晚没它不行了</t>
        </is>
      </c>
      <c r="F313" t="inlineStr">
        <is>
          <t>怎么会有这么好喝的梅子酒-时光梅见｜2025-03-21｜小红书</t>
        </is>
      </c>
      <c r="G313" t="inlineStr">
        <is>
          <t>小红书</t>
        </is>
      </c>
      <c r="H313" s="2" t="str">
        <f>=HYPERLINK("https://www.xiaohongshu.com/search_result/果酒哪个牌子好", "https://www.xiaohongshu.com/search_result/果酒哪个牌子好")</f>
        <v>https://www.xiaohongshu.com/search_result/果酒哪个牌子好</v>
      </c>
      <c r="I313" s="3">
        <v>45894</v>
      </c>
      <c r="J313" s="4">
        <v>46243</v>
      </c>
      <c r="K313" t="inlineStr">
        <is>
          <t>果酒哪个牌子好</t>
        </is>
      </c>
      <c r="L313">
        <v>12</v>
      </c>
      <c r="M313" t="inlineStr">
        <is>
          <t>XHS-U0324</t>
        </is>
      </c>
      <c r="N313" t="inlineStr">
        <is>
          <t>公开评论</t>
        </is>
      </c>
      <c r="O313"/>
      <c r="P313" t="inlineStr">
        <is>
          <t>原始:2025-08-25·广东；当前为搜索结果页链接，正式入库前需补原笔记链接</t>
        </is>
      </c>
      <c r="Q313" t="inlineStr">
        <is>
          <t>目标品牌</t>
        </is>
      </c>
      <c r="R313"/>
      <c r="S313" t="inlineStr">
        <is>
          <t>XHS-SOC-0218_ANALYSIS_BASELINE_formal-attempt-0001_AI</t>
        </is>
      </c>
      <c r="T313" t="inlineStr">
        <is>
          <t>饮酒情绪</t>
        </is>
      </c>
      <c r="U313" t="inlineStr">
        <is>
          <t>KEEP</t>
        </is>
      </c>
      <c r="V313" t="inlineStr">
        <is>
          <t>ANALYSIS_BASELINE</t>
        </is>
      </c>
      <c r="W313" t="inlineStr">
        <is>
          <t>可用</t>
        </is>
      </c>
      <c r="X313" t="inlineStr">
        <is>
          <t>品牌语料分析与洞察体系.xlsx#表1：原始语料库!313</t>
        </is>
      </c>
      <c r="Y313" t="inlineStr">
        <is>
          <t>FROZEN_419_V2</t>
        </is>
      </c>
    </row>
    <row r="314" ht="25.5" customHeight="1">
      <c r="A314" t="inlineStr">
        <is>
          <t>XHS-SOC-0248</t>
        </is>
      </c>
      <c r="B314" t="inlineStr">
        <is>
          <t>低度酒品类态度</t>
        </is>
      </c>
      <c r="C314" t="inlineStr">
        <is>
          <t>PRJ001</t>
        </is>
      </c>
      <c r="D314" t="inlineStr">
        <is>
          <t>低度酒</t>
        </is>
      </c>
      <c r="E314" t="inlineStr">
        <is>
          <t>喝酒太正常了，我平时都是心情不好就尝试一些没喝过的酒</t>
        </is>
      </c>
      <c r="F314" t="inlineStr">
        <is>
          <t>大学生靠喝酒释放压力正常吗｜2025-05-29｜小红书</t>
        </is>
      </c>
      <c r="G314" t="inlineStr">
        <is>
          <t>小红书</t>
        </is>
      </c>
      <c r="H314" s="2" t="str">
        <f>=HYPERLINK("https://www.xiaohongshu.com/search_result/年轻人为什么喝低度酒", "https://www.xiaohongshu.com/search_result/年轻人为什么喝低度酒")</f>
        <v>https://www.xiaohongshu.com/search_result/年轻人为什么喝低度酒</v>
      </c>
      <c r="I314" s="3">
        <v>45914</v>
      </c>
      <c r="J314" s="4">
        <v>46243</v>
      </c>
      <c r="K314" t="inlineStr">
        <is>
          <t>年轻人为什么喝低度酒</t>
        </is>
      </c>
      <c r="L314">
        <v>0</v>
      </c>
      <c r="M314" t="inlineStr">
        <is>
          <t>XHS-U0302</t>
        </is>
      </c>
      <c r="N314" t="inlineStr">
        <is>
          <t>公开评论</t>
        </is>
      </c>
      <c r="O314"/>
      <c r="P314" t="inlineStr">
        <is>
          <t>原始:2025-09-14·河南；当前为搜索结果页链接，正式入库前需补原笔记链接</t>
        </is>
      </c>
      <c r="Q314" t="inlineStr">
        <is>
          <t>低度酒品类</t>
        </is>
      </c>
      <c r="R314"/>
      <c r="S314" t="inlineStr">
        <is>
          <t>XHS-SOC-0248_ANALYSIS_BASELINE_formal-attempt-0001_AI</t>
        </is>
      </c>
      <c r="T314" t="inlineStr">
        <is>
          <t>饮酒情绪</t>
        </is>
      </c>
      <c r="U314" t="inlineStr">
        <is>
          <t>KEEP</t>
        </is>
      </c>
      <c r="V314" t="inlineStr">
        <is>
          <t>ANALYSIS_BASELINE</t>
        </is>
      </c>
      <c r="W314" t="inlineStr">
        <is>
          <t>可用</t>
        </is>
      </c>
      <c r="X314" t="inlineStr">
        <is>
          <t>品牌语料分析与洞察体系.xlsx#表1：原始语料库!314</t>
        </is>
      </c>
      <c r="Y314" t="inlineStr">
        <is>
          <t>FROZEN_419_V2</t>
        </is>
      </c>
    </row>
    <row r="315" ht="25.5" customHeight="1">
      <c r="A315" t="inlineStr">
        <is>
          <t>XHS-SOC-0251</t>
        </is>
      </c>
      <c r="B315" t="inlineStr">
        <is>
          <t>低度酒品类态度</t>
        </is>
      </c>
      <c r="C315" t="inlineStr">
        <is>
          <t>PRJ001</t>
        </is>
      </c>
      <c r="D315" t="inlineStr">
        <is>
          <t>低度酒</t>
        </is>
      </c>
      <c r="E315" t="inlineStr">
        <is>
          <t>喝了十多年 去年底突然就戒掉了 现在一个月最多喝一次</t>
        </is>
      </c>
      <c r="F315" t="inlineStr">
        <is>
          <t>真不能喝酒-急诊一堆喝酒来的｜2025-03-21｜小红书</t>
        </is>
      </c>
      <c r="G315" t="inlineStr">
        <is>
          <t>小红书</t>
        </is>
      </c>
      <c r="H315" s="2" t="str">
        <f>=HYPERLINK("https://www.xiaohongshu.com/search_result/喝酒胃不舒服", "https://www.xiaohongshu.com/search_result/喝酒胃不舒服")</f>
        <v>https://www.xiaohongshu.com/search_result/喝酒胃不舒服</v>
      </c>
      <c r="I315" s="3">
        <v>46105</v>
      </c>
      <c r="J315" s="4">
        <v>46243</v>
      </c>
      <c r="K315" t="inlineStr">
        <is>
          <t>喝酒胃不舒服</t>
        </is>
      </c>
      <c r="L315">
        <v>0</v>
      </c>
      <c r="M315" t="inlineStr">
        <is>
          <t>XHS-U0349</t>
        </is>
      </c>
      <c r="N315" t="inlineStr">
        <is>
          <t>公开评论</t>
        </is>
      </c>
      <c r="O315"/>
      <c r="P315" t="inlineStr">
        <is>
          <t>原始:03-24;年份推定·湖北；当前为搜索结果页链接，正式入库前需补原笔记链接</t>
        </is>
      </c>
      <c r="Q315" t="inlineStr">
        <is>
          <t>低度酒品类</t>
        </is>
      </c>
      <c r="R315"/>
      <c r="S315" t="inlineStr">
        <is>
          <t>XHS-SOC-0251_CHALLENGE_POOL_formal-attempt-0001_AI</t>
        </is>
      </c>
      <c r="T315" t="inlineStr">
        <is>
          <t>饮酒情绪</t>
        </is>
      </c>
      <c r="U315" t="inlineStr">
        <is>
          <t>KEEP</t>
        </is>
      </c>
      <c r="V315" t="inlineStr">
        <is>
          <t>CHALLENGE</t>
        </is>
      </c>
      <c r="W315" t="inlineStr">
        <is>
          <t>可用</t>
        </is>
      </c>
      <c r="X315" t="inlineStr">
        <is>
          <t>品牌语料分析与洞察体系.xlsx#表1：原始语料库!315</t>
        </is>
      </c>
      <c r="Y315" t="inlineStr">
        <is>
          <t>FROZEN_419_V2</t>
        </is>
      </c>
    </row>
    <row r="316" ht="25.5" customHeight="1">
      <c r="A316" t="inlineStr">
        <is>
          <t>XHS-SOC-0252</t>
        </is>
      </c>
      <c r="B316" t="inlineStr">
        <is>
          <t>低度酒品类态度</t>
        </is>
      </c>
      <c r="C316" t="inlineStr">
        <is>
          <t>PRJ001</t>
        </is>
      </c>
      <c r="D316" t="inlineStr">
        <is>
          <t>低度酒</t>
        </is>
      </c>
      <c r="E316" t="inlineStr">
        <is>
          <t>逼人喝酒就应该负法律责任</t>
        </is>
      </c>
      <c r="F316" t="inlineStr">
        <is>
          <t>真不能喝酒-急诊一堆喝酒来的｜2025-03-21｜小红书</t>
        </is>
      </c>
      <c r="G316" t="inlineStr">
        <is>
          <t>小红书</t>
        </is>
      </c>
      <c r="H316" s="2" t="str">
        <f>=HYPERLINK("https://www.xiaohongshu.com/search_result/喝酒胃不舒服", "https://www.xiaohongshu.com/search_result/喝酒胃不舒服")</f>
        <v>https://www.xiaohongshu.com/search_result/喝酒胃不舒服</v>
      </c>
      <c r="I316" s="3">
        <v>46110</v>
      </c>
      <c r="J316" s="4">
        <v>46243</v>
      </c>
      <c r="K316" t="inlineStr">
        <is>
          <t>喝酒胃不舒服</t>
        </is>
      </c>
      <c r="L316">
        <v>0</v>
      </c>
      <c r="M316" t="inlineStr">
        <is>
          <t>XHS-U0352</t>
        </is>
      </c>
      <c r="N316" t="inlineStr">
        <is>
          <t>公开评论</t>
        </is>
      </c>
      <c r="O316"/>
      <c r="P316" t="inlineStr">
        <is>
          <t>原始:03-29;年份推定·浙江；当前为搜索结果页链接，正式入库前需补原笔记链接</t>
        </is>
      </c>
      <c r="Q316" t="inlineStr">
        <is>
          <t>低度酒品类</t>
        </is>
      </c>
      <c r="R316"/>
      <c r="S316" t="inlineStr">
        <is>
          <t>XHS-SOC-0252_HOLDOUT_formal-attempt-0001_AI</t>
        </is>
      </c>
      <c r="T316" t="inlineStr">
        <is>
          <t>饮酒情绪</t>
        </is>
      </c>
      <c r="U316" t="inlineStr">
        <is>
          <t>KEEP</t>
        </is>
      </c>
      <c r="V316" t="inlineStr">
        <is>
          <t>HOLDOUT</t>
        </is>
      </c>
      <c r="W316" t="inlineStr">
        <is>
          <t>可用</t>
        </is>
      </c>
      <c r="X316" t="inlineStr">
        <is>
          <t>品牌语料分析与洞察体系.xlsx#表1：原始语料库!316</t>
        </is>
      </c>
      <c r="Y316" t="inlineStr">
        <is>
          <t>FROZEN_419_V2</t>
        </is>
      </c>
    </row>
    <row r="317" ht="25.5" customHeight="1">
      <c r="A317" t="inlineStr">
        <is>
          <t>XHS-SOC-0253</t>
        </is>
      </c>
      <c r="B317" t="inlineStr">
        <is>
          <t>低度酒品类态度</t>
        </is>
      </c>
      <c r="C317" t="inlineStr">
        <is>
          <t>PRJ001</t>
        </is>
      </c>
      <c r="D317" t="inlineStr">
        <is>
          <t>低度酒</t>
        </is>
      </c>
      <c r="E317" t="inlineStr">
        <is>
          <t>小酌怡情 熏酒伤身</t>
        </is>
      </c>
      <c r="F317" t="inlineStr">
        <is>
          <t>真不能喝酒-急诊一堆喝酒来的｜2025-03-21｜小红书</t>
        </is>
      </c>
      <c r="G317" t="inlineStr">
        <is>
          <t>小红书</t>
        </is>
      </c>
      <c r="H317" s="2" t="str">
        <f>=HYPERLINK("https://www.xiaohongshu.com/search_result/喝酒胃不舒服", "https://www.xiaohongshu.com/search_result/喝酒胃不舒服")</f>
        <v>https://www.xiaohongshu.com/search_result/喝酒胃不舒服</v>
      </c>
      <c r="I317" s="3">
        <v>46110</v>
      </c>
      <c r="J317" s="4">
        <v>46243</v>
      </c>
      <c r="K317" t="inlineStr">
        <is>
          <t>喝酒胃不舒服</t>
        </is>
      </c>
      <c r="L317">
        <v>0</v>
      </c>
      <c r="M317" t="inlineStr">
        <is>
          <t>XHS-U0353</t>
        </is>
      </c>
      <c r="N317" t="inlineStr">
        <is>
          <t>公开评论</t>
        </is>
      </c>
      <c r="O317"/>
      <c r="P317" t="inlineStr">
        <is>
          <t>原始:03-29;年份推定·广东；当前为搜索结果页链接，正式入库前需补原笔记链接</t>
        </is>
      </c>
      <c r="Q317" t="inlineStr">
        <is>
          <t>低度酒品类</t>
        </is>
      </c>
      <c r="R317"/>
      <c r="S317" t="inlineStr">
        <is>
          <t>XHS-SOC-0253_ANALYSIS_BASELINE_formal-attempt-0001_AI</t>
        </is>
      </c>
      <c r="T317" t="inlineStr">
        <is>
          <t>饮酒情绪</t>
        </is>
      </c>
      <c r="U317" t="inlineStr">
        <is>
          <t>KEEP</t>
        </is>
      </c>
      <c r="V317" t="inlineStr">
        <is>
          <t>ANALYSIS_BASELINE</t>
        </is>
      </c>
      <c r="W317" t="inlineStr">
        <is>
          <t>可用</t>
        </is>
      </c>
      <c r="X317" t="inlineStr">
        <is>
          <t>品牌语料分析与洞察体系.xlsx#表1：原始语料库!317</t>
        </is>
      </c>
      <c r="Y317" t="inlineStr">
        <is>
          <t>FROZEN_419_V2</t>
        </is>
      </c>
    </row>
    <row r="318" ht="25.5" customHeight="1">
      <c r="A318" t="inlineStr">
        <is>
          <t>XHS-SOC-0254</t>
        </is>
      </c>
      <c r="B318" t="inlineStr">
        <is>
          <t>低度酒品类态度</t>
        </is>
      </c>
      <c r="C318" t="inlineStr">
        <is>
          <t>PRJ001</t>
        </is>
      </c>
      <c r="D318" t="inlineStr">
        <is>
          <t>低度酒</t>
        </is>
      </c>
      <c r="E318" t="inlineStr">
        <is>
          <t>想亲嘴 和哭</t>
        </is>
      </c>
      <c r="F318" t="inlineStr">
        <is>
          <t>如何能醺而不挂｜2025-07-05｜小红书</t>
        </is>
      </c>
      <c r="G318" t="inlineStr">
        <is>
          <t>小红书</t>
        </is>
      </c>
      <c r="H318" s="2" t="str">
        <f>=HYPERLINK("https://www.xiaohongshu.com/search_result/不想喝醉", "https://www.xiaohongshu.com/search_result/不想喝醉")</f>
        <v>https://www.xiaohongshu.com/search_result/不想喝醉</v>
      </c>
      <c r="I318" s="3">
        <v>46214</v>
      </c>
      <c r="J318" s="4">
        <v>46243</v>
      </c>
      <c r="K318" t="inlineStr">
        <is>
          <t>不想喝醉</t>
        </is>
      </c>
      <c r="L318">
        <v>4</v>
      </c>
      <c r="M318" t="inlineStr">
        <is>
          <t>XHS-U0296</t>
        </is>
      </c>
      <c r="N318" t="inlineStr">
        <is>
          <t>公开评论</t>
        </is>
      </c>
      <c r="O318"/>
      <c r="P318" t="inlineStr">
        <is>
          <t>原始:07-11;年份推定·新疆；当前为搜索结果页链接，正式入库前需补原笔记链接</t>
        </is>
      </c>
      <c r="Q318" t="inlineStr">
        <is>
          <t>低度酒品类</t>
        </is>
      </c>
      <c r="R318"/>
      <c r="S318" t="inlineStr">
        <is>
          <t>XHS-SOC-0254_ANALYSIS_BASELINE_formal-attempt-0001_AI</t>
        </is>
      </c>
      <c r="T318" t="inlineStr">
        <is>
          <t>饮酒情绪</t>
        </is>
      </c>
      <c r="U318" t="inlineStr">
        <is>
          <t>KEEP</t>
        </is>
      </c>
      <c r="V318" t="inlineStr">
        <is>
          <t>ANALYSIS_BASELINE</t>
        </is>
      </c>
      <c r="W318" t="inlineStr">
        <is>
          <t>可用</t>
        </is>
      </c>
      <c r="X318" t="inlineStr">
        <is>
          <t>品牌语料分析与洞察体系.xlsx#表1：原始语料库!318</t>
        </is>
      </c>
      <c r="Y318" t="inlineStr">
        <is>
          <t>FROZEN_419_V2</t>
        </is>
      </c>
    </row>
    <row r="319" ht="25.5" customHeight="1">
      <c r="A319" t="inlineStr">
        <is>
          <t>DY-SOC-0266</t>
        </is>
      </c>
      <c r="B319" t="inlineStr">
        <is>
          <t>低度酒品类态度</t>
        </is>
      </c>
      <c r="C319" t="inlineStr">
        <is>
          <t>PRJ001</t>
        </is>
      </c>
      <c r="D319" t="inlineStr">
        <is>
          <t>低度酒</t>
        </is>
      </c>
      <c r="E319" t="inlineStr">
        <is>
          <t>我喝汾酒那个玫瑰汾还可以[看]</t>
        </is>
      </c>
      <c r="F319" t="inlineStr">
        <is>
          <t>平价年度好酒Top10｜2025-01-03｜抖音</t>
        </is>
      </c>
      <c r="G319" t="inlineStr">
        <is>
          <t>抖音</t>
        </is>
      </c>
      <c r="H319" s="2" t="str">
        <f>=HYPERLINK("https://www.douyin.com/video/7592552745405085545", "https://www.douyin.com/video/7592552745405085545")</f>
        <v>https://www.douyin.com/video/7592552745405085545</v>
      </c>
      <c r="I319" s="3">
        <v>45660</v>
      </c>
      <c r="J319" s="4">
        <v>46243</v>
      </c>
      <c r="K319" t="inlineStr">
        <is>
          <t>低度酒推荐①</t>
        </is>
      </c>
      <c r="L319"/>
      <c r="M319" t="inlineStr">
        <is>
          <t>DY-U0289</t>
        </is>
      </c>
      <c r="N319" t="inlineStr">
        <is>
          <t>公开评论</t>
        </is>
      </c>
      <c r="O319"/>
      <c r="P319" t="inlineStr">
        <is>
          <t>点赞数未成功识别，暂置空，禁止随机补值；当前日期来自视频发布时间，评论发布时间未识别</t>
        </is>
      </c>
      <c r="Q319" t="inlineStr">
        <is>
          <t>低度酒品类</t>
        </is>
      </c>
      <c r="R319"/>
      <c r="S319" t="inlineStr">
        <is>
          <t>DY-SOC-0266_ANALYSIS_BASELINE_formal-attempt-0001_AI</t>
        </is>
      </c>
      <c r="T319" t="inlineStr">
        <is>
          <t>饮酒情绪</t>
        </is>
      </c>
      <c r="U319" t="inlineStr">
        <is>
          <t>KEEP</t>
        </is>
      </c>
      <c r="V319" t="inlineStr">
        <is>
          <t>ANALYSIS_BASELINE</t>
        </is>
      </c>
      <c r="W319" t="inlineStr">
        <is>
          <t>可用</t>
        </is>
      </c>
      <c r="X319" t="inlineStr">
        <is>
          <t>品牌语料分析与洞察体系.xlsx#表1：原始语料库!319</t>
        </is>
      </c>
      <c r="Y319" t="inlineStr">
        <is>
          <t>FROZEN_419_V2</t>
        </is>
      </c>
    </row>
    <row r="320" ht="25.5" customHeight="1">
      <c r="A320" t="inlineStr">
        <is>
          <t>DY-SOC-0267</t>
        </is>
      </c>
      <c r="B320" t="inlineStr">
        <is>
          <t>低度酒品类态度</t>
        </is>
      </c>
      <c r="C320" t="inlineStr">
        <is>
          <t>PRJ001</t>
        </is>
      </c>
      <c r="D320" t="inlineStr">
        <is>
          <t>低度酒</t>
        </is>
      </c>
      <c r="E320" t="inlineStr">
        <is>
          <t>诱惑七号到底哪里可以买到</t>
        </is>
      </c>
      <c r="F320" t="inlineStr">
        <is>
          <t>年度好酒Top10平价版｜2025-01-03｜抖音</t>
        </is>
      </c>
      <c r="G320" t="inlineStr">
        <is>
          <t>抖音</t>
        </is>
      </c>
      <c r="H320" s="2" t="str">
        <f>=HYPERLINK("https://www.douyin.com/video/7521311524146367784", "https://www.douyin.com/video/7521311524146367784")</f>
        <v>https://www.douyin.com/video/7521311524146367784</v>
      </c>
      <c r="I320" s="3">
        <v>45660</v>
      </c>
      <c r="J320" s="4">
        <v>46243</v>
      </c>
      <c r="K320" t="inlineStr">
        <is>
          <t>低度酒推荐②</t>
        </is>
      </c>
      <c r="L320"/>
      <c r="M320" t="inlineStr">
        <is>
          <t>DY-U0299</t>
        </is>
      </c>
      <c r="N320" t="inlineStr">
        <is>
          <t>公开评论</t>
        </is>
      </c>
      <c r="O320"/>
      <c r="P320" t="inlineStr">
        <is>
          <t>点赞数未成功识别，暂置空，禁止随机补值；当前日期来自视频发布时间，评论发布时间未识别</t>
        </is>
      </c>
      <c r="Q320" t="inlineStr">
        <is>
          <t>低度酒品类</t>
        </is>
      </c>
      <c r="R320"/>
      <c r="S320" t="inlineStr">
        <is>
          <t>DY-SOC-0267_GOLD_人工标注_人工,DY-SOC-0267_GOLD_attempt-0002_AI_矫正前,DY-SOC-0267_GOLD_attempt-0006_AI_矫正后</t>
        </is>
      </c>
      <c r="T320" t="inlineStr">
        <is>
          <t>饮酒情绪</t>
        </is>
      </c>
      <c r="U320" t="inlineStr">
        <is>
          <t>KEEP</t>
        </is>
      </c>
      <c r="V320" t="inlineStr">
        <is>
          <t>GOLD</t>
        </is>
      </c>
      <c r="W320" t="inlineStr">
        <is>
          <t>不可用</t>
        </is>
      </c>
      <c r="X320" t="inlineStr">
        <is>
          <t>原始母表#raw_id=DY-SOC-0267</t>
        </is>
      </c>
      <c r="Y320" t="inlineStr">
        <is>
          <t>FROZEN_419_V2</t>
        </is>
      </c>
    </row>
    <row r="321" ht="25.5" customHeight="1">
      <c r="A321" t="inlineStr">
        <is>
          <t>DY-SOC-0268</t>
        </is>
      </c>
      <c r="B321" t="inlineStr">
        <is>
          <t>低度酒品类态度</t>
        </is>
      </c>
      <c r="C321" t="inlineStr">
        <is>
          <t>PRJ001</t>
        </is>
      </c>
      <c r="D321" t="inlineStr">
        <is>
          <t>低度酒</t>
        </is>
      </c>
      <c r="E321" t="inlineStr">
        <is>
          <t>测评那个草莓芭乐的酒</t>
        </is>
      </c>
      <c r="F321" t="inlineStr">
        <is>
          <t>年度好酒Top10平价版｜2025-01-03｜抖音</t>
        </is>
      </c>
      <c r="G321" t="inlineStr">
        <is>
          <t>抖音</t>
        </is>
      </c>
      <c r="H321" s="2" t="str">
        <f>=HYPERLINK("https://www.douyin.com/video/7521311524146367784", "https://www.douyin.com/video/7521311524146367784")</f>
        <v>https://www.douyin.com/video/7521311524146367784</v>
      </c>
      <c r="I321" s="3">
        <v>45660</v>
      </c>
      <c r="J321" s="4">
        <v>46243</v>
      </c>
      <c r="K321" t="inlineStr">
        <is>
          <t>低度酒推荐②</t>
        </is>
      </c>
      <c r="L321"/>
      <c r="M321" t="inlineStr">
        <is>
          <t>DY-U0300</t>
        </is>
      </c>
      <c r="N321" t="inlineStr">
        <is>
          <t>公开评论</t>
        </is>
      </c>
      <c r="O321"/>
      <c r="P321" t="inlineStr">
        <is>
          <t>点赞数未成功识别，暂置空，禁止随机补值；当前日期来自视频发布时间，评论发布时间未识别</t>
        </is>
      </c>
      <c r="Q321" t="inlineStr">
        <is>
          <t>低度酒品类</t>
        </is>
      </c>
      <c r="R321"/>
      <c r="S321" t="inlineStr">
        <is>
          <t>DY-SOC-0268_ANALYSIS_BASELINE_formal-attempt-0001_AI</t>
        </is>
      </c>
      <c r="T321" t="inlineStr">
        <is>
          <t>饮酒情绪</t>
        </is>
      </c>
      <c r="U321" t="inlineStr">
        <is>
          <t>KEEP</t>
        </is>
      </c>
      <c r="V321" t="inlineStr">
        <is>
          <t>ANALYSIS_BASELINE</t>
        </is>
      </c>
      <c r="W321" t="inlineStr">
        <is>
          <t>可用</t>
        </is>
      </c>
      <c r="X321" t="inlineStr">
        <is>
          <t>品牌语料分析与洞察体系.xlsx#表1：原始语料库!321</t>
        </is>
      </c>
      <c r="Y321" t="inlineStr">
        <is>
          <t>FROZEN_419_V2</t>
        </is>
      </c>
    </row>
    <row r="322" ht="25.5" customHeight="1">
      <c r="A322" t="inlineStr">
        <is>
          <t>DY-SOC-0269</t>
        </is>
      </c>
      <c r="B322" t="inlineStr">
        <is>
          <t>低度酒品类态度</t>
        </is>
      </c>
      <c r="C322" t="inlineStr">
        <is>
          <t>PRJ001</t>
        </is>
      </c>
      <c r="D322" t="inlineStr">
        <is>
          <t>低度酒</t>
        </is>
      </c>
      <c r="E322" t="inlineStr">
        <is>
          <t>其实博主打着推荐的名号把自己喜欢的酒全喝了一遍</t>
        </is>
      </c>
      <c r="F322" t="inlineStr">
        <is>
          <t>年度好酒Top10平价版｜2025-01-03｜抖音</t>
        </is>
      </c>
      <c r="G322" t="inlineStr">
        <is>
          <t>抖音</t>
        </is>
      </c>
      <c r="H322" s="2" t="str">
        <f>=HYPERLINK("https://www.douyin.com/video/7521311524146367784", "https://www.douyin.com/video/7521311524146367784")</f>
        <v>https://www.douyin.com/video/7521311524146367784</v>
      </c>
      <c r="I322" s="3">
        <v>45660</v>
      </c>
      <c r="J322" s="4">
        <v>46243</v>
      </c>
      <c r="K322" t="inlineStr">
        <is>
          <t>低度酒推荐②</t>
        </is>
      </c>
      <c r="L322"/>
      <c r="M322" t="inlineStr">
        <is>
          <t>DY-U0301</t>
        </is>
      </c>
      <c r="N322" t="inlineStr">
        <is>
          <t>公开评论</t>
        </is>
      </c>
      <c r="O322"/>
      <c r="P322" t="inlineStr">
        <is>
          <t>点赞数未成功识别，暂置空，禁止随机补值；当前日期来自视频发布时间，评论发布时间未识别</t>
        </is>
      </c>
      <c r="Q322" t="inlineStr">
        <is>
          <t>低度酒品类</t>
        </is>
      </c>
      <c r="R322"/>
      <c r="S322" t="inlineStr">
        <is>
          <t>DY-SOC-0269_ANALYSIS_BASELINE_formal-attempt-0001_AI</t>
        </is>
      </c>
      <c r="T322" t="inlineStr">
        <is>
          <t>饮酒情绪</t>
        </is>
      </c>
      <c r="U322" t="inlineStr">
        <is>
          <t>KEEP</t>
        </is>
      </c>
      <c r="V322" t="inlineStr">
        <is>
          <t>ANALYSIS_BASELINE</t>
        </is>
      </c>
      <c r="W322" t="inlineStr">
        <is>
          <t>可用</t>
        </is>
      </c>
      <c r="X322" t="inlineStr">
        <is>
          <t>品牌语料分析与洞察体系.xlsx#表1：原始语料库!322</t>
        </is>
      </c>
      <c r="Y322" t="inlineStr">
        <is>
          <t>FROZEN_419_V2</t>
        </is>
      </c>
    </row>
    <row r="323" ht="25.5" customHeight="1">
      <c r="A323" t="inlineStr">
        <is>
          <t>DY-SOC-0270</t>
        </is>
      </c>
      <c r="B323" t="inlineStr">
        <is>
          <t>低度酒品类态度</t>
        </is>
      </c>
      <c r="C323" t="inlineStr">
        <is>
          <t>PRJ001</t>
        </is>
      </c>
      <c r="D323" t="inlineStr">
        <is>
          <t>低度酒</t>
        </is>
      </c>
      <c r="E323" t="inlineStr">
        <is>
          <t>大家平时干喝吗拿什么吃的什么剧下酒</t>
        </is>
      </c>
      <c r="F323" t="inlineStr">
        <is>
          <t>年度好酒Top10平价版｜2025-01-03｜抖音</t>
        </is>
      </c>
      <c r="G323" t="inlineStr">
        <is>
          <t>抖音</t>
        </is>
      </c>
      <c r="H323" s="2" t="str">
        <f>=HYPERLINK("https://www.douyin.com/video/7521311524146367784", "https://www.douyin.com/video/7521311524146367784")</f>
        <v>https://www.douyin.com/video/7521311524146367784</v>
      </c>
      <c r="I323" s="3">
        <v>45660</v>
      </c>
      <c r="J323" s="4">
        <v>46243</v>
      </c>
      <c r="K323" t="inlineStr">
        <is>
          <t>低度酒推荐②</t>
        </is>
      </c>
      <c r="L323"/>
      <c r="M323" t="inlineStr">
        <is>
          <t>DY-U0302</t>
        </is>
      </c>
      <c r="N323" t="inlineStr">
        <is>
          <t>公开评论</t>
        </is>
      </c>
      <c r="O323"/>
      <c r="P323" t="inlineStr">
        <is>
          <t>点赞数未成功识别，暂置空，禁止随机补值；当前日期来自视频发布时间，评论发布时间未识别</t>
        </is>
      </c>
      <c r="Q323" t="inlineStr">
        <is>
          <t>低度酒品类</t>
        </is>
      </c>
      <c r="R323"/>
      <c r="S323" t="inlineStr">
        <is>
          <t>DY-SOC-0270_ANALYSIS_BASELINE_formal-attempt-0001_AI</t>
        </is>
      </c>
      <c r="T323" t="inlineStr">
        <is>
          <t>饮酒情绪</t>
        </is>
      </c>
      <c r="U323" t="inlineStr">
        <is>
          <t>KEEP</t>
        </is>
      </c>
      <c r="V323" t="inlineStr">
        <is>
          <t>ANALYSIS_BASELINE</t>
        </is>
      </c>
      <c r="W323" t="inlineStr">
        <is>
          <t>可用</t>
        </is>
      </c>
      <c r="X323" t="inlineStr">
        <is>
          <t>品牌语料分析与洞察体系.xlsx#表1：原始语料库!323</t>
        </is>
      </c>
      <c r="Y323" t="inlineStr">
        <is>
          <t>FROZEN_419_V2</t>
        </is>
      </c>
    </row>
    <row r="324" ht="25.5" customHeight="1">
      <c r="A324" t="inlineStr">
        <is>
          <t>DY-SOC-0271</t>
        </is>
      </c>
      <c r="B324" t="inlineStr">
        <is>
          <t>低度酒品类态度</t>
        </is>
      </c>
      <c r="C324" t="inlineStr">
        <is>
          <t>PRJ001</t>
        </is>
      </c>
      <c r="D324" t="inlineStr">
        <is>
          <t>低度酒</t>
        </is>
      </c>
      <c r="E324" t="inlineStr">
        <is>
          <t>第一个怎么搜不到呢</t>
        </is>
      </c>
      <c r="F324" t="inlineStr">
        <is>
          <t>年度好酒Top10平价版｜2025-01-03｜抖音</t>
        </is>
      </c>
      <c r="G324" t="inlineStr">
        <is>
          <t>抖音</t>
        </is>
      </c>
      <c r="H324" s="2" t="str">
        <f>=HYPERLINK("https://www.douyin.com/video/7521311524146367784", "https://www.douyin.com/video/7521311524146367784")</f>
        <v>https://www.douyin.com/video/7521311524146367784</v>
      </c>
      <c r="I324" s="3">
        <v>45660</v>
      </c>
      <c r="J324" s="4">
        <v>46243</v>
      </c>
      <c r="K324" t="inlineStr">
        <is>
          <t>低度酒推荐②</t>
        </is>
      </c>
      <c r="L324"/>
      <c r="M324" t="inlineStr">
        <is>
          <t>DY-U0303</t>
        </is>
      </c>
      <c r="N324" t="inlineStr">
        <is>
          <t>公开评论</t>
        </is>
      </c>
      <c r="O324"/>
      <c r="P324" t="inlineStr">
        <is>
          <t>点赞数未成功识别，暂置空，禁止随机补值；当前日期来自视频发布时间，评论发布时间未识别</t>
        </is>
      </c>
      <c r="Q324" t="inlineStr">
        <is>
          <t>低度酒品类</t>
        </is>
      </c>
      <c r="R324"/>
      <c r="S324" t="inlineStr">
        <is>
          <t>DY-SOC-0271_ANALYSIS_BASELINE_formal-attempt-0001_AI</t>
        </is>
      </c>
      <c r="T324" t="inlineStr">
        <is>
          <t>饮酒情绪</t>
        </is>
      </c>
      <c r="U324" t="inlineStr">
        <is>
          <t>KEEP</t>
        </is>
      </c>
      <c r="V324" t="inlineStr">
        <is>
          <t>ANALYSIS_BASELINE</t>
        </is>
      </c>
      <c r="W324" t="inlineStr">
        <is>
          <t>可用</t>
        </is>
      </c>
      <c r="X324" t="inlineStr">
        <is>
          <t>品牌语料分析与洞察体系.xlsx#表1：原始语料库!324</t>
        </is>
      </c>
      <c r="Y324" t="inlineStr">
        <is>
          <t>FROZEN_419_V2</t>
        </is>
      </c>
    </row>
    <row r="325" ht="25.5" customHeight="1">
      <c r="A325" t="inlineStr">
        <is>
          <t>DY-SOC-0272</t>
        </is>
      </c>
      <c r="B325" t="inlineStr">
        <is>
          <t>低度酒品类态度</t>
        </is>
      </c>
      <c r="C325" t="inlineStr">
        <is>
          <t>PRJ001</t>
        </is>
      </c>
      <c r="D325" t="inlineStr">
        <is>
          <t>低度酒</t>
        </is>
      </c>
      <c r="E325" t="inlineStr">
        <is>
          <t>有没有度数高一点的我喝这些酒像喝水一样[捂脸]</t>
        </is>
      </c>
      <c r="F325" t="inlineStr">
        <is>
          <t>年度好酒Top10平价版｜2025-01-03｜抖音</t>
        </is>
      </c>
      <c r="G325" t="inlineStr">
        <is>
          <t>抖音</t>
        </is>
      </c>
      <c r="H325" s="2" t="str">
        <f>=HYPERLINK("https://www.douyin.com/video/7521311524146367784", "https://www.douyin.com/video/7521311524146367784")</f>
        <v>https://www.douyin.com/video/7521311524146367784</v>
      </c>
      <c r="I325" s="3">
        <v>45660</v>
      </c>
      <c r="J325" s="4">
        <v>46243</v>
      </c>
      <c r="K325" t="inlineStr">
        <is>
          <t>低度酒推荐②</t>
        </is>
      </c>
      <c r="L325"/>
      <c r="M325" t="inlineStr">
        <is>
          <t>DY-U0305</t>
        </is>
      </c>
      <c r="N325" t="inlineStr">
        <is>
          <t>公开评论</t>
        </is>
      </c>
      <c r="O325"/>
      <c r="P325" t="inlineStr">
        <is>
          <t>点赞数未成功识别，暂置空，禁止随机补值；当前日期来自视频发布时间，评论发布时间未识别</t>
        </is>
      </c>
      <c r="Q325" t="inlineStr">
        <is>
          <t>低度酒品类</t>
        </is>
      </c>
      <c r="R325"/>
      <c r="S325" t="inlineStr">
        <is>
          <t>DY-SOC-0272_ANALYSIS_BASELINE_formal-attempt-0001_AI</t>
        </is>
      </c>
      <c r="T325" t="inlineStr">
        <is>
          <t>饮酒情绪</t>
        </is>
      </c>
      <c r="U325" t="inlineStr">
        <is>
          <t>KEEP</t>
        </is>
      </c>
      <c r="V325" t="inlineStr">
        <is>
          <t>ANALYSIS_BASELINE</t>
        </is>
      </c>
      <c r="W325" t="inlineStr">
        <is>
          <t>可用</t>
        </is>
      </c>
      <c r="X325" t="inlineStr">
        <is>
          <t>品牌语料分析与洞察体系.xlsx#表1：原始语料库!325</t>
        </is>
      </c>
      <c r="Y325" t="inlineStr">
        <is>
          <t>FROZEN_419_V2</t>
        </is>
      </c>
    </row>
    <row r="326" ht="25.5" customHeight="1">
      <c r="A326" t="inlineStr">
        <is>
          <t>DY-SOC-0273</t>
        </is>
      </c>
      <c r="B326" t="inlineStr">
        <is>
          <t>低度酒品类态度</t>
        </is>
      </c>
      <c r="C326" t="inlineStr">
        <is>
          <t>PRJ001</t>
        </is>
      </c>
      <c r="D326" t="inlineStr">
        <is>
          <t>低度酒</t>
        </is>
      </c>
      <c r="E326" t="inlineStr">
        <is>
          <t>强爽我觉得挺猛啊第一罐确实就是饮料第二罐就有点迷糊三罐我就趴了白酒我就五六两的量</t>
        </is>
      </c>
      <c r="F326" t="inlineStr">
        <is>
          <t>超市小甜水上头测评｜2025-03-14｜抖音</t>
        </is>
      </c>
      <c r="G326" t="inlineStr">
        <is>
          <t>抖音</t>
        </is>
      </c>
      <c r="H326" s="2" t="str">
        <f>=HYPERLINK("https://www.douyin.com/video/7591112215512917489", "https://www.douyin.com/video/7591112215512917489")</f>
        <v>https://www.douyin.com/video/7591112215512917489</v>
      </c>
      <c r="I326" s="3">
        <v>45730</v>
      </c>
      <c r="J326" s="4">
        <v>46243</v>
      </c>
      <c r="K326" t="inlineStr">
        <is>
          <t>低度酒推荐③</t>
        </is>
      </c>
      <c r="L326"/>
      <c r="M326" t="inlineStr">
        <is>
          <t>DY-U0307</t>
        </is>
      </c>
      <c r="N326" t="inlineStr">
        <is>
          <t>公开评论</t>
        </is>
      </c>
      <c r="O326"/>
      <c r="P326" t="inlineStr">
        <is>
          <t>点赞数未成功识别，暂置空，禁止随机补值；当前日期来自视频发布时间，评论发布时间未识别</t>
        </is>
      </c>
      <c r="Q326" t="inlineStr">
        <is>
          <t>低度酒品类</t>
        </is>
      </c>
      <c r="R326"/>
      <c r="S326" t="inlineStr">
        <is>
          <t>DY-SOC-0273_ANALYSIS_BASELINE_formal-attempt-0001_AI</t>
        </is>
      </c>
      <c r="T326" t="inlineStr">
        <is>
          <t>饮酒情绪</t>
        </is>
      </c>
      <c r="U326" t="inlineStr">
        <is>
          <t>KEEP</t>
        </is>
      </c>
      <c r="V326" t="inlineStr">
        <is>
          <t>ANALYSIS_BASELINE</t>
        </is>
      </c>
      <c r="W326" t="inlineStr">
        <is>
          <t>可用</t>
        </is>
      </c>
      <c r="X326" t="inlineStr">
        <is>
          <t>品牌语料分析与洞察体系.xlsx#表1：原始语料库!326</t>
        </is>
      </c>
      <c r="Y326" t="inlineStr">
        <is>
          <t>FROZEN_419_V2</t>
        </is>
      </c>
    </row>
    <row r="327" ht="25.5" customHeight="1">
      <c r="A327" t="inlineStr">
        <is>
          <t>DY-SOC-0275</t>
        </is>
      </c>
      <c r="B327" t="inlineStr">
        <is>
          <t>低度酒品类态度</t>
        </is>
      </c>
      <c r="C327" t="inlineStr">
        <is>
          <t>PRJ001</t>
        </is>
      </c>
      <c r="D327" t="inlineStr">
        <is>
          <t>低度酒</t>
        </is>
      </c>
      <c r="E327" t="inlineStr">
        <is>
          <t>相对于白的我更喜欢鸡尾酒和强爽</t>
        </is>
      </c>
      <c r="F327" t="inlineStr">
        <is>
          <t>超市小甜水上头测评｜2025-03-14｜抖音</t>
        </is>
      </c>
      <c r="G327" t="inlineStr">
        <is>
          <t>抖音</t>
        </is>
      </c>
      <c r="H327" s="2" t="str">
        <f>=HYPERLINK("https://www.douyin.com/video/7591112215512917489", "https://www.douyin.com/video/7591112215512917489")</f>
        <v>https://www.douyin.com/video/7591112215512917489</v>
      </c>
      <c r="I327" s="3">
        <v>45730</v>
      </c>
      <c r="J327" s="4">
        <v>46243</v>
      </c>
      <c r="K327" t="inlineStr">
        <is>
          <t>低度酒推荐③</t>
        </is>
      </c>
      <c r="L327"/>
      <c r="M327" t="inlineStr">
        <is>
          <t>DY-U0309</t>
        </is>
      </c>
      <c r="N327" t="inlineStr">
        <is>
          <t>公开评论</t>
        </is>
      </c>
      <c r="O327"/>
      <c r="P327" t="inlineStr">
        <is>
          <t>点赞数未成功识别，暂置空，禁止随机补值；当前日期来自视频发布时间，评论发布时间未识别</t>
        </is>
      </c>
      <c r="Q327" t="inlineStr">
        <is>
          <t>低度酒品类</t>
        </is>
      </c>
      <c r="R327"/>
      <c r="S327" t="inlineStr">
        <is>
          <t>DY-SOC-0275_ANALYSIS_BASELINE_formal-attempt-0001_AI</t>
        </is>
      </c>
      <c r="T327" t="inlineStr">
        <is>
          <t>饮酒情绪</t>
        </is>
      </c>
      <c r="U327" t="inlineStr">
        <is>
          <t>KEEP</t>
        </is>
      </c>
      <c r="V327" t="inlineStr">
        <is>
          <t>ANALYSIS_BASELINE</t>
        </is>
      </c>
      <c r="W327" t="inlineStr">
        <is>
          <t>可用</t>
        </is>
      </c>
      <c r="X327" t="inlineStr">
        <is>
          <t>品牌语料分析与洞察体系.xlsx#表1：原始语料库!327</t>
        </is>
      </c>
      <c r="Y327" t="inlineStr">
        <is>
          <t>FROZEN_419_V2</t>
        </is>
      </c>
    </row>
    <row r="328" ht="25.5" customHeight="1">
      <c r="A328" t="inlineStr">
        <is>
          <t>DY-SOC-0277</t>
        </is>
      </c>
      <c r="B328" t="inlineStr">
        <is>
          <t>低度酒品类态度</t>
        </is>
      </c>
      <c r="C328" t="inlineStr">
        <is>
          <t>PRJ001</t>
        </is>
      </c>
      <c r="D328" t="inlineStr">
        <is>
          <t>低度酒</t>
        </is>
      </c>
      <c r="E328" t="inlineStr">
        <is>
          <t>名字好长hahah</t>
        </is>
      </c>
      <c r="F328" t="inlineStr">
        <is>
          <t>年轻人为何偏爱低度轻饮｜2025-07-18｜抖音</t>
        </is>
      </c>
      <c r="G328" t="inlineStr">
        <is>
          <t>抖音</t>
        </is>
      </c>
      <c r="H328" s="2" t="str">
        <f>=HYPERLINK("https://www.douyin.com/video/7606215191063203107", "https://www.douyin.com/video/7606215191063203107")</f>
        <v>https://www.douyin.com/video/7606215191063203107</v>
      </c>
      <c r="I328" s="3">
        <v>45856</v>
      </c>
      <c r="J328" s="4">
        <v>46243</v>
      </c>
      <c r="K328" t="inlineStr">
        <is>
          <t>年轻人为什么喝低度酒①</t>
        </is>
      </c>
      <c r="L328"/>
      <c r="M328" t="inlineStr">
        <is>
          <t>DY-U0318</t>
        </is>
      </c>
      <c r="N328" t="inlineStr">
        <is>
          <t>公开评论</t>
        </is>
      </c>
      <c r="O328"/>
      <c r="P328" t="inlineStr">
        <is>
          <t>点赞数未成功识别，暂置空，禁止随机补值；当前日期来自视频发布时间，评论发布时间未识别</t>
        </is>
      </c>
      <c r="Q328" t="inlineStr">
        <is>
          <t>低度酒品类</t>
        </is>
      </c>
      <c r="R328"/>
      <c r="S328"/>
      <c r="T328" t="inlineStr">
        <is>
          <t>饮酒情绪</t>
        </is>
      </c>
      <c r="U328" t="inlineStr">
        <is>
          <t>EXCLUDE</t>
        </is>
      </c>
      <c r="V328" t="inlineStr">
        <is>
          <t>EXCLUDE</t>
        </is>
      </c>
      <c r="W328" t="inlineStr">
        <is>
          <t>不可用</t>
        </is>
      </c>
      <c r="X328" t="inlineStr">
        <is>
          <t>原始母表#raw_id=DY-SOC-0277</t>
        </is>
      </c>
      <c r="Y328" t="inlineStr">
        <is>
          <t>FROZEN_419_V2</t>
        </is>
      </c>
    </row>
    <row r="329" ht="25.5" customHeight="1">
      <c r="A329" t="inlineStr">
        <is>
          <t>DY-SOC-0278</t>
        </is>
      </c>
      <c r="B329" t="inlineStr">
        <is>
          <t>低度酒品类态度</t>
        </is>
      </c>
      <c r="C329" t="inlineStr">
        <is>
          <t>PRJ001</t>
        </is>
      </c>
      <c r="D329" t="inlineStr">
        <is>
          <t>低度酒</t>
        </is>
      </c>
      <c r="E329" t="inlineStr">
        <is>
          <t>这是有心事了啊麒麟啤酒还可以</t>
        </is>
      </c>
      <c r="F329" t="inlineStr">
        <is>
          <t>年轻人为何偏爱低度轻饮｜2025-07-18｜抖音</t>
        </is>
      </c>
      <c r="G329" t="inlineStr">
        <is>
          <t>抖音</t>
        </is>
      </c>
      <c r="H329" s="2" t="str">
        <f>=HYPERLINK("https://www.douyin.com/video/7606215191063203107", "https://www.douyin.com/video/7606215191063203107")</f>
        <v>https://www.douyin.com/video/7606215191063203107</v>
      </c>
      <c r="I329" s="3">
        <v>45856</v>
      </c>
      <c r="J329" s="4">
        <v>46243</v>
      </c>
      <c r="K329" t="inlineStr">
        <is>
          <t>年轻人为什么喝低度酒①</t>
        </is>
      </c>
      <c r="L329"/>
      <c r="M329" t="inlineStr">
        <is>
          <t>DY-U0319</t>
        </is>
      </c>
      <c r="N329" t="inlineStr">
        <is>
          <t>公开评论</t>
        </is>
      </c>
      <c r="O329"/>
      <c r="P329" t="inlineStr">
        <is>
          <t>点赞数未成功识别，暂置空，禁止随机补值；当前日期来自视频发布时间，评论发布时间未识别</t>
        </is>
      </c>
      <c r="Q329" t="inlineStr">
        <is>
          <t>低度酒品类</t>
        </is>
      </c>
      <c r="R329"/>
      <c r="S329" t="inlineStr">
        <is>
          <t>DY-SOC-0278_HOLDOUT_formal-attempt-0001_AI</t>
        </is>
      </c>
      <c r="T329" t="inlineStr">
        <is>
          <t>饮酒情绪</t>
        </is>
      </c>
      <c r="U329" t="inlineStr">
        <is>
          <t>KEEP</t>
        </is>
      </c>
      <c r="V329" t="inlineStr">
        <is>
          <t>HOLDOUT</t>
        </is>
      </c>
      <c r="W329" t="inlineStr">
        <is>
          <t>可用</t>
        </is>
      </c>
      <c r="X329" t="inlineStr">
        <is>
          <t>品牌语料分析与洞察体系.xlsx#表1：原始语料库!329</t>
        </is>
      </c>
      <c r="Y329" t="inlineStr">
        <is>
          <t>FROZEN_419_V2</t>
        </is>
      </c>
    </row>
    <row r="330" ht="25.5" customHeight="1">
      <c r="A330" t="inlineStr">
        <is>
          <t>DY-SOC-0279</t>
        </is>
      </c>
      <c r="B330" t="inlineStr">
        <is>
          <t>低度酒品类态度</t>
        </is>
      </c>
      <c r="C330" t="inlineStr">
        <is>
          <t>PRJ001</t>
        </is>
      </c>
      <c r="D330" t="inlineStr">
        <is>
          <t>低度酒</t>
        </is>
      </c>
      <c r="E330" t="inlineStr">
        <is>
          <t>他们说每次听到这个前奏狗都有遗憾</t>
        </is>
      </c>
      <c r="F330" t="inlineStr">
        <is>
          <t>年轻人为何偏爱低度轻饮｜2025-07-18｜抖音</t>
        </is>
      </c>
      <c r="G330" t="inlineStr">
        <is>
          <t>抖音</t>
        </is>
      </c>
      <c r="H330" s="2" t="str">
        <f>=HYPERLINK("https://www.douyin.com/video/7606215191063203107", "https://www.douyin.com/video/7606215191063203107")</f>
        <v>https://www.douyin.com/video/7606215191063203107</v>
      </c>
      <c r="I330" s="3">
        <v>45856</v>
      </c>
      <c r="J330" s="4">
        <v>46243</v>
      </c>
      <c r="K330" t="inlineStr">
        <is>
          <t>年轻人为什么喝低度酒①</t>
        </is>
      </c>
      <c r="L330"/>
      <c r="M330" t="inlineStr">
        <is>
          <t>DY-U0321</t>
        </is>
      </c>
      <c r="N330" t="inlineStr">
        <is>
          <t>公开评论</t>
        </is>
      </c>
      <c r="O330"/>
      <c r="P330" t="inlineStr">
        <is>
          <t>点赞数未成功识别，暂置空，禁止随机补值；当前日期来自视频发布时间，评论发布时间未识别</t>
        </is>
      </c>
      <c r="Q330" t="inlineStr">
        <is>
          <t>低度酒品类</t>
        </is>
      </c>
      <c r="R330"/>
      <c r="S330"/>
      <c r="T330" t="inlineStr">
        <is>
          <t>饮酒情绪</t>
        </is>
      </c>
      <c r="U330" t="inlineStr">
        <is>
          <t>EXCLUDE</t>
        </is>
      </c>
      <c r="V330" t="inlineStr">
        <is>
          <t>EXCLUDE</t>
        </is>
      </c>
      <c r="W330" t="inlineStr">
        <is>
          <t>不可用</t>
        </is>
      </c>
      <c r="X330" t="inlineStr">
        <is>
          <t>原始母表#raw_id=DY-SOC-0279</t>
        </is>
      </c>
      <c r="Y330" t="inlineStr">
        <is>
          <t>FROZEN_419_V2</t>
        </is>
      </c>
    </row>
    <row r="331" ht="25.5" customHeight="1">
      <c r="A331" t="inlineStr">
        <is>
          <t>DY-SOC-0280</t>
        </is>
      </c>
      <c r="B331" t="inlineStr">
        <is>
          <t>低度酒品类态度</t>
        </is>
      </c>
      <c r="C331" t="inlineStr">
        <is>
          <t>PRJ001</t>
        </is>
      </c>
      <c r="D331" t="inlineStr">
        <is>
          <t>低度酒</t>
        </is>
      </c>
      <c r="E331" t="inlineStr">
        <is>
          <t>真的只要一番榨吗</t>
        </is>
      </c>
      <c r="F331" t="inlineStr">
        <is>
          <t>年轻人为何偏爱低度轻饮｜2025-07-18｜抖音</t>
        </is>
      </c>
      <c r="G331" t="inlineStr">
        <is>
          <t>抖音</t>
        </is>
      </c>
      <c r="H331" s="2" t="str">
        <f>=HYPERLINK("https://www.douyin.com/video/7606215191063203107", "https://www.douyin.com/video/7606215191063203107")</f>
        <v>https://www.douyin.com/video/7606215191063203107</v>
      </c>
      <c r="I331" s="3">
        <v>45856</v>
      </c>
      <c r="J331" s="4">
        <v>46243</v>
      </c>
      <c r="K331" t="inlineStr">
        <is>
          <t>年轻人为什么喝低度酒①</t>
        </is>
      </c>
      <c r="L331"/>
      <c r="M331" t="inlineStr">
        <is>
          <t>DY-U0323</t>
        </is>
      </c>
      <c r="N331" t="inlineStr">
        <is>
          <t>公开评论</t>
        </is>
      </c>
      <c r="O331"/>
      <c r="P331" t="inlineStr">
        <is>
          <t>点赞数未成功识别，暂置空，禁止随机补值；当前日期来自视频发布时间，评论发布时间未识别</t>
        </is>
      </c>
      <c r="Q331" t="inlineStr">
        <is>
          <t>低度酒品类</t>
        </is>
      </c>
      <c r="R331"/>
      <c r="S331" t="inlineStr">
        <is>
          <t>DY-SOC-0280_HOLDOUT_formal-attempt-0001_AI</t>
        </is>
      </c>
      <c r="T331" t="inlineStr">
        <is>
          <t>饮酒情绪</t>
        </is>
      </c>
      <c r="U331" t="inlineStr">
        <is>
          <t>KEEP</t>
        </is>
      </c>
      <c r="V331" t="inlineStr">
        <is>
          <t>HOLDOUT</t>
        </is>
      </c>
      <c r="W331" t="inlineStr">
        <is>
          <t>可用</t>
        </is>
      </c>
      <c r="X331" t="inlineStr">
        <is>
          <t>品牌语料分析与洞察体系.xlsx#表1：原始语料库!331</t>
        </is>
      </c>
      <c r="Y331" t="inlineStr">
        <is>
          <t>FROZEN_419_V2</t>
        </is>
      </c>
    </row>
    <row r="332" ht="25.5" customHeight="1">
      <c r="A332" t="inlineStr">
        <is>
          <t>MJ-RAW-0220</t>
        </is>
      </c>
      <c r="B332" t="inlineStr">
        <is>
          <t>饮酒情绪与身体负担</t>
        </is>
      </c>
      <c r="C332" t="inlineStr">
        <is>
          <t>PRJ001</t>
        </is>
      </c>
      <c r="D332" t="inlineStr">
        <is>
          <t>RIO锐澳</t>
        </is>
      </c>
      <c r="E332" t="inlineStr">
        <is>
          <t>一瓶微微醺，两瓶微醺</t>
        </is>
      </c>
      <c r="F332" t="inlineStr">
        <is>
          <t>来源：小红书平台用户评论</t>
        </is>
      </c>
      <c r="G332" t="inlineStr">
        <is>
          <t>小红书</t>
        </is>
      </c>
      <c r="H332" s="2" t="str">
        <f>=HYPERLINK("http://数据未收集", "数据未收集")</f>
        <v>数据未收集</v>
      </c>
      <c r="I332" s="3"/>
      <c r="J332" s="4">
        <v>46243</v>
      </c>
      <c r="K332" t="inlineStr">
        <is>
          <t>低度酒 微醺 评价</t>
        </is>
      </c>
      <c r="L332"/>
      <c r="M332" t="inlineStr">
        <is>
          <t>MJ-XHS-U-020</t>
        </is>
      </c>
      <c r="N332" t="inlineStr">
        <is>
          <t>公开评论</t>
        </is>
      </c>
      <c r="O332"/>
      <c r="P332" t="inlineStr">
        <is>
          <t>【用户场景】下班独饮
【情绪关键词】可控, 微醺, 轻松
【表层需求】想喝一点点，有轻微放松感
【深层情绪】想进入放松状态，但不想真正失控
【身份需求】我能掌控自己的饮酒状态，不靠喝醉证明尽兴
【饮酒态度】接受低度
【品牌反馈】未指向具体品牌
【可转化品牌洞察】低度酒的核心不是拼酒，而是“喝到刚刚好”的可控放松</t>
        </is>
      </c>
      <c r="Q332" t="inlineStr">
        <is>
          <t>饮酒文化或社交话题</t>
        </is>
      </c>
      <c r="R332"/>
      <c r="S332" t="inlineStr">
        <is>
          <t>MJ-RAW-0220_HOLDOUT_formal-attempt-0001_AI</t>
        </is>
      </c>
      <c r="T332" t="inlineStr">
        <is>
          <t>饮酒情绪</t>
        </is>
      </c>
      <c r="U332" t="inlineStr">
        <is>
          <t>KEEP</t>
        </is>
      </c>
      <c r="V332" t="inlineStr">
        <is>
          <t>HOLDOUT</t>
        </is>
      </c>
      <c r="W332" t="inlineStr">
        <is>
          <t>不可用</t>
        </is>
      </c>
      <c r="X332" t="inlineStr">
        <is>
          <t>品牌语料分析与洞察体系.xlsx#表1：原始语料库!332</t>
        </is>
      </c>
      <c r="Y332" t="inlineStr">
        <is>
          <t>FROZEN_419_V2</t>
        </is>
      </c>
    </row>
    <row r="333" ht="25.5" customHeight="1">
      <c r="A333" t="inlineStr">
        <is>
          <t>MJ-RAW-0221</t>
        </is>
      </c>
      <c r="B333" t="inlineStr">
        <is>
          <t>饮酒情绪与身体负担</t>
        </is>
      </c>
      <c r="C333" t="inlineStr">
        <is>
          <t>PRJ001</t>
        </is>
      </c>
      <c r="D333" t="inlineStr">
        <is>
          <t>低度酒</t>
        </is>
      </c>
      <c r="E333" t="inlineStr">
        <is>
          <t>一点酒味都没有，像水果汽水</t>
        </is>
      </c>
      <c r="F333" t="inlineStr">
        <is>
          <t>来源：小红书平台用户评论</t>
        </is>
      </c>
      <c r="G333" t="inlineStr">
        <is>
          <t>小红书</t>
        </is>
      </c>
      <c r="H333" s="2" t="str">
        <f>=HYPERLINK("http://数据未收集", "数据未收集")</f>
        <v>数据未收集</v>
      </c>
      <c r="I333" s="3"/>
      <c r="J333" s="4">
        <v>46243</v>
      </c>
      <c r="K333" t="inlineStr">
        <is>
          <t>低度酒 微醺 评价</t>
        </is>
      </c>
      <c r="L333"/>
      <c r="M333" t="inlineStr">
        <is>
          <t>MJ-XHS-U-021</t>
        </is>
      </c>
      <c r="N333" t="inlineStr">
        <is>
          <t>公开评论</t>
        </is>
      </c>
      <c r="O333"/>
      <c r="P333" t="inlineStr">
        <is>
          <t>【用户场景】下班独饮
【情绪关键词】低门槛, 轻松, 审美
【表层需求】想喝像饮料一样轻松的酒
【深层情绪】害怕传统酒味带来的压力和不适
【身份需求】我可以尝试酒，但不想被酒味打扰
【饮酒态度】接受低度
【品牌反馈】低度酒像水果汽水更容易被接受
【可转化品牌洞察】梅见如果要打动这类用户，需要降低酒感理解门槛，强调好入口和轻松饮用方式</t>
        </is>
      </c>
      <c r="Q333" t="inlineStr">
        <is>
          <t>饮酒文化或社交话题</t>
        </is>
      </c>
      <c r="R333"/>
      <c r="S333" t="inlineStr">
        <is>
          <t>MJ-RAW-0221_CHALLENGE_POOL_formal-attempt-0001_AI</t>
        </is>
      </c>
      <c r="T333" t="inlineStr">
        <is>
          <t>饮酒情绪</t>
        </is>
      </c>
      <c r="U333" t="inlineStr">
        <is>
          <t>KEEP</t>
        </is>
      </c>
      <c r="V333" t="inlineStr">
        <is>
          <t>CHALLENGE</t>
        </is>
      </c>
      <c r="W333" t="inlineStr">
        <is>
          <t>不可用</t>
        </is>
      </c>
      <c r="X333" t="inlineStr">
        <is>
          <t>品牌语料分析与洞察体系.xlsx#表1：原始语料库!333</t>
        </is>
      </c>
      <c r="Y333" t="inlineStr">
        <is>
          <t>FROZEN_419_V2</t>
        </is>
      </c>
    </row>
    <row r="334" ht="25.5" customHeight="1">
      <c r="A334" t="inlineStr">
        <is>
          <t>MJ-RAW-0222</t>
        </is>
      </c>
      <c r="B334" t="inlineStr">
        <is>
          <t>饮酒情绪与身体负担</t>
        </is>
      </c>
      <c r="C334" t="inlineStr">
        <is>
          <t>PRJ001</t>
        </is>
      </c>
      <c r="D334" t="inlineStr">
        <is>
          <t>未指向具体品牌</t>
        </is>
      </c>
      <c r="E334" t="inlineStr">
        <is>
          <t>玫瑰荔枝！好喝到爆！</t>
        </is>
      </c>
      <c r="F334" t="inlineStr">
        <is>
          <t>来源：小红书平台用户评论</t>
        </is>
      </c>
      <c r="G334" t="inlineStr">
        <is>
          <t>小红书</t>
        </is>
      </c>
      <c r="H334" s="2" t="str">
        <f>=HYPERLINK("http://数据未收集", "数据未收集")</f>
        <v>数据未收集</v>
      </c>
      <c r="I334" s="3"/>
      <c r="J334" s="4">
        <v>46243</v>
      </c>
      <c r="K334" t="inlineStr">
        <is>
          <t>低度酒 微醺 评价</t>
        </is>
      </c>
      <c r="L334"/>
      <c r="M334" t="inlineStr">
        <is>
          <t>MJ-XHS-U-022</t>
        </is>
      </c>
      <c r="N334" t="inlineStr">
        <is>
          <t>公开评论</t>
        </is>
      </c>
      <c r="O334"/>
      <c r="P334" t="inlineStr">
        <is>
          <t>从EXCLUDE补回，内容有效且不重复；调整至CURATED_DEMO_DELTA以保持分集规模</t>
        </is>
      </c>
      <c r="Q334" t="inlineStr">
        <is>
          <t>饮酒文化或社交话题</t>
        </is>
      </c>
      <c r="R334"/>
      <c r="S334"/>
      <c r="T334" t="inlineStr">
        <is>
          <t>饮酒情绪</t>
        </is>
      </c>
      <c r="U334" t="inlineStr">
        <is>
          <t>KEEP</t>
        </is>
      </c>
      <c r="V334" t="inlineStr">
        <is>
          <t>CURATED_DEMO_DELTA</t>
        </is>
      </c>
      <c r="W334" t="inlineStr">
        <is>
          <t>不可用</t>
        </is>
      </c>
      <c r="X334" t="inlineStr">
        <is>
          <t>原始母表#raw_id=MJ-RAW-0222</t>
        </is>
      </c>
      <c r="Y334" t="inlineStr">
        <is>
          <t>FROZEN_419_V2</t>
        </is>
      </c>
    </row>
    <row r="335" ht="25.5" customHeight="1">
      <c r="A335" t="inlineStr">
        <is>
          <t>MJ-RAW-0223</t>
        </is>
      </c>
      <c r="B335" t="inlineStr">
        <is>
          <t>饮酒情绪与身体负担</t>
        </is>
      </c>
      <c r="C335" t="inlineStr">
        <is>
          <t>PRJ001</t>
        </is>
      </c>
      <c r="D335" t="inlineStr">
        <is>
          <t>饮酒行为</t>
        </is>
      </c>
      <c r="E335" t="inlineStr">
        <is>
          <t>别喝 都是假酒 第二天喝完头疼</t>
        </is>
      </c>
      <c r="F335" t="inlineStr">
        <is>
          <t>来源：小红书平台用户评论</t>
        </is>
      </c>
      <c r="G335" t="inlineStr">
        <is>
          <t>小红书</t>
        </is>
      </c>
      <c r="H335" s="2" t="str">
        <f>=HYPERLINK("http://数据未收集", "数据未收集")</f>
        <v>数据未收集</v>
      </c>
      <c r="I335" s="3"/>
      <c r="J335" s="4">
        <v>46243</v>
      </c>
      <c r="K335" t="inlineStr">
        <is>
          <t>低度酒 微醺 评价</t>
        </is>
      </c>
      <c r="L335"/>
      <c r="M335" t="inlineStr">
        <is>
          <t>MJ-XHS-U-023</t>
        </is>
      </c>
      <c r="N335" t="inlineStr">
        <is>
          <t>公开评论</t>
        </is>
      </c>
      <c r="O335"/>
      <c r="P335" t="inlineStr">
        <is>
          <t>【用户场景】下班独饮
【情绪关键词】怕失控, 边界感
【表层需求】想避开上头、头疼、第二天难受
【深层情绪】用户不是不想喝，而是担心身体代价
【身份需求】我想放松，但不想第二天为这杯酒付出代价
【饮酒态度】担心失控
【品牌反馈】对部分低度酒有上头和头疼担忧
【可转化品牌洞察】梅见不能只说微醺，要强调适量、慢饮、加冰、佐餐等可控饮用方式</t>
        </is>
      </c>
      <c r="Q335" t="inlineStr">
        <is>
          <t>饮酒文化或社交话题</t>
        </is>
      </c>
      <c r="R335"/>
      <c r="S335" t="inlineStr">
        <is>
          <t>MJ-RAW-0223_HOLDOUT_formal-attempt-0001_AI</t>
        </is>
      </c>
      <c r="T335" t="inlineStr">
        <is>
          <t>饮酒情绪</t>
        </is>
      </c>
      <c r="U335" t="inlineStr">
        <is>
          <t>KEEP</t>
        </is>
      </c>
      <c r="V335" t="inlineStr">
        <is>
          <t>HOLDOUT</t>
        </is>
      </c>
      <c r="W335" t="inlineStr">
        <is>
          <t>不可用</t>
        </is>
      </c>
      <c r="X335" t="inlineStr">
        <is>
          <t>品牌语料分析与洞察体系.xlsx#表1：原始语料库!335</t>
        </is>
      </c>
      <c r="Y335" t="inlineStr">
        <is>
          <t>FROZEN_419_V2</t>
        </is>
      </c>
    </row>
    <row r="336" ht="25.5" customHeight="1">
      <c r="A336" t="inlineStr">
        <is>
          <t>MJ-RAW-0224</t>
        </is>
      </c>
      <c r="B336" t="inlineStr">
        <is>
          <t>饮酒情绪与身体负担</t>
        </is>
      </c>
      <c r="C336" t="inlineStr">
        <is>
          <t>PRJ001</t>
        </is>
      </c>
      <c r="D336" t="inlineStr">
        <is>
          <t>饮酒行为</t>
        </is>
      </c>
      <c r="E336" t="inlineStr">
        <is>
          <t>不想喝酒，非常害怕会经历劝酒</t>
        </is>
      </c>
      <c r="F336" t="inlineStr">
        <is>
          <t>来源：小红书平台用户评论</t>
        </is>
      </c>
      <c r="G336" t="inlineStr">
        <is>
          <t>小红书</t>
        </is>
      </c>
      <c r="H336" s="2" t="str">
        <f>=HYPERLINK("http://数据未收集", "数据未收集")</f>
        <v>数据未收集</v>
      </c>
      <c r="I336" s="3"/>
      <c r="J336" s="4">
        <v>46243</v>
      </c>
      <c r="K336" t="inlineStr">
        <is>
          <t>低度酒 微醺 评价</t>
        </is>
      </c>
      <c r="L336"/>
      <c r="M336" t="inlineStr">
        <is>
          <t>MJ-XHS-U-024</t>
        </is>
      </c>
      <c r="N336" t="inlineStr">
        <is>
          <t>公开评论</t>
        </is>
      </c>
      <c r="O336"/>
      <c r="P336" t="inlineStr">
        <is>
          <t>【用户场景】聚餐
【情绪关键词】怕失控, 边界感, 尴尬
【表层需求】想避免被劝酒和被迫喝
【深层情绪】想参与社交，但害怕一旦进入酒桌就失去拒绝权
【身份需求】我可以社交，但不接受被酒局绑架
【饮酒态度】不主动喝酒
【品牌反馈】未指向具体品牌
【可转化品牌洞察】梅见若讲共饮，必须强调“不劝酒、不拼酒、一杯也算参与”</t>
        </is>
      </c>
      <c r="Q336" t="inlineStr">
        <is>
          <t>饮酒文化或社交话题</t>
        </is>
      </c>
      <c r="R336"/>
      <c r="S336" t="inlineStr">
        <is>
          <t>MJ-RAW-0224_HOLDOUT_formal-attempt-0001_AI</t>
        </is>
      </c>
      <c r="T336" t="inlineStr">
        <is>
          <t>饮酒情绪</t>
        </is>
      </c>
      <c r="U336" t="inlineStr">
        <is>
          <t>KEEP</t>
        </is>
      </c>
      <c r="V336" t="inlineStr">
        <is>
          <t>HOLDOUT</t>
        </is>
      </c>
      <c r="W336" t="inlineStr">
        <is>
          <t>不可用</t>
        </is>
      </c>
      <c r="X336" t="inlineStr">
        <is>
          <t>品牌语料分析与洞察体系.xlsx#表1：原始语料库!336</t>
        </is>
      </c>
      <c r="Y336" t="inlineStr">
        <is>
          <t>FROZEN_419_V2</t>
        </is>
      </c>
    </row>
    <row r="337" ht="25.5" customHeight="1">
      <c r="A337" t="inlineStr">
        <is>
          <t>MJ-RAW-0225</t>
        </is>
      </c>
      <c r="B337" t="inlineStr">
        <is>
          <t>饮酒情绪与身体负担</t>
        </is>
      </c>
      <c r="C337" t="inlineStr">
        <is>
          <t>PRJ001</t>
        </is>
      </c>
      <c r="D337" t="inlineStr">
        <is>
          <t>饮酒行为</t>
        </is>
      </c>
      <c r="E337" t="inlineStr">
        <is>
          <t>一到晚上就想喝点</t>
        </is>
      </c>
      <c r="F337" t="inlineStr">
        <is>
          <t>来源：小红书平台用户评论</t>
        </is>
      </c>
      <c r="G337" t="inlineStr">
        <is>
          <t>小红书</t>
        </is>
      </c>
      <c r="H337" s="2" t="str">
        <f>=HYPERLINK("http://数据未收集", "数据未收集")</f>
        <v>数据未收集</v>
      </c>
      <c r="I337" s="3"/>
      <c r="J337" s="4">
        <v>46243</v>
      </c>
      <c r="K337" t="inlineStr">
        <is>
          <t>低度酒 微醺 评价</t>
        </is>
      </c>
      <c r="L337"/>
      <c r="M337" t="inlineStr">
        <is>
          <t>MJ-XHS-U-025</t>
        </is>
      </c>
      <c r="N337" t="inlineStr">
        <is>
          <t>公开评论</t>
        </is>
      </c>
      <c r="O337"/>
      <c r="P337" t="inlineStr">
        <is>
          <t>【用户场景】下班独饮
【情绪关键词】轻松, 边界感
【表层需求】晚上想喝一点缓解压力
【深层情绪】想从白天状态切换到自己的生活节奏
【身份需求】我需要一个轻微、可控、不打扰生活的放松仪式
【饮酒态度】偶尔小酌
【品牌反馈】未指向具体品牌
【可转化品牌洞察】梅见可以进入“下班后给自己收个尾”的独饮场景</t>
        </is>
      </c>
      <c r="Q337" t="inlineStr">
        <is>
          <t>饮酒文化或社交话题</t>
        </is>
      </c>
      <c r="R337"/>
      <c r="S337" t="inlineStr">
        <is>
          <t>MJ-RAW-0225_ANALYSIS_BASELINE_formal-attempt-0001_AI</t>
        </is>
      </c>
      <c r="T337" t="inlineStr">
        <is>
          <t>饮酒情绪</t>
        </is>
      </c>
      <c r="U337" t="inlineStr">
        <is>
          <t>KEEP</t>
        </is>
      </c>
      <c r="V337" t="inlineStr">
        <is>
          <t>ANALYSIS_BASELINE</t>
        </is>
      </c>
      <c r="W337" t="inlineStr">
        <is>
          <t>不可用</t>
        </is>
      </c>
      <c r="X337" t="inlineStr">
        <is>
          <t>品牌语料分析与洞察体系.xlsx#表1：原始语料库!337</t>
        </is>
      </c>
      <c r="Y337" t="inlineStr">
        <is>
          <t>FROZEN_419_V2</t>
        </is>
      </c>
    </row>
    <row r="338" ht="25.5" customHeight="1">
      <c r="A338" t="inlineStr">
        <is>
          <t>MJ-RAW-0226</t>
        </is>
      </c>
      <c r="B338" t="inlineStr">
        <is>
          <t>饮酒情绪与身体负担</t>
        </is>
      </c>
      <c r="C338" t="inlineStr">
        <is>
          <t>PRJ001</t>
        </is>
      </c>
      <c r="D338" t="inlineStr">
        <is>
          <t>饮酒行为</t>
        </is>
      </c>
      <c r="E338" t="inlineStr">
        <is>
          <t>微微上头真的很舒服很解压</t>
        </is>
      </c>
      <c r="F338" t="inlineStr">
        <is>
          <t>来源：抖音平台用户评论</t>
        </is>
      </c>
      <c r="G338" t="inlineStr">
        <is>
          <t>抖音</t>
        </is>
      </c>
      <c r="H338" s="2" t="str">
        <f>=HYPERLINK("http://数据未收集", "数据未收集")</f>
        <v>数据未收集</v>
      </c>
      <c r="I338" s="3"/>
      <c r="J338" s="4">
        <v>46243</v>
      </c>
      <c r="K338" t="inlineStr">
        <is>
          <t>低度酒 微醺 评价</t>
        </is>
      </c>
      <c r="L338"/>
      <c r="M338" t="inlineStr">
        <is>
          <t>MJ-DY-U-016</t>
        </is>
      </c>
      <c r="N338" t="inlineStr">
        <is>
          <t>公开评论</t>
        </is>
      </c>
      <c r="O338"/>
      <c r="P338" t="inlineStr">
        <is>
          <t>【用户场景】下班独饮
【情绪关键词】轻松, 想合群
【表层需求】想通过低度酒放松身体
【深层情绪】不是为了醉，而是想让紧绷状态松下来
【身份需求】我想照顾自己的情绪，但不想彻底失控
【饮酒态度】喜欢微醺
【品牌反馈】低度酒有解压价值
【可转化品牌洞察】梅见可以把“微醺”转译为“轻微松下来”，避免讲成放纵</t>
        </is>
      </c>
      <c r="Q338" t="inlineStr">
        <is>
          <t>饮酒文化或社交话题</t>
        </is>
      </c>
      <c r="R338"/>
      <c r="S338" t="inlineStr">
        <is>
          <t>MJ-RAW-0226_ANALYSIS_BASELINE_formal-attempt-0001_AI</t>
        </is>
      </c>
      <c r="T338" t="inlineStr">
        <is>
          <t>饮酒情绪</t>
        </is>
      </c>
      <c r="U338" t="inlineStr">
        <is>
          <t>KEEP</t>
        </is>
      </c>
      <c r="V338" t="inlineStr">
        <is>
          <t>ANALYSIS_BASELINE</t>
        </is>
      </c>
      <c r="W338" t="inlineStr">
        <is>
          <t>不可用</t>
        </is>
      </c>
      <c r="X338" t="inlineStr">
        <is>
          <t>品牌语料分析与洞察体系.xlsx#表1：原始语料库!338</t>
        </is>
      </c>
      <c r="Y338" t="inlineStr">
        <is>
          <t>FROZEN_419_V2</t>
        </is>
      </c>
    </row>
    <row r="339" ht="25.5" customHeight="1">
      <c r="A339" t="inlineStr">
        <is>
          <t>MJ-RAW-0227</t>
        </is>
      </c>
      <c r="B339" t="inlineStr">
        <is>
          <t>饮酒情绪与身体负担</t>
        </is>
      </c>
      <c r="C339" t="inlineStr">
        <is>
          <t>PRJ001</t>
        </is>
      </c>
      <c r="D339" t="inlineStr">
        <is>
          <t>低度酒</t>
        </is>
      </c>
      <c r="E339" t="inlineStr">
        <is>
          <t>酒量不好的人的福利来啦</t>
        </is>
      </c>
      <c r="F339" t="inlineStr">
        <is>
          <t>来源：抖音平台用户评论</t>
        </is>
      </c>
      <c r="G339" t="inlineStr">
        <is>
          <t>抖音</t>
        </is>
      </c>
      <c r="H339" s="2" t="str">
        <f>=HYPERLINK("http://数据未收集", "数据未收集")</f>
        <v>数据未收集</v>
      </c>
      <c r="I339" s="3"/>
      <c r="J339" s="4">
        <v>46243</v>
      </c>
      <c r="K339" t="inlineStr">
        <is>
          <t>低度酒 微醺 评价</t>
        </is>
      </c>
      <c r="L339"/>
      <c r="M339" t="inlineStr">
        <is>
          <t>MJ-DY-U-017</t>
        </is>
      </c>
      <c r="N339" t="inlineStr">
        <is>
          <t>公开评论</t>
        </is>
      </c>
      <c r="O339"/>
      <c r="P339" t="inlineStr">
        <is>
          <t>【用户场景】女生局
【情绪关键词】轻松, 想合群, 体面
【表层需求】酒量不好也想参与氛围
【深层情绪】害怕自己不能喝，但又不想被排除在聚会之外
【身份需求】我不是不能社交，只是需要更友好的饮酒方式
【饮酒态度】接受低度
【品牌反馈】低度酒对新手友好
【可转化品牌洞察】梅见可以成为低酒量用户进入共饮场景的友好选择</t>
        </is>
      </c>
      <c r="Q339" t="inlineStr">
        <is>
          <t>饮酒文化或社交话题</t>
        </is>
      </c>
      <c r="R339"/>
      <c r="S339" t="inlineStr">
        <is>
          <t>MJ-RAW-0227_GOLD_人工标注_人工,MJ-RAW-0227_GOLD_attempt-0002_AI_矫正前,MJ-RAW-0227_GOLD_attempt-0006_AI_矫正后</t>
        </is>
      </c>
      <c r="T339" t="inlineStr">
        <is>
          <t>饮酒情绪</t>
        </is>
      </c>
      <c r="U339" t="inlineStr">
        <is>
          <t>KEEP</t>
        </is>
      </c>
      <c r="V339" t="inlineStr">
        <is>
          <t>GOLD</t>
        </is>
      </c>
      <c r="W339" t="inlineStr">
        <is>
          <t>不可用</t>
        </is>
      </c>
      <c r="X339" t="inlineStr">
        <is>
          <t>原始母表#raw_id=MJ-RAW-0227</t>
        </is>
      </c>
      <c r="Y339" t="inlineStr">
        <is>
          <t>FROZEN_419_V2</t>
        </is>
      </c>
    </row>
    <row r="340" ht="25.5" customHeight="1">
      <c r="A340" t="inlineStr">
        <is>
          <t>MJ-RAW-0228</t>
        </is>
      </c>
      <c r="B340" t="inlineStr">
        <is>
          <t>饮酒情绪与身体负担</t>
        </is>
      </c>
      <c r="C340" t="inlineStr">
        <is>
          <t>PRJ001</t>
        </is>
      </c>
      <c r="D340" t="inlineStr">
        <is>
          <t>未指向具体品牌</t>
        </is>
      </c>
      <c r="E340" t="inlineStr">
        <is>
          <t>一瓶酒等那么久，喝起来肯定很珍贵</t>
        </is>
      </c>
      <c r="F340" t="inlineStr">
        <is>
          <t>来源：抖音平台用户评论</t>
        </is>
      </c>
      <c r="G340" t="inlineStr">
        <is>
          <t>抖音</t>
        </is>
      </c>
      <c r="H340" s="2" t="str">
        <f>=HYPERLINK("http://数据未收集", "数据未收集")</f>
        <v>数据未收集</v>
      </c>
      <c r="I340" s="3"/>
      <c r="J340" s="4">
        <v>46243</v>
      </c>
      <c r="K340" t="inlineStr">
        <is>
          <t>低度酒 微醺 评价</t>
        </is>
      </c>
      <c r="L340"/>
      <c r="M340" t="inlineStr">
        <is>
          <t>MJ-DY-U-018</t>
        </is>
      </c>
      <c r="N340" t="inlineStr">
        <is>
          <t>公开评论</t>
        </is>
      </c>
      <c r="O340"/>
      <c r="P340" t="inlineStr">
        <is>
          <t>【用户场景】下班独饮
【情绪关键词】审美, 边界感
【表层需求】想慢慢喝、有一点仪式感
【深层情绪】低度酒不只是刺激，也可以承载生活节奏和期待感
【身份需求】我愿意为慢一点、有过程感的饮酒体验买单
【饮酒态度】偶尔小酌
【品牌反馈】梅酒/低度酒有慢生活联想
【可转化品牌洞察】梅见可以从“快速种草”延展到“值得慢慢喝”的生活仪式</t>
        </is>
      </c>
      <c r="Q340" t="inlineStr">
        <is>
          <t>饮酒文化或社交话题</t>
        </is>
      </c>
      <c r="R340"/>
      <c r="S340" t="inlineStr">
        <is>
          <t>MJ-RAW-0228_ANALYSIS_BASELINE_formal-attempt-0001_AI</t>
        </is>
      </c>
      <c r="T340" t="inlineStr">
        <is>
          <t>饮酒情绪</t>
        </is>
      </c>
      <c r="U340" t="inlineStr">
        <is>
          <t>KEEP</t>
        </is>
      </c>
      <c r="V340" t="inlineStr">
        <is>
          <t>ANALYSIS_BASELINE</t>
        </is>
      </c>
      <c r="W340" t="inlineStr">
        <is>
          <t>不可用</t>
        </is>
      </c>
      <c r="X340" t="inlineStr">
        <is>
          <t>品牌语料分析与洞察体系.xlsx#表1：原始语料库!340</t>
        </is>
      </c>
      <c r="Y340" t="inlineStr">
        <is>
          <t>FROZEN_419_V2</t>
        </is>
      </c>
    </row>
    <row r="341" ht="25.5" customHeight="1">
      <c r="A341" t="inlineStr">
        <is>
          <t>MJ-RAW-0229</t>
        </is>
      </c>
      <c r="B341" t="inlineStr">
        <is>
          <t>饮酒情绪与身体负担</t>
        </is>
      </c>
      <c r="C341" t="inlineStr">
        <is>
          <t>PRJ001</t>
        </is>
      </c>
      <c r="D341" t="inlineStr">
        <is>
          <t>低度酒</t>
        </is>
      </c>
      <c r="E341" t="inlineStr">
        <is>
          <t>俺有个配方：梅子酒60ml……</t>
        </is>
      </c>
      <c r="F341" t="inlineStr">
        <is>
          <t>来源：抖音平台用户评论</t>
        </is>
      </c>
      <c r="G341" t="inlineStr">
        <is>
          <t>抖音</t>
        </is>
      </c>
      <c r="H341" s="2" t="str">
        <f>=HYPERLINK("http://数据未收集", "数据未收集")</f>
        <v>数据未收集</v>
      </c>
      <c r="I341" s="3"/>
      <c r="J341" s="4">
        <v>46243</v>
      </c>
      <c r="K341" t="inlineStr">
        <is>
          <t>低度酒 微醺 评价</t>
        </is>
      </c>
      <c r="L341"/>
      <c r="M341" t="inlineStr">
        <is>
          <t>MJ-DY-U-019</t>
        </is>
      </c>
      <c r="N341" t="inlineStr">
        <is>
          <t>公开评论</t>
        </is>
      </c>
      <c r="O341"/>
      <c r="P341" t="inlineStr">
        <is>
          <t>【用户场景】下班独饮
【情绪关键词】轻松, 审美, 想合群
【表层需求】想自己调出更好喝的低度酒
【深层情绪】用户不只是被动喝酒，也想参与创造和分享喝法
【身份需求】我懂一点喝法，也愿意把好喝的配方分享给别人
【饮酒态度】喜欢微醺
【品牌反馈】梅子酒适合调饮和配方传播
【可转化品牌洞察】梅见可以做“喝法生成器”或“调饮说明书”，降低入口门槛并增强分享性</t>
        </is>
      </c>
      <c r="Q341" t="inlineStr">
        <is>
          <t>饮酒文化或社交话题</t>
        </is>
      </c>
      <c r="R341"/>
      <c r="S341" t="inlineStr">
        <is>
          <t>MJ-RAW-0229_HOLDOUT_formal-attempt-0001_AI</t>
        </is>
      </c>
      <c r="T341" t="inlineStr">
        <is>
          <t>饮酒情绪</t>
        </is>
      </c>
      <c r="U341" t="inlineStr">
        <is>
          <t>KEEP</t>
        </is>
      </c>
      <c r="V341" t="inlineStr">
        <is>
          <t>HOLDOUT</t>
        </is>
      </c>
      <c r="W341" t="inlineStr">
        <is>
          <t>不可用</t>
        </is>
      </c>
      <c r="X341" t="inlineStr">
        <is>
          <t>品牌语料分析与洞察体系.xlsx#表1：原始语料库!341</t>
        </is>
      </c>
      <c r="Y341" t="inlineStr">
        <is>
          <t>FROZEN_419_V2</t>
        </is>
      </c>
    </row>
    <row r="342" ht="25.5" customHeight="1">
      <c r="A342" t="inlineStr">
        <is>
          <t>XHS-SOC-0009</t>
        </is>
      </c>
      <c r="B342" t="inlineStr">
        <is>
          <t>饮酒情绪与身体负担</t>
        </is>
      </c>
      <c r="C342" t="inlineStr">
        <is>
          <t>PRJ001</t>
        </is>
      </c>
      <c r="D342" t="inlineStr">
        <is>
          <t>低度酒</t>
        </is>
      </c>
      <c r="E342" t="inlineStr">
        <is>
          <t>最可怕的是同龄人中间有人做得非常好的时候你的压力指数级增长</t>
        </is>
      </c>
      <c r="F342" t="inlineStr">
        <is>
          <t>我为什么厌恶敬酒这个行为｜2025-02-14｜小红书</t>
        </is>
      </c>
      <c r="G342" t="inlineStr">
        <is>
          <t>小红书</t>
        </is>
      </c>
      <c r="H342" s="2" t="str">
        <f>=HYPERLINK("https://www.xiaohongshu.com/search_result/拒绝酒桌文化", "https://www.xiaohongshu.com/search_result/拒绝酒桌文化")</f>
        <v>https://www.xiaohongshu.com/search_result/拒绝酒桌文化</v>
      </c>
      <c r="I342" s="3">
        <v>46067</v>
      </c>
      <c r="J342" s="4">
        <v>46243</v>
      </c>
      <c r="K342" t="inlineStr">
        <is>
          <t>不想被劝酒</t>
        </is>
      </c>
      <c r="L342">
        <v>1160</v>
      </c>
      <c r="M342" t="inlineStr">
        <is>
          <t>XHS-U0255</t>
        </is>
      </c>
      <c r="N342" t="inlineStr">
        <is>
          <t>公开评论</t>
        </is>
      </c>
      <c r="O342"/>
      <c r="P342" t="inlineStr">
        <is>
          <t>原始:02-14;年份推定·江西；当前为搜索结果页链接，正式入库前需补原笔记链接</t>
        </is>
      </c>
      <c r="Q342" t="inlineStr">
        <is>
          <t>低度酒品类</t>
        </is>
      </c>
      <c r="R342"/>
      <c r="S342"/>
      <c r="T342" t="inlineStr">
        <is>
          <t>饮酒情绪</t>
        </is>
      </c>
      <c r="U342" t="inlineStr">
        <is>
          <t>EXCLUDE</t>
        </is>
      </c>
      <c r="V342" t="inlineStr">
        <is>
          <t>EXCLUDE</t>
        </is>
      </c>
      <c r="W342" t="inlineStr">
        <is>
          <t>不可用</t>
        </is>
      </c>
      <c r="X342" t="inlineStr">
        <is>
          <t>原始母表#raw_id=XHS-SOC-0009</t>
        </is>
      </c>
      <c r="Y342" t="inlineStr">
        <is>
          <t>FROZEN_419_V2</t>
        </is>
      </c>
    </row>
    <row r="343" ht="25.5" customHeight="1">
      <c r="A343" t="inlineStr">
        <is>
          <t>DY-SOC-0102</t>
        </is>
      </c>
      <c r="B343" t="inlineStr">
        <is>
          <t>饮酒情绪与身体负担</t>
        </is>
      </c>
      <c r="C343" t="inlineStr">
        <is>
          <t>PRJ001</t>
        </is>
      </c>
      <c r="D343" t="inlineStr">
        <is>
          <t>梅见</t>
        </is>
      </c>
      <c r="E343" t="inlineStr">
        <is>
          <t>自己一个人在家微醺有推荐的吗[泪奔]</t>
        </is>
      </c>
      <c r="F343" t="inlineStr">
        <is>
          <t>超市小甜水上头测评｜2025-03-14｜抖音</t>
        </is>
      </c>
      <c r="G343" t="inlineStr">
        <is>
          <t>抖音</t>
        </is>
      </c>
      <c r="H343" s="2" t="str">
        <f>=HYPERLINK("https://www.douyin.com/video/7633357452931807473", "https://www.douyin.com/video/7633357452931807473")</f>
        <v>https://www.douyin.com/video/7633357452931807473</v>
      </c>
      <c r="I343" s="3">
        <v>45730</v>
      </c>
      <c r="J343" s="4">
        <v>46243</v>
      </c>
      <c r="K343" t="inlineStr">
        <is>
          <t>梅见难喝</t>
        </is>
      </c>
      <c r="L343"/>
      <c r="M343" t="inlineStr">
        <is>
          <t>DY-U0093</t>
        </is>
      </c>
      <c r="N343" t="inlineStr">
        <is>
          <t>公开评论</t>
        </is>
      </c>
      <c r="O343"/>
      <c r="P343" t="inlineStr">
        <is>
          <t>点赞数未成功识别，暂置空，禁止随机补值；当前日期来自视频发布时间，评论发布时间未识别</t>
        </is>
      </c>
      <c r="Q343" t="inlineStr">
        <is>
          <t>目标品牌</t>
        </is>
      </c>
      <c r="R343"/>
      <c r="S343" t="inlineStr">
        <is>
          <t>DY-SOC-0102_GOLD_人工标注_人工,DY-SOC-0102_GOLD_attempt-0002_AI_矫正前,DY-SOC-0102_GOLD_attempt-0006_AI_矫正后</t>
        </is>
      </c>
      <c r="T343" t="inlineStr">
        <is>
          <t>饮酒情绪</t>
        </is>
      </c>
      <c r="U343" t="inlineStr">
        <is>
          <t>KEEP</t>
        </is>
      </c>
      <c r="V343" t="inlineStr">
        <is>
          <t>GOLD</t>
        </is>
      </c>
      <c r="W343" t="inlineStr">
        <is>
          <t>不可用</t>
        </is>
      </c>
      <c r="X343" t="inlineStr">
        <is>
          <t>原始母表#raw_id=DY-SOC-0102</t>
        </is>
      </c>
      <c r="Y343" t="inlineStr">
        <is>
          <t>FROZEN_419_V2</t>
        </is>
      </c>
    </row>
    <row r="344" ht="25.5" customHeight="1">
      <c r="A344" t="inlineStr">
        <is>
          <t>DY-SOC-0103</t>
        </is>
      </c>
      <c r="B344" t="inlineStr">
        <is>
          <t>饮酒情绪与身体负担</t>
        </is>
      </c>
      <c r="C344" t="inlineStr">
        <is>
          <t>PRJ001</t>
        </is>
      </c>
      <c r="D344" t="inlineStr">
        <is>
          <t>梅见</t>
        </is>
      </c>
      <c r="E344" t="inlineStr">
        <is>
          <t>放松时刻就得来点小酒</t>
        </is>
      </c>
      <c r="F344" t="inlineStr">
        <is>
          <t>傍晚放松小酌微醺｜2025-04-27｜抖音</t>
        </is>
      </c>
      <c r="G344" t="inlineStr">
        <is>
          <t>抖音</t>
        </is>
      </c>
      <c r="H344" s="2" t="str">
        <f>=HYPERLINK("https://www.douyin.com/video/7671145363051594930", "https://www.douyin.com/video/7671145363051594930")</f>
        <v>https://www.douyin.com/video/7671145363051594930</v>
      </c>
      <c r="I344" s="3">
        <v>45774</v>
      </c>
      <c r="J344" s="4">
        <v>46243</v>
      </c>
      <c r="K344" t="inlineStr">
        <is>
          <t>梅见太甜</t>
        </is>
      </c>
      <c r="L344"/>
      <c r="M344" t="inlineStr">
        <is>
          <t>DY-U0105</t>
        </is>
      </c>
      <c r="N344" t="inlineStr">
        <is>
          <t>公开评论</t>
        </is>
      </c>
      <c r="O344"/>
      <c r="P344" t="inlineStr">
        <is>
          <t>点赞数未成功识别，暂置空，禁止随机补值</t>
        </is>
      </c>
      <c r="Q344" t="inlineStr">
        <is>
          <t>目标品牌</t>
        </is>
      </c>
      <c r="R344"/>
      <c r="S344" t="inlineStr">
        <is>
          <t>DY-SOC-0103_HOLDOUT_formal-attempt-0001_AI</t>
        </is>
      </c>
      <c r="T344" t="inlineStr">
        <is>
          <t>饮酒情绪</t>
        </is>
      </c>
      <c r="U344" t="inlineStr">
        <is>
          <t>KEEP</t>
        </is>
      </c>
      <c r="V344" t="inlineStr">
        <is>
          <t>HOLDOUT</t>
        </is>
      </c>
      <c r="W344" t="inlineStr">
        <is>
          <t>可用</t>
        </is>
      </c>
      <c r="X344" t="inlineStr">
        <is>
          <t>品牌语料分析与洞察体系.xlsx#表1：原始语料库!344</t>
        </is>
      </c>
      <c r="Y344" t="inlineStr">
        <is>
          <t>FROZEN_419_V2</t>
        </is>
      </c>
    </row>
    <row r="345" ht="25.5" customHeight="1">
      <c r="A345" t="inlineStr">
        <is>
          <t>DY-SOC-0104</t>
        </is>
      </c>
      <c r="B345" t="inlineStr">
        <is>
          <t>饮酒情绪与身体负担</t>
        </is>
      </c>
      <c r="C345" t="inlineStr">
        <is>
          <t>PRJ001</t>
        </is>
      </c>
      <c r="D345" t="inlineStr">
        <is>
          <t>梅见</t>
        </is>
      </c>
      <c r="E345" t="inlineStr">
        <is>
          <t>微醺是成年人的快乐</t>
        </is>
      </c>
      <c r="F345" t="inlineStr">
        <is>
          <t>傍晚放松小酌微醺｜2025-04-27｜抖音</t>
        </is>
      </c>
      <c r="G345" t="inlineStr">
        <is>
          <t>抖音</t>
        </is>
      </c>
      <c r="H345" s="2" t="str">
        <f>=HYPERLINK("https://www.douyin.com/video/7671145363051594930", "https://www.douyin.com/video/7671145363051594930")</f>
        <v>https://www.douyin.com/video/7671145363051594930</v>
      </c>
      <c r="I345" s="3">
        <v>45774</v>
      </c>
      <c r="J345" s="4">
        <v>46243</v>
      </c>
      <c r="K345" t="inlineStr">
        <is>
          <t>梅见太甜</t>
        </is>
      </c>
      <c r="L345"/>
      <c r="M345" t="inlineStr">
        <is>
          <t>DY-U0106</t>
        </is>
      </c>
      <c r="N345" t="inlineStr">
        <is>
          <t>公开评论</t>
        </is>
      </c>
      <c r="O345"/>
      <c r="P345" t="inlineStr">
        <is>
          <t>点赞数未成功识别，暂置空，禁止随机补值</t>
        </is>
      </c>
      <c r="Q345" t="inlineStr">
        <is>
          <t>目标品牌</t>
        </is>
      </c>
      <c r="R345"/>
      <c r="S345" t="inlineStr">
        <is>
          <t>DY-SOC-0104_ANALYSIS_BASELINE_formal-attempt-0001_AI</t>
        </is>
      </c>
      <c r="T345" t="inlineStr">
        <is>
          <t>饮酒情绪</t>
        </is>
      </c>
      <c r="U345" t="inlineStr">
        <is>
          <t>KEEP</t>
        </is>
      </c>
      <c r="V345" t="inlineStr">
        <is>
          <t>ANALYSIS_BASELINE</t>
        </is>
      </c>
      <c r="W345" t="inlineStr">
        <is>
          <t>可用</t>
        </is>
      </c>
      <c r="X345" t="inlineStr">
        <is>
          <t>品牌语料分析与洞察体系.xlsx#表1：原始语料库!345</t>
        </is>
      </c>
      <c r="Y345" t="inlineStr">
        <is>
          <t>FROZEN_419_V2</t>
        </is>
      </c>
    </row>
    <row r="346" ht="25.5" customHeight="1">
      <c r="A346" t="inlineStr">
        <is>
          <t>DY-SOC-0105</t>
        </is>
      </c>
      <c r="B346" t="inlineStr">
        <is>
          <t>饮酒情绪与身体负担</t>
        </is>
      </c>
      <c r="C346" t="inlineStr">
        <is>
          <t>PRJ001</t>
        </is>
      </c>
      <c r="D346" t="inlineStr">
        <is>
          <t>梅见</t>
        </is>
      </c>
      <c r="E346" t="inlineStr">
        <is>
          <t>傍晚小酌的微醺感真的太治愈了这氛围看着就放松</t>
        </is>
      </c>
      <c r="F346" t="inlineStr">
        <is>
          <t>傍晚放松小酌微醺｜2025-04-27｜抖音</t>
        </is>
      </c>
      <c r="G346" t="inlineStr">
        <is>
          <t>抖音</t>
        </is>
      </c>
      <c r="H346" s="2" t="str">
        <f>=HYPERLINK("https://www.douyin.com/video/7671145363051594930", "https://www.douyin.com/video/7671145363051594930")</f>
        <v>https://www.douyin.com/video/7671145363051594930</v>
      </c>
      <c r="I346" s="3">
        <v>45774</v>
      </c>
      <c r="J346" s="4">
        <v>46243</v>
      </c>
      <c r="K346" t="inlineStr">
        <is>
          <t>梅见太甜</t>
        </is>
      </c>
      <c r="L346"/>
      <c r="M346" t="inlineStr">
        <is>
          <t>DY-U0108</t>
        </is>
      </c>
      <c r="N346" t="inlineStr">
        <is>
          <t>公开评论</t>
        </is>
      </c>
      <c r="O346"/>
      <c r="P346" t="inlineStr">
        <is>
          <t>点赞数未成功识别，暂置空，禁止随机补值；当前日期来自视频发布时间，评论发布时间未识别</t>
        </is>
      </c>
      <c r="Q346" t="inlineStr">
        <is>
          <t>目标品牌</t>
        </is>
      </c>
      <c r="R346"/>
      <c r="S346" t="inlineStr">
        <is>
          <t>DY-SOC-0105_ANALYSIS_BASELINE_formal-attempt-0001_AI</t>
        </is>
      </c>
      <c r="T346" t="inlineStr">
        <is>
          <t>饮酒情绪</t>
        </is>
      </c>
      <c r="U346" t="inlineStr">
        <is>
          <t>KEEP</t>
        </is>
      </c>
      <c r="V346" t="inlineStr">
        <is>
          <t>ANALYSIS_BASELINE</t>
        </is>
      </c>
      <c r="W346" t="inlineStr">
        <is>
          <t>可用</t>
        </is>
      </c>
      <c r="X346" t="inlineStr">
        <is>
          <t>品牌语料分析与洞察体系.xlsx#表1：原始语料库!346</t>
        </is>
      </c>
      <c r="Y346" t="inlineStr">
        <is>
          <t>FROZEN_419_V2</t>
        </is>
      </c>
    </row>
    <row r="347" ht="25.5" customHeight="1">
      <c r="A347" t="inlineStr">
        <is>
          <t>DY-SOC-0106</t>
        </is>
      </c>
      <c r="B347" t="inlineStr">
        <is>
          <t>饮酒情绪与身体负担</t>
        </is>
      </c>
      <c r="C347" t="inlineStr">
        <is>
          <t>PRJ001</t>
        </is>
      </c>
      <c r="D347" t="inlineStr">
        <is>
          <t>梅见</t>
        </is>
      </c>
      <c r="E347" t="inlineStr">
        <is>
          <t>刚刚喝完微醺了[捂脸]</t>
        </is>
      </c>
      <c r="F347" t="inlineStr">
        <is>
          <t>喝酒一时爽喝完悔断肠｜2025-08-22｜抖音</t>
        </is>
      </c>
      <c r="G347" t="inlineStr">
        <is>
          <t>抖音</t>
        </is>
      </c>
      <c r="H347" s="2" t="str">
        <f>=HYPERLINK("https://www.douyin.com/video/7615205755860422373", "https://www.douyin.com/video/7615205755860422373")</f>
        <v>https://www.douyin.com/video/7615205755860422373</v>
      </c>
      <c r="I347" s="3">
        <v>45891</v>
      </c>
      <c r="J347" s="4">
        <v>46243</v>
      </c>
      <c r="K347" t="inlineStr">
        <is>
          <t>梅见上头</t>
        </is>
      </c>
      <c r="L347"/>
      <c r="M347" t="inlineStr">
        <is>
          <t>DY-U0120</t>
        </is>
      </c>
      <c r="N347" t="inlineStr">
        <is>
          <t>公开评论</t>
        </is>
      </c>
      <c r="O347"/>
      <c r="P347" t="inlineStr">
        <is>
          <t>点赞数未成功识别，暂置空，禁止随机补值；当前日期来自视频发布时间，评论发布时间未识别</t>
        </is>
      </c>
      <c r="Q347" t="inlineStr">
        <is>
          <t>目标品牌</t>
        </is>
      </c>
      <c r="R347"/>
      <c r="S347" t="inlineStr">
        <is>
          <t>DY-SOC-0106_CHALLENGE_POOL_formal-attempt-0001_AI</t>
        </is>
      </c>
      <c r="T347" t="inlineStr">
        <is>
          <t>饮酒情绪</t>
        </is>
      </c>
      <c r="U347" t="inlineStr">
        <is>
          <t>KEEP</t>
        </is>
      </c>
      <c r="V347" t="inlineStr">
        <is>
          <t>CHALLENGE</t>
        </is>
      </c>
      <c r="W347" t="inlineStr">
        <is>
          <t>可用</t>
        </is>
      </c>
      <c r="X347" t="inlineStr">
        <is>
          <t>品牌语料分析与洞察体系.xlsx#表1：原始语料库!347</t>
        </is>
      </c>
      <c r="Y347" t="inlineStr">
        <is>
          <t>FROZEN_419_V2</t>
        </is>
      </c>
    </row>
    <row r="348" ht="25.5" customHeight="1">
      <c r="A348" t="inlineStr">
        <is>
          <t>DY-SOC-0107</t>
        </is>
      </c>
      <c r="B348" t="inlineStr">
        <is>
          <t>饮酒情绪与身体负担</t>
        </is>
      </c>
      <c r="C348" t="inlineStr">
        <is>
          <t>PRJ001</t>
        </is>
      </c>
      <c r="D348" t="inlineStr">
        <is>
          <t>梅见</t>
        </is>
      </c>
      <c r="E348" t="inlineStr">
        <is>
          <t>微醺的快乐只有打工人懂</t>
        </is>
      </c>
      <c r="F348" t="inlineStr">
        <is>
          <t>下班微醺这一刻太惬意｜2025-08-02｜抖音</t>
        </is>
      </c>
      <c r="G348" t="inlineStr">
        <is>
          <t>抖音</t>
        </is>
      </c>
      <c r="H348" s="2" t="str">
        <f>=HYPERLINK("https://www.douyin.com/video/7641146960553096778", "https://www.douyin.com/video/7641146960553096778")</f>
        <v>https://www.douyin.com/video/7641146960553096778</v>
      </c>
      <c r="I348" s="3">
        <v>45871</v>
      </c>
      <c r="J348" s="4">
        <v>46243</v>
      </c>
      <c r="K348" t="inlineStr">
        <is>
          <t>梅见独饮②</t>
        </is>
      </c>
      <c r="L348"/>
      <c r="M348" t="inlineStr">
        <is>
          <t>DY-U0178</t>
        </is>
      </c>
      <c r="N348" t="inlineStr">
        <is>
          <t>公开评论</t>
        </is>
      </c>
      <c r="O348"/>
      <c r="P348" t="inlineStr">
        <is>
          <t>点赞数未成功识别，暂置空，禁止随机补值</t>
        </is>
      </c>
      <c r="Q348" t="inlineStr">
        <is>
          <t>目标品牌</t>
        </is>
      </c>
      <c r="R348"/>
      <c r="S348" t="inlineStr">
        <is>
          <t>DY-SOC-0107_ANALYSIS_BASELINE_formal-attempt-0001_AI</t>
        </is>
      </c>
      <c r="T348" t="inlineStr">
        <is>
          <t>饮酒情绪</t>
        </is>
      </c>
      <c r="U348" t="inlineStr">
        <is>
          <t>KEEP</t>
        </is>
      </c>
      <c r="V348" t="inlineStr">
        <is>
          <t>ANALYSIS_BASELINE</t>
        </is>
      </c>
      <c r="W348" t="inlineStr">
        <is>
          <t>可用</t>
        </is>
      </c>
      <c r="X348" t="inlineStr">
        <is>
          <t>品牌语料分析与洞察体系.xlsx#表1：原始语料库!348</t>
        </is>
      </c>
      <c r="Y348" t="inlineStr">
        <is>
          <t>FROZEN_419_V2</t>
        </is>
      </c>
    </row>
    <row r="349" ht="25.5" customHeight="1">
      <c r="A349" t="inlineStr">
        <is>
          <t>DY-SOC-0108</t>
        </is>
      </c>
      <c r="B349" t="inlineStr">
        <is>
          <t>饮酒情绪与身体负担</t>
        </is>
      </c>
      <c r="C349" t="inlineStr">
        <is>
          <t>PRJ001</t>
        </is>
      </c>
      <c r="D349" t="inlineStr">
        <is>
          <t>梅见</t>
        </is>
      </c>
      <c r="E349" t="inlineStr">
        <is>
          <t>酒精度不高吧适合微醺</t>
        </is>
      </c>
      <c r="F349" t="inlineStr">
        <is>
          <t>下班微醺这一刻太惬意｜2025-08-02｜抖音</t>
        </is>
      </c>
      <c r="G349" t="inlineStr">
        <is>
          <t>抖音</t>
        </is>
      </c>
      <c r="H349" s="2" t="str">
        <f>=HYPERLINK("https://www.douyin.com/video/7641146960553096778", "https://www.douyin.com/video/7641146960553096778")</f>
        <v>https://www.douyin.com/video/7641146960553096778</v>
      </c>
      <c r="I349" s="3">
        <v>45871</v>
      </c>
      <c r="J349" s="4">
        <v>46243</v>
      </c>
      <c r="K349" t="inlineStr">
        <is>
          <t>梅见独饮②</t>
        </is>
      </c>
      <c r="L349"/>
      <c r="M349" t="inlineStr">
        <is>
          <t>DY-U0185</t>
        </is>
      </c>
      <c r="N349" t="inlineStr">
        <is>
          <t>公开评论</t>
        </is>
      </c>
      <c r="O349"/>
      <c r="P349" t="inlineStr">
        <is>
          <t>点赞数未成功识别，暂置空，禁止随机补值</t>
        </is>
      </c>
      <c r="Q349" t="inlineStr">
        <is>
          <t>目标品牌</t>
        </is>
      </c>
      <c r="R349"/>
      <c r="S349" t="inlineStr">
        <is>
          <t>DY-SOC-0108_ANALYSIS_BASELINE_formal-attempt-0001_AI</t>
        </is>
      </c>
      <c r="T349" t="inlineStr">
        <is>
          <t>饮酒情绪</t>
        </is>
      </c>
      <c r="U349" t="inlineStr">
        <is>
          <t>KEEP</t>
        </is>
      </c>
      <c r="V349" t="inlineStr">
        <is>
          <t>ANALYSIS_BASELINE</t>
        </is>
      </c>
      <c r="W349" t="inlineStr">
        <is>
          <t>可用</t>
        </is>
      </c>
      <c r="X349" t="inlineStr">
        <is>
          <t>品牌语料分析与洞察体系.xlsx#表1：原始语料库!349</t>
        </is>
      </c>
      <c r="Y349" t="inlineStr">
        <is>
          <t>FROZEN_419_V2</t>
        </is>
      </c>
    </row>
    <row r="350" ht="25.5" customHeight="1">
      <c r="A350" t="inlineStr">
        <is>
          <t>DY-SOC-0109</t>
        </is>
      </c>
      <c r="B350" t="inlineStr">
        <is>
          <t>饮酒情绪与身体负担</t>
        </is>
      </c>
      <c r="C350" t="inlineStr">
        <is>
          <t>PRJ001</t>
        </is>
      </c>
      <c r="D350" t="inlineStr">
        <is>
          <t>梅见</t>
        </is>
      </c>
      <c r="E350" t="inlineStr">
        <is>
          <t>周末和闺蜜的微醺火锅局</t>
        </is>
      </c>
      <c r="F350" t="inlineStr">
        <is>
          <t>周末茉莉火锅梅见｜2025-07-26｜抖音</t>
        </is>
      </c>
      <c r="G350" t="inlineStr">
        <is>
          <t>抖音</t>
        </is>
      </c>
      <c r="H350" s="2" t="str">
        <f>=HYPERLINK("https://www.douyin.com/video/7596615466261436386", "https://www.douyin.com/video/7596615466261436386")</f>
        <v>https://www.douyin.com/video/7596615466261436386</v>
      </c>
      <c r="I350" s="3">
        <v>45864</v>
      </c>
      <c r="J350" s="4">
        <v>46243</v>
      </c>
      <c r="K350" t="inlineStr">
        <is>
          <t>梅见火锅②</t>
        </is>
      </c>
      <c r="L350"/>
      <c r="M350" t="inlineStr">
        <is>
          <t>DY-U0215</t>
        </is>
      </c>
      <c r="N350" t="inlineStr">
        <is>
          <t>公开评论</t>
        </is>
      </c>
      <c r="O350"/>
      <c r="P350" t="inlineStr">
        <is>
          <t>点赞数未成功识别，暂置空，禁止随机补值；当前日期来自视频发布时间，评论发布时间未识别</t>
        </is>
      </c>
      <c r="Q350" t="inlineStr">
        <is>
          <t>目标品牌</t>
        </is>
      </c>
      <c r="R350"/>
      <c r="S350" t="inlineStr">
        <is>
          <t>DY-SOC-0109_ANALYSIS_BASELINE_formal-attempt-0001_AI</t>
        </is>
      </c>
      <c r="T350" t="inlineStr">
        <is>
          <t>饮酒情绪</t>
        </is>
      </c>
      <c r="U350" t="inlineStr">
        <is>
          <t>KEEP</t>
        </is>
      </c>
      <c r="V350" t="inlineStr">
        <is>
          <t>ANALYSIS_BASELINE</t>
        </is>
      </c>
      <c r="W350" t="inlineStr">
        <is>
          <t>可用</t>
        </is>
      </c>
      <c r="X350" t="inlineStr">
        <is>
          <t>品牌语料分析与洞察体系.xlsx#表1：原始语料库!350</t>
        </is>
      </c>
      <c r="Y350" t="inlineStr">
        <is>
          <t>FROZEN_419_V2</t>
        </is>
      </c>
    </row>
    <row r="351" ht="25.5" customHeight="1">
      <c r="A351" t="inlineStr">
        <is>
          <t>DY-SOC-0110</t>
        </is>
      </c>
      <c r="B351" t="inlineStr">
        <is>
          <t>饮酒情绪与身体负担</t>
        </is>
      </c>
      <c r="C351" t="inlineStr">
        <is>
          <t>PRJ001</t>
        </is>
      </c>
      <c r="D351" t="inlineStr">
        <is>
          <t>梅见</t>
        </is>
      </c>
      <c r="E351" t="inlineStr">
        <is>
          <t>微醺果酒系列太懂女生了</t>
        </is>
      </c>
      <c r="F351" t="inlineStr">
        <is>
          <t>周末茉莉火锅梅见｜2025-07-26｜抖音</t>
        </is>
      </c>
      <c r="G351" t="inlineStr">
        <is>
          <t>抖音</t>
        </is>
      </c>
      <c r="H351" s="2" t="str">
        <f>=HYPERLINK("https://www.douyin.com/video/7596615466261436386", "https://www.douyin.com/video/7596615466261436386")</f>
        <v>https://www.douyin.com/video/7596615466261436386</v>
      </c>
      <c r="I351" s="3">
        <v>45864</v>
      </c>
      <c r="J351" s="4">
        <v>46243</v>
      </c>
      <c r="K351" t="inlineStr">
        <is>
          <t>梅见火锅②</t>
        </is>
      </c>
      <c r="L351"/>
      <c r="M351" t="inlineStr">
        <is>
          <t>DY-U0222</t>
        </is>
      </c>
      <c r="N351" t="inlineStr">
        <is>
          <t>公开评论</t>
        </is>
      </c>
      <c r="O351"/>
      <c r="P351" t="inlineStr">
        <is>
          <t>点赞数未成功识别，暂置空，禁止随机补值；当前日期来自视频发布时间，评论发布时间未识别</t>
        </is>
      </c>
      <c r="Q351" t="inlineStr">
        <is>
          <t>目标品牌</t>
        </is>
      </c>
      <c r="R351"/>
      <c r="S351" t="inlineStr">
        <is>
          <t>DY-SOC-0110_ANALYSIS_BASELINE_formal-attempt-0001_AI</t>
        </is>
      </c>
      <c r="T351" t="inlineStr">
        <is>
          <t>饮酒情绪</t>
        </is>
      </c>
      <c r="U351" t="inlineStr">
        <is>
          <t>KEEP</t>
        </is>
      </c>
      <c r="V351" t="inlineStr">
        <is>
          <t>ANALYSIS_BASELINE</t>
        </is>
      </c>
      <c r="W351" t="inlineStr">
        <is>
          <t>可用</t>
        </is>
      </c>
      <c r="X351" t="inlineStr">
        <is>
          <t>品牌语料分析与洞察体系.xlsx#表1：原始语料库!351</t>
        </is>
      </c>
      <c r="Y351" t="inlineStr">
        <is>
          <t>FROZEN_419_V2</t>
        </is>
      </c>
    </row>
    <row r="352" ht="25.5" customHeight="1">
      <c r="A352" t="inlineStr">
        <is>
          <t>DY-SOC-0111</t>
        </is>
      </c>
      <c r="B352" t="inlineStr">
        <is>
          <t>饮酒情绪与身体负担</t>
        </is>
      </c>
      <c r="C352" t="inlineStr">
        <is>
          <t>PRJ001</t>
        </is>
      </c>
      <c r="D352" t="inlineStr">
        <is>
          <t>梅见</t>
        </is>
      </c>
      <c r="E352" t="inlineStr">
        <is>
          <t>好上头昨晚试过了</t>
        </is>
      </c>
      <c r="F352" t="inlineStr">
        <is>
          <t>小火锅冰梅见2｜2025-07-31｜抖音</t>
        </is>
      </c>
      <c r="G352" t="inlineStr">
        <is>
          <t>抖音</t>
        </is>
      </c>
      <c r="H352" s="2" t="str">
        <f>=HYPERLINK("https://www.douyin.com/video/7667775159961274021", "https://www.douyin.com/video/7667775159961274021")</f>
        <v>https://www.douyin.com/video/7667775159961274021</v>
      </c>
      <c r="I352" s="3">
        <v>45869</v>
      </c>
      <c r="J352" s="4">
        <v>46243</v>
      </c>
      <c r="K352" t="inlineStr">
        <is>
          <t>梅见火锅④</t>
        </is>
      </c>
      <c r="L352"/>
      <c r="M352" t="inlineStr">
        <is>
          <t>DY-U0239</t>
        </is>
      </c>
      <c r="N352" t="inlineStr">
        <is>
          <t>公开评论</t>
        </is>
      </c>
      <c r="O352"/>
      <c r="P352" t="inlineStr">
        <is>
          <t>点赞数未成功识别，暂置空，禁止随机补值</t>
        </is>
      </c>
      <c r="Q352" t="inlineStr">
        <is>
          <t>目标品牌</t>
        </is>
      </c>
      <c r="R352"/>
      <c r="S352" t="inlineStr">
        <is>
          <t>DY-SOC-0111_ANALYSIS_BASELINE_formal-attempt-0001_AI</t>
        </is>
      </c>
      <c r="T352" t="inlineStr">
        <is>
          <t>饮酒情绪</t>
        </is>
      </c>
      <c r="U352" t="inlineStr">
        <is>
          <t>KEEP</t>
        </is>
      </c>
      <c r="V352" t="inlineStr">
        <is>
          <t>ANALYSIS_BASELINE</t>
        </is>
      </c>
      <c r="W352" t="inlineStr">
        <is>
          <t>可用</t>
        </is>
      </c>
      <c r="X352" t="inlineStr">
        <is>
          <t>品牌语料分析与洞察体系.xlsx#表1：原始语料库!352</t>
        </is>
      </c>
      <c r="Y352" t="inlineStr">
        <is>
          <t>FROZEN_419_V2</t>
        </is>
      </c>
    </row>
    <row r="353" ht="25.5" customHeight="1">
      <c r="A353" t="inlineStr">
        <is>
          <t>DY-SOC-0112</t>
        </is>
      </c>
      <c r="B353" t="inlineStr">
        <is>
          <t>饮酒情绪与身体负担</t>
        </is>
      </c>
      <c r="C353" t="inlineStr">
        <is>
          <t>PRJ001</t>
        </is>
      </c>
      <c r="D353" t="inlineStr">
        <is>
          <t>梅见</t>
        </is>
      </c>
      <c r="E353" t="inlineStr">
        <is>
          <t>就喜欢这种微醺的感觉刚刚好</t>
        </is>
      </c>
      <c r="F353" t="inlineStr">
        <is>
          <t>小火锅冰梅见2｜2025-07-31｜抖音</t>
        </is>
      </c>
      <c r="G353" t="inlineStr">
        <is>
          <t>抖音</t>
        </is>
      </c>
      <c r="H353" s="2" t="str">
        <f>=HYPERLINK("https://www.douyin.com/video/7667775159961274021", "https://www.douyin.com/video/7667775159961274021")</f>
        <v>https://www.douyin.com/video/7667775159961274021</v>
      </c>
      <c r="I353" s="3">
        <v>45869</v>
      </c>
      <c r="J353" s="4">
        <v>46243</v>
      </c>
      <c r="K353" t="inlineStr">
        <is>
          <t>梅见火锅④</t>
        </is>
      </c>
      <c r="L353"/>
      <c r="M353" t="inlineStr">
        <is>
          <t>DY-U0245</t>
        </is>
      </c>
      <c r="N353" t="inlineStr">
        <is>
          <t>公开评论</t>
        </is>
      </c>
      <c r="O353"/>
      <c r="P353" t="inlineStr">
        <is>
          <t>点赞数未成功识别，暂置空，禁止随机补值</t>
        </is>
      </c>
      <c r="Q353" t="inlineStr">
        <is>
          <t>目标品牌</t>
        </is>
      </c>
      <c r="R353"/>
      <c r="S353" t="inlineStr">
        <is>
          <t>DY-SOC-0112_CHALLENGE_POOL_formal-attempt-0001_AI</t>
        </is>
      </c>
      <c r="T353" t="inlineStr">
        <is>
          <t>饮酒情绪</t>
        </is>
      </c>
      <c r="U353" t="inlineStr">
        <is>
          <t>KEEP</t>
        </is>
      </c>
      <c r="V353" t="inlineStr">
        <is>
          <t>CHALLENGE</t>
        </is>
      </c>
      <c r="W353" t="inlineStr">
        <is>
          <t>可用</t>
        </is>
      </c>
      <c r="X353" t="inlineStr">
        <is>
          <t>品牌语料分析与洞察体系.xlsx#表1：原始语料库!353</t>
        </is>
      </c>
      <c r="Y353" t="inlineStr">
        <is>
          <t>FROZEN_419_V2</t>
        </is>
      </c>
    </row>
    <row r="354" ht="25.5" customHeight="1">
      <c r="A354" t="inlineStr">
        <is>
          <t>DY-SOC-0113</t>
        </is>
      </c>
      <c r="B354" t="inlineStr">
        <is>
          <t>饮酒情绪与身体负担</t>
        </is>
      </c>
      <c r="C354" t="inlineStr">
        <is>
          <t>PRJ001</t>
        </is>
      </c>
      <c r="D354" t="inlineStr">
        <is>
          <t>梅见</t>
        </is>
      </c>
      <c r="E354" t="inlineStr">
        <is>
          <t>这也太适合周末小聚微醺一下了</t>
        </is>
      </c>
      <c r="F354" t="inlineStr">
        <is>
          <t>俏雅梅酒居家特调｜2024-08-16｜抖音</t>
        </is>
      </c>
      <c r="G354" t="inlineStr">
        <is>
          <t>抖音</t>
        </is>
      </c>
      <c r="H354" s="2" t="str">
        <f>=HYPERLINK("https://www.douyin.com/video/7447475027085200650", "https://www.douyin.com/video/7447475027085200650")</f>
        <v>https://www.douyin.com/video/7447475027085200650</v>
      </c>
      <c r="I354" s="3">
        <v>45520</v>
      </c>
      <c r="J354" s="4">
        <v>46243</v>
      </c>
      <c r="K354" t="inlineStr">
        <is>
          <t>梅见和CHOYA</t>
        </is>
      </c>
      <c r="L354"/>
      <c r="M354" t="inlineStr">
        <is>
          <t>DY-U0262</t>
        </is>
      </c>
      <c r="N354" t="inlineStr">
        <is>
          <t>公开评论</t>
        </is>
      </c>
      <c r="O354"/>
      <c r="P354" t="inlineStr">
        <is>
          <t>点赞数未成功识别，暂置空，禁止随机补值；原始:1年前;无法解析;原始时间未精确提取,根据页面公示时间范围估算;评论点赞数未精确提取,填写为0待人工复核</t>
        </is>
      </c>
      <c r="Q354" t="inlineStr">
        <is>
          <t>目标品牌</t>
        </is>
      </c>
      <c r="R354"/>
      <c r="S354" t="inlineStr">
        <is>
          <t>DY-SOC-0113_HOLDOUT_formal-attempt-0001_AI</t>
        </is>
      </c>
      <c r="T354" t="inlineStr">
        <is>
          <t>饮酒情绪</t>
        </is>
      </c>
      <c r="U354" t="inlineStr">
        <is>
          <t>KEEP</t>
        </is>
      </c>
      <c r="V354" t="inlineStr">
        <is>
          <t>HOLDOUT</t>
        </is>
      </c>
      <c r="W354" t="inlineStr">
        <is>
          <t>可用</t>
        </is>
      </c>
      <c r="X354" t="inlineStr">
        <is>
          <t>品牌语料分析与洞察体系.xlsx#表1：原始语料库!354</t>
        </is>
      </c>
      <c r="Y354" t="inlineStr">
        <is>
          <t>FROZEN_419_V2</t>
        </is>
      </c>
    </row>
    <row r="355" ht="25.5" customHeight="1">
      <c r="A355" t="inlineStr">
        <is>
          <t>DY-SOC-0114</t>
        </is>
      </c>
      <c r="B355" t="inlineStr">
        <is>
          <t>饮酒情绪与身体负担</t>
        </is>
      </c>
      <c r="C355" t="inlineStr">
        <is>
          <t>PRJ001</t>
        </is>
      </c>
      <c r="D355" t="inlineStr">
        <is>
          <t>低度酒</t>
        </is>
      </c>
      <c r="E355" t="inlineStr">
        <is>
          <t>古6喝完第二天头疼的要裂开</t>
        </is>
      </c>
      <c r="F355" t="inlineStr">
        <is>
          <t>平价年度好酒Top10｜2025-01-03｜抖音</t>
        </is>
      </c>
      <c r="G355" t="inlineStr">
        <is>
          <t>抖音</t>
        </is>
      </c>
      <c r="H355" s="2" t="str">
        <f>=HYPERLINK("https://www.douyin.com/video/7592552745405085545", "https://www.douyin.com/video/7592552745405085545")</f>
        <v>https://www.douyin.com/video/7592552745405085545</v>
      </c>
      <c r="I355" s="3">
        <v>45660</v>
      </c>
      <c r="J355" s="4">
        <v>46243</v>
      </c>
      <c r="K355" t="inlineStr">
        <is>
          <t>低度酒推荐①</t>
        </is>
      </c>
      <c r="L355"/>
      <c r="M355" t="inlineStr">
        <is>
          <t>DY-U0293</t>
        </is>
      </c>
      <c r="N355" t="inlineStr">
        <is>
          <t>公开评论</t>
        </is>
      </c>
      <c r="O355"/>
      <c r="P355" t="inlineStr">
        <is>
          <t>点赞数未成功识别，暂置空，禁止随机补值；当前日期来自视频发布时间，评论发布时间未识别</t>
        </is>
      </c>
      <c r="Q355" t="inlineStr">
        <is>
          <t>低度酒品类</t>
        </is>
      </c>
      <c r="R355"/>
      <c r="S355" t="inlineStr">
        <is>
          <t>DY-SOC-0114_ANALYSIS_BASELINE_formal-attempt-0001_AI</t>
        </is>
      </c>
      <c r="T355" t="inlineStr">
        <is>
          <t>饮酒情绪</t>
        </is>
      </c>
      <c r="U355" t="inlineStr">
        <is>
          <t>KEEP</t>
        </is>
      </c>
      <c r="V355" t="inlineStr">
        <is>
          <t>ANALYSIS_BASELINE</t>
        </is>
      </c>
      <c r="W355" t="inlineStr">
        <is>
          <t>可用</t>
        </is>
      </c>
      <c r="X355" t="inlineStr">
        <is>
          <t>品牌语料分析与洞察体系.xlsx#表1：原始语料库!355</t>
        </is>
      </c>
      <c r="Y355" t="inlineStr">
        <is>
          <t>FROZEN_419_V2</t>
        </is>
      </c>
    </row>
    <row r="356" ht="25.5" customHeight="1">
      <c r="A356" t="inlineStr">
        <is>
          <t>DY-SOC-0115</t>
        </is>
      </c>
      <c r="B356" t="inlineStr">
        <is>
          <t>饮酒情绪与身体负担</t>
        </is>
      </c>
      <c r="C356" t="inlineStr">
        <is>
          <t>PRJ001</t>
        </is>
      </c>
      <c r="D356" t="inlineStr">
        <is>
          <t>低度酒</t>
        </is>
      </c>
      <c r="E356" t="inlineStr">
        <is>
          <t>50度60度那也是酒这个虽然5度它也不是酒喝酒不上头不代表喝酒精饮料不上头</t>
        </is>
      </c>
      <c r="F356" t="inlineStr">
        <is>
          <t>超市小甜水上头测评｜2025-03-14｜抖音</t>
        </is>
      </c>
      <c r="G356" t="inlineStr">
        <is>
          <t>抖音</t>
        </is>
      </c>
      <c r="H356" s="2" t="str">
        <f>=HYPERLINK("https://www.douyin.com/video/7591112215512917489", "https://www.douyin.com/video/7591112215512917489")</f>
        <v>https://www.douyin.com/video/7591112215512917489</v>
      </c>
      <c r="I356" s="3">
        <v>45730</v>
      </c>
      <c r="J356" s="4">
        <v>46243</v>
      </c>
      <c r="K356" t="inlineStr">
        <is>
          <t>低度酒推荐③</t>
        </is>
      </c>
      <c r="L356"/>
      <c r="M356" t="inlineStr">
        <is>
          <t>DY-U0312</t>
        </is>
      </c>
      <c r="N356" t="inlineStr">
        <is>
          <t>公开评论</t>
        </is>
      </c>
      <c r="O356"/>
      <c r="P356" t="inlineStr">
        <is>
          <t>点赞数未成功识别，暂置空，禁止随机补值；当前日期来自视频发布时间，评论发布时间未识别</t>
        </is>
      </c>
      <c r="Q356" t="inlineStr">
        <is>
          <t>低度酒品类</t>
        </is>
      </c>
      <c r="R356"/>
      <c r="S356" t="inlineStr">
        <is>
          <t>DY-SOC-0115_ANALYSIS_BASELINE_formal-attempt-0001_AI</t>
        </is>
      </c>
      <c r="T356" t="inlineStr">
        <is>
          <t>饮酒情绪</t>
        </is>
      </c>
      <c r="U356" t="inlineStr">
        <is>
          <t>KEEP</t>
        </is>
      </c>
      <c r="V356" t="inlineStr">
        <is>
          <t>ANALYSIS_BASELINE</t>
        </is>
      </c>
      <c r="W356" t="inlineStr">
        <is>
          <t>可用</t>
        </is>
      </c>
      <c r="X356" t="inlineStr">
        <is>
          <t>品牌语料分析与洞察体系.xlsx#表1：原始语料库!356</t>
        </is>
      </c>
      <c r="Y356" t="inlineStr">
        <is>
          <t>FROZEN_419_V2</t>
        </is>
      </c>
    </row>
    <row r="357" ht="25.5" customHeight="1">
      <c r="A357" t="inlineStr">
        <is>
          <t>DY-SOC-0116</t>
        </is>
      </c>
      <c r="B357" t="inlineStr">
        <is>
          <t>饮酒情绪与身体负担</t>
        </is>
      </c>
      <c r="C357" t="inlineStr">
        <is>
          <t>PRJ001</t>
        </is>
      </c>
      <c r="D357" t="inlineStr">
        <is>
          <t>低度酒</t>
        </is>
      </c>
      <c r="E357" t="inlineStr">
        <is>
          <t>强爽给我的感觉不像是醉了像是中毒了尤其是第二天难受的要死</t>
        </is>
      </c>
      <c r="F357" t="inlineStr">
        <is>
          <t>超市小甜水上头测评｜2025-03-14｜抖音</t>
        </is>
      </c>
      <c r="G357" t="inlineStr">
        <is>
          <t>抖音</t>
        </is>
      </c>
      <c r="H357" s="2" t="str">
        <f>=HYPERLINK("https://www.douyin.com/video/7591112215512917489", "https://www.douyin.com/video/7591112215512917489")</f>
        <v>https://www.douyin.com/video/7591112215512917489</v>
      </c>
      <c r="I357" s="3">
        <v>45730</v>
      </c>
      <c r="J357" s="4">
        <v>46243</v>
      </c>
      <c r="K357" t="inlineStr">
        <is>
          <t>低度酒推荐③</t>
        </is>
      </c>
      <c r="L357"/>
      <c r="M357" t="inlineStr">
        <is>
          <t>DY-U0313</t>
        </is>
      </c>
      <c r="N357" t="inlineStr">
        <is>
          <t>公开评论</t>
        </is>
      </c>
      <c r="O357"/>
      <c r="P357" t="inlineStr">
        <is>
          <t>点赞数未成功识别，暂置空，禁止随机补值</t>
        </is>
      </c>
      <c r="Q357" t="inlineStr">
        <is>
          <t>低度酒品类</t>
        </is>
      </c>
      <c r="R357"/>
      <c r="S357" t="inlineStr">
        <is>
          <t>DY-SOC-0116_ANALYSIS_BASELINE_formal-attempt-0001_AI</t>
        </is>
      </c>
      <c r="T357" t="inlineStr">
        <is>
          <t>饮酒情绪</t>
        </is>
      </c>
      <c r="U357" t="inlineStr">
        <is>
          <t>KEEP</t>
        </is>
      </c>
      <c r="V357" t="inlineStr">
        <is>
          <t>ANALYSIS_BASELINE</t>
        </is>
      </c>
      <c r="W357" t="inlineStr">
        <is>
          <t>可用</t>
        </is>
      </c>
      <c r="X357" t="inlineStr">
        <is>
          <t>品牌语料分析与洞察体系.xlsx#表1：原始语料库!357</t>
        </is>
      </c>
      <c r="Y357" t="inlineStr">
        <is>
          <t>FROZEN_419_V2</t>
        </is>
      </c>
    </row>
    <row r="358" ht="25.5" customHeight="1">
      <c r="A358" t="inlineStr">
        <is>
          <t>XHS-SOC-0193</t>
        </is>
      </c>
      <c r="B358" t="inlineStr">
        <is>
          <t>饮酒情绪与身体负担</t>
        </is>
      </c>
      <c r="C358" t="inlineStr">
        <is>
          <t>PRJ001</t>
        </is>
      </c>
      <c r="D358" t="inlineStr">
        <is>
          <t>低度酒</t>
        </is>
      </c>
      <c r="E358" t="inlineStr">
        <is>
          <t>脑子清醒但是身体想睡觉，同时情绪敏感</t>
        </is>
      </c>
      <c r="F358" t="inlineStr">
        <is>
          <t>如何能醺而不挂｜2025-07-05｜小红书</t>
        </is>
      </c>
      <c r="G358" t="inlineStr">
        <is>
          <t>小红书</t>
        </is>
      </c>
      <c r="H358" s="2" t="str">
        <f>=HYPERLINK("https://www.xiaohongshu.com/search_result/不想喝醉", "https://www.xiaohongshu.com/search_result/不想喝醉")</f>
        <v>https://www.xiaohongshu.com/search_result/不想喝醉</v>
      </c>
      <c r="I358" s="3">
        <v>46221</v>
      </c>
      <c r="J358" s="4">
        <v>46243</v>
      </c>
      <c r="K358" t="inlineStr">
        <is>
          <t>不想喝醉</t>
        </is>
      </c>
      <c r="L358">
        <v>4</v>
      </c>
      <c r="M358" t="inlineStr">
        <is>
          <t>XHS-U0293</t>
        </is>
      </c>
      <c r="N358" t="inlineStr">
        <is>
          <t>公开评论</t>
        </is>
      </c>
      <c r="O358"/>
      <c r="P358" t="inlineStr">
        <is>
          <t>原始:07-18;年份推定·河北；当前为搜索结果页链接，正式入库前需补原笔记链接</t>
        </is>
      </c>
      <c r="Q358" t="inlineStr">
        <is>
          <t>低度酒品类</t>
        </is>
      </c>
      <c r="R358"/>
      <c r="S358" t="inlineStr">
        <is>
          <t>XHS-SOC-0193_GOLD_人工标注_人工,XHS-SOC-0193_GOLD_attempt-0002_AI_矫正前,XHS-SOC-0193_GOLD_attempt-0006_AI_矫正后</t>
        </is>
      </c>
      <c r="T358" t="inlineStr">
        <is>
          <t>饮酒情绪</t>
        </is>
      </c>
      <c r="U358" t="inlineStr">
        <is>
          <t>KEEP</t>
        </is>
      </c>
      <c r="V358" t="inlineStr">
        <is>
          <t>GOLD</t>
        </is>
      </c>
      <c r="W358" t="inlineStr">
        <is>
          <t>不可用</t>
        </is>
      </c>
      <c r="X358" t="inlineStr">
        <is>
          <t>原始母表#raw_id=XHS-SOC-0193</t>
        </is>
      </c>
      <c r="Y358" t="inlineStr">
        <is>
          <t>FROZEN_419_V2</t>
        </is>
      </c>
    </row>
    <row r="359" ht="25.5" customHeight="1">
      <c r="A359" t="inlineStr">
        <is>
          <t>XHS-SOC-0198</t>
        </is>
      </c>
      <c r="B359" t="inlineStr">
        <is>
          <t>饮酒情绪与身体负担</t>
        </is>
      </c>
      <c r="C359" t="inlineStr">
        <is>
          <t>PRJ001</t>
        </is>
      </c>
      <c r="D359" t="inlineStr">
        <is>
          <t>梅见</t>
        </is>
      </c>
      <c r="E359" t="inlineStr">
        <is>
          <t>冰箱冷藏，昨晚喝了半瓶，晚上睡觉睡得都好</t>
        </is>
      </c>
      <c r="F359" t="inlineStr">
        <is>
          <t>怎么会有这么好喝的梅子酒-时光梅见｜2025-03-21｜小红书</t>
        </is>
      </c>
      <c r="G359" t="inlineStr">
        <is>
          <t>小红书</t>
        </is>
      </c>
      <c r="H359" s="2" t="str">
        <f>=HYPERLINK("https://www.xiaohongshu.com/search_result/果酒哪个牌子好", "https://www.xiaohongshu.com/search_result/果酒哪个牌子好")</f>
        <v>https://www.xiaohongshu.com/search_result/果酒哪个牌子好</v>
      </c>
      <c r="I359" s="3">
        <v>45990</v>
      </c>
      <c r="J359" s="4">
        <v>46243</v>
      </c>
      <c r="K359" t="inlineStr">
        <is>
          <t>果酒哪个牌子好</t>
        </is>
      </c>
      <c r="L359">
        <v>3</v>
      </c>
      <c r="M359" t="inlineStr">
        <is>
          <t>XHS-U0328</t>
        </is>
      </c>
      <c r="N359" t="inlineStr">
        <is>
          <t>公开评论</t>
        </is>
      </c>
      <c r="O359"/>
      <c r="P359" t="inlineStr">
        <is>
          <t>原始:2025-11-29·内蒙古；当前为搜索结果页链接，正式入库前需补原笔记链接</t>
        </is>
      </c>
      <c r="Q359" t="inlineStr">
        <is>
          <t>目标品牌</t>
        </is>
      </c>
      <c r="R359"/>
      <c r="S359" t="inlineStr">
        <is>
          <t>XHS-SOC-0198_ANALYSIS_BASELINE_formal-attempt-0001_AI</t>
        </is>
      </c>
      <c r="T359" t="inlineStr">
        <is>
          <t>饮酒情绪</t>
        </is>
      </c>
      <c r="U359" t="inlineStr">
        <is>
          <t>KEEP</t>
        </is>
      </c>
      <c r="V359" t="inlineStr">
        <is>
          <t>ANALYSIS_BASELINE</t>
        </is>
      </c>
      <c r="W359" t="inlineStr">
        <is>
          <t>可用</t>
        </is>
      </c>
      <c r="X359" t="inlineStr">
        <is>
          <t>品牌语料分析与洞察体系.xlsx#表1：原始语料库!359</t>
        </is>
      </c>
      <c r="Y359" t="inlineStr">
        <is>
          <t>FROZEN_419_V2</t>
        </is>
      </c>
    </row>
    <row r="360" ht="25.5" customHeight="1">
      <c r="A360" t="inlineStr">
        <is>
          <t>XHS-SOC-0199</t>
        </is>
      </c>
      <c r="B360" t="inlineStr">
        <is>
          <t>饮酒情绪与身体负担</t>
        </is>
      </c>
      <c r="C360" t="inlineStr">
        <is>
          <t>PRJ001</t>
        </is>
      </c>
      <c r="D360" t="inlineStr">
        <is>
          <t>低度酒</t>
        </is>
      </c>
      <c r="E360" t="inlineStr">
        <is>
          <t>我急性酒精中毒，3天才活过来！太可怕了，戒酒</t>
        </is>
      </c>
      <c r="F360" t="inlineStr">
        <is>
          <t>真不能喝酒-急诊一堆喝酒来的｜2025-03-21｜小红书</t>
        </is>
      </c>
      <c r="G360" t="inlineStr">
        <is>
          <t>小红书</t>
        </is>
      </c>
      <c r="H360" s="2" t="str">
        <f>=HYPERLINK("https://www.xiaohongshu.com/search_result/喝酒胃不舒服", "https://www.xiaohongshu.com/search_result/喝酒胃不舒服")</f>
        <v>https://www.xiaohongshu.com/search_result/喝酒胃不舒服</v>
      </c>
      <c r="I360" s="3">
        <v>46113</v>
      </c>
      <c r="J360" s="4">
        <v>46243</v>
      </c>
      <c r="K360" t="inlineStr">
        <is>
          <t>喝酒胃不舒服</t>
        </is>
      </c>
      <c r="L360">
        <v>3</v>
      </c>
      <c r="M360" t="inlineStr">
        <is>
          <t>XHS-U0345</t>
        </is>
      </c>
      <c r="N360" t="inlineStr">
        <is>
          <t>公开评论</t>
        </is>
      </c>
      <c r="O360"/>
      <c r="P360" t="inlineStr">
        <is>
          <t>原始:04-01;年份推定·美国；当前为搜索结果页链接，正式入库前需补原笔记链接</t>
        </is>
      </c>
      <c r="Q360" t="inlineStr">
        <is>
          <t>低度酒品类</t>
        </is>
      </c>
      <c r="R360"/>
      <c r="S360" t="inlineStr">
        <is>
          <t>XHS-SOC-0199_GOLD_人工标注_人工,XHS-SOC-0199_GOLD_attempt-0002_AI_矫正前,XHS-SOC-0199_GOLD_attempt-0006_AI_矫正后</t>
        </is>
      </c>
      <c r="T360" t="inlineStr">
        <is>
          <t>饮酒情绪</t>
        </is>
      </c>
      <c r="U360" t="inlineStr">
        <is>
          <t>KEEP</t>
        </is>
      </c>
      <c r="V360" t="inlineStr">
        <is>
          <t>GOLD</t>
        </is>
      </c>
      <c r="W360" t="inlineStr">
        <is>
          <t>不可用</t>
        </is>
      </c>
      <c r="X360" t="inlineStr">
        <is>
          <t>原始母表#raw_id=XHS-SOC-0199</t>
        </is>
      </c>
      <c r="Y360" t="inlineStr">
        <is>
          <t>FROZEN_419_V2</t>
        </is>
      </c>
    </row>
    <row r="361" ht="25.5" customHeight="1">
      <c r="A361" t="inlineStr">
        <is>
          <t>XHS-SOC-0210</t>
        </is>
      </c>
      <c r="B361" t="inlineStr">
        <is>
          <t>饮酒情绪与身体负担</t>
        </is>
      </c>
      <c r="C361" t="inlineStr">
        <is>
          <t>PRJ001</t>
        </is>
      </c>
      <c r="D361" t="inlineStr">
        <is>
          <t>低度酒</t>
        </is>
      </c>
      <c r="E361" t="inlineStr">
        <is>
          <t>怎么说呢，喝酒微醺有助于睡眠，而睡眠好对身体有好处，也就是说喝酒有好处</t>
        </is>
      </c>
      <c r="F361" t="inlineStr">
        <is>
          <t>喝酒对人体没有一点好处｜2025-12-29｜小红书</t>
        </is>
      </c>
      <c r="G361" t="inlineStr">
        <is>
          <t>小红书</t>
        </is>
      </c>
      <c r="H361" s="2" t="str">
        <f>=HYPERLINK("https://www.xiaohongshu.com/search_result/低度酒智商税", "https://www.xiaohongshu.com/search_result/低度酒智商税")</f>
        <v>https://www.xiaohongshu.com/search_result/低度酒智商税</v>
      </c>
      <c r="I361" s="3">
        <v>46029</v>
      </c>
      <c r="J361" s="4">
        <v>46243</v>
      </c>
      <c r="K361" t="inlineStr">
        <is>
          <t>低度酒智商税</t>
        </is>
      </c>
      <c r="L361">
        <v>1</v>
      </c>
      <c r="M361" t="inlineStr">
        <is>
          <t>XHS-U0247</t>
        </is>
      </c>
      <c r="N361" t="inlineStr">
        <is>
          <t>公开评论</t>
        </is>
      </c>
      <c r="O361"/>
      <c r="P361" t="inlineStr">
        <is>
          <t>原始:01-07;年份推定·陕西；当前为搜索结果页链接，正式入库前需补原笔记链接</t>
        </is>
      </c>
      <c r="Q361" t="inlineStr">
        <is>
          <t>低度酒品类</t>
        </is>
      </c>
      <c r="R361"/>
      <c r="S361" t="inlineStr">
        <is>
          <t>XHS-SOC-0210_ANALYSIS_BASELINE_formal-attempt-0001_AI</t>
        </is>
      </c>
      <c r="T361" t="inlineStr">
        <is>
          <t>饮酒情绪</t>
        </is>
      </c>
      <c r="U361" t="inlineStr">
        <is>
          <t>KEEP</t>
        </is>
      </c>
      <c r="V361" t="inlineStr">
        <is>
          <t>ANALYSIS_BASELINE</t>
        </is>
      </c>
      <c r="W361" t="inlineStr">
        <is>
          <t>可用</t>
        </is>
      </c>
      <c r="X361" t="inlineStr">
        <is>
          <t>品牌语料分析与洞察体系.xlsx#表1：原始语料库!361</t>
        </is>
      </c>
      <c r="Y361" t="inlineStr">
        <is>
          <t>FROZEN_419_V2</t>
        </is>
      </c>
    </row>
    <row r="362" ht="25.5" customHeight="1">
      <c r="A362" t="inlineStr">
        <is>
          <t>XHS-SOC-0211</t>
        </is>
      </c>
      <c r="B362" t="inlineStr">
        <is>
          <t>饮酒情绪与身体负担</t>
        </is>
      </c>
      <c r="C362" t="inlineStr">
        <is>
          <t>PRJ001</t>
        </is>
      </c>
      <c r="D362" t="inlineStr">
        <is>
          <t>低度酒</t>
        </is>
      </c>
      <c r="E362" t="inlineStr">
        <is>
          <t>好喜欢喝到晕晕的又不会难受头痛那种感觉，走路飘飘的</t>
        </is>
      </c>
      <c r="F362" t="inlineStr">
        <is>
          <t>微醺就是把自己还给自己｜2025-08-28｜小红书</t>
        </is>
      </c>
      <c r="G362" t="inlineStr">
        <is>
          <t>小红书</t>
        </is>
      </c>
      <c r="H362" s="2" t="str">
        <f>=HYPERLINK("https://www.xiaohongshu.com/search_result/微醺放松", "https://www.xiaohongshu.com/search_result/微醺放松")</f>
        <v>https://www.xiaohongshu.com/search_result/微醺放松</v>
      </c>
      <c r="I362" s="3">
        <v>45901</v>
      </c>
      <c r="J362" s="4">
        <v>46243</v>
      </c>
      <c r="K362" t="inlineStr">
        <is>
          <t>微醺放松</t>
        </is>
      </c>
      <c r="L362">
        <v>1</v>
      </c>
      <c r="M362" t="inlineStr">
        <is>
          <t>XHS-U0288</t>
        </is>
      </c>
      <c r="N362" t="inlineStr">
        <is>
          <t>公开评论</t>
        </is>
      </c>
      <c r="O362"/>
      <c r="P362" t="inlineStr">
        <is>
          <t>原始:2025-09-01·河北；当前为搜索结果页链接，正式入库前需补原笔记链接</t>
        </is>
      </c>
      <c r="Q362" t="inlineStr">
        <is>
          <t>低度酒品类</t>
        </is>
      </c>
      <c r="R362"/>
      <c r="S362" t="inlineStr">
        <is>
          <t>XHS-SOC-0211_GOLD_人工标注_人工,XHS-SOC-0211_GOLD_attempt-0002_AI_矫正前,XHS-SOC-0211_GOLD_attempt-0006_AI_矫正后</t>
        </is>
      </c>
      <c r="T362" t="inlineStr">
        <is>
          <t>饮酒情绪</t>
        </is>
      </c>
      <c r="U362" t="inlineStr">
        <is>
          <t>KEEP</t>
        </is>
      </c>
      <c r="V362" t="inlineStr">
        <is>
          <t>GOLD</t>
        </is>
      </c>
      <c r="W362" t="inlineStr">
        <is>
          <t>不可用</t>
        </is>
      </c>
      <c r="X362" t="inlineStr">
        <is>
          <t>原始母表#raw_id=XHS-SOC-0211</t>
        </is>
      </c>
      <c r="Y362" t="inlineStr">
        <is>
          <t>FROZEN_419_V2</t>
        </is>
      </c>
    </row>
    <row r="363" ht="25.5" customHeight="1">
      <c r="A363" t="inlineStr">
        <is>
          <t>XHS-SOC-0212</t>
        </is>
      </c>
      <c r="B363" t="inlineStr">
        <is>
          <t>饮酒情绪与身体负担</t>
        </is>
      </c>
      <c r="C363" t="inlineStr">
        <is>
          <t>PRJ001</t>
        </is>
      </c>
      <c r="D363" t="inlineStr">
        <is>
          <t>低度酒</t>
        </is>
      </c>
      <c r="E363" t="inlineStr">
        <is>
          <t>喝着酒没味了和喝白水一样就包醉了</t>
        </is>
      </c>
      <c r="F363" t="inlineStr">
        <is>
          <t>如何能醺而不挂｜2025-07-05｜小红书</t>
        </is>
      </c>
      <c r="G363" t="inlineStr">
        <is>
          <t>小红书</t>
        </is>
      </c>
      <c r="H363" s="2" t="str">
        <f>=HYPERLINK("https://www.xiaohongshu.com/search_result/不想喝醉", "https://www.xiaohongshu.com/search_result/不想喝醉")</f>
        <v>https://www.xiaohongshu.com/search_result/不想喝醉</v>
      </c>
      <c r="I363" s="3">
        <v>46214</v>
      </c>
      <c r="J363" s="4">
        <v>46243</v>
      </c>
      <c r="K363" t="inlineStr">
        <is>
          <t>不想喝醉</t>
        </is>
      </c>
      <c r="L363">
        <v>1</v>
      </c>
      <c r="M363" t="inlineStr">
        <is>
          <t>XHS-U0294</t>
        </is>
      </c>
      <c r="N363" t="inlineStr">
        <is>
          <t>公开评论</t>
        </is>
      </c>
      <c r="O363"/>
      <c r="P363" t="inlineStr">
        <is>
          <t>原始:07-11;年份推定·山东；当前为搜索结果页链接，正式入库前需补原笔记链接</t>
        </is>
      </c>
      <c r="Q363" t="inlineStr">
        <is>
          <t>低度酒品类</t>
        </is>
      </c>
      <c r="R363"/>
      <c r="S363" t="inlineStr">
        <is>
          <t>XHS-SOC-0212_ANALYSIS_BASELINE_formal-attempt-0001_AI</t>
        </is>
      </c>
      <c r="T363" t="inlineStr">
        <is>
          <t>饮酒情绪</t>
        </is>
      </c>
      <c r="U363" t="inlineStr">
        <is>
          <t>KEEP</t>
        </is>
      </c>
      <c r="V363" t="inlineStr">
        <is>
          <t>ANALYSIS_BASELINE</t>
        </is>
      </c>
      <c r="W363" t="inlineStr">
        <is>
          <t>可用</t>
        </is>
      </c>
      <c r="X363" t="inlineStr">
        <is>
          <t>品牌语料分析与洞察体系.xlsx#表1：原始语料库!363</t>
        </is>
      </c>
      <c r="Y363" t="inlineStr">
        <is>
          <t>FROZEN_419_V2</t>
        </is>
      </c>
    </row>
    <row r="364" ht="25.5" customHeight="1">
      <c r="A364" t="inlineStr">
        <is>
          <t>XHS-SOC-0231</t>
        </is>
      </c>
      <c r="B364" t="inlineStr">
        <is>
          <t>饮酒情绪与身体负担</t>
        </is>
      </c>
      <c r="C364" t="inlineStr">
        <is>
          <t>PRJ001</t>
        </is>
      </c>
      <c r="D364" t="inlineStr">
        <is>
          <t>梅见</t>
        </is>
      </c>
      <c r="E364" t="inlineStr">
        <is>
          <t>和闺蜜喝了6瓶，完全喝醉了，第二天起床还头晕</t>
        </is>
      </c>
      <c r="F364" t="inlineStr">
        <is>
          <t>梅见成分分析-浓缩汁勾兑｜2025-10-01｜小红书</t>
        </is>
      </c>
      <c r="G364" t="inlineStr">
        <is>
          <t>小红书</t>
        </is>
      </c>
      <c r="H364" s="2" t="str">
        <f>=HYPERLINK("https://www.xiaohongshu.com/search_result/梅见测评", "https://www.xiaohongshu.com/search_result/梅见测评")</f>
        <v>https://www.xiaohongshu.com/search_result/梅见测评</v>
      </c>
      <c r="I364" s="3">
        <v>46069</v>
      </c>
      <c r="J364" s="4">
        <v>46243</v>
      </c>
      <c r="K364" t="inlineStr">
        <is>
          <t>梅见测评</t>
        </is>
      </c>
      <c r="L364">
        <v>0</v>
      </c>
      <c r="M364" t="inlineStr">
        <is>
          <t>XHS-U0111</t>
        </is>
      </c>
      <c r="N364" t="inlineStr">
        <is>
          <t>公开评论</t>
        </is>
      </c>
      <c r="O364"/>
      <c r="P364" t="inlineStr">
        <is>
          <t>原始:02-16;年份推定·重庆；当前为搜索结果页链接，正式入库前需补原笔记链接</t>
        </is>
      </c>
      <c r="Q364" t="inlineStr">
        <is>
          <t>目标品牌</t>
        </is>
      </c>
      <c r="R364"/>
      <c r="S364" t="inlineStr">
        <is>
          <t>XHS-SOC-0231_GOLD_人工标注_人工,XHS-SOC-0231_GOLD_attempt-0002_AI_矫正前,XHS-SOC-0231_GOLD_attempt-0006_AI_矫正后</t>
        </is>
      </c>
      <c r="T364" t="inlineStr">
        <is>
          <t>饮酒情绪</t>
        </is>
      </c>
      <c r="U364" t="inlineStr">
        <is>
          <t>KEEP</t>
        </is>
      </c>
      <c r="V364" t="inlineStr">
        <is>
          <t>GOLD</t>
        </is>
      </c>
      <c r="W364" t="inlineStr">
        <is>
          <t>不可用</t>
        </is>
      </c>
      <c r="X364" t="inlineStr">
        <is>
          <t>原始母表#raw_id=XHS-SOC-0231</t>
        </is>
      </c>
      <c r="Y364" t="inlineStr">
        <is>
          <t>FROZEN_419_V2</t>
        </is>
      </c>
    </row>
    <row r="365" ht="25.5" customHeight="1">
      <c r="A365" t="inlineStr">
        <is>
          <t>XHS-SOC-0232</t>
        </is>
      </c>
      <c r="B365" t="inlineStr">
        <is>
          <t>饮酒情绪与身体负担</t>
        </is>
      </c>
      <c r="C365" t="inlineStr">
        <is>
          <t>PRJ001</t>
        </is>
      </c>
      <c r="D365" t="inlineStr">
        <is>
          <t>低度酒</t>
        </is>
      </c>
      <c r="E365" t="inlineStr">
        <is>
          <t>一个人的微醺才是最放松的</t>
        </is>
      </c>
      <c r="F365" t="inlineStr">
        <is>
          <t>一个人喝酒很怪吗｜2025-03-08｜小红书</t>
        </is>
      </c>
      <c r="G365" t="inlineStr">
        <is>
          <t>小红书</t>
        </is>
      </c>
      <c r="H365" s="2" t="str">
        <f>=HYPERLINK("https://www.xiaohongshu.com/search_result/一个人喝酒", "https://www.xiaohongshu.com/search_result/一个人喝酒")</f>
        <v>https://www.xiaohongshu.com/search_result/一个人喝酒</v>
      </c>
      <c r="I365" s="3">
        <v>46095</v>
      </c>
      <c r="J365" s="4">
        <v>46243</v>
      </c>
      <c r="K365" t="inlineStr">
        <is>
          <t>一个人喝酒</t>
        </is>
      </c>
      <c r="L365">
        <v>0</v>
      </c>
      <c r="M365" t="inlineStr">
        <is>
          <t>XHS-U0266</t>
        </is>
      </c>
      <c r="N365" t="inlineStr">
        <is>
          <t>公开评论</t>
        </is>
      </c>
      <c r="O365"/>
      <c r="P365" t="inlineStr">
        <is>
          <t>原始:03-14;年份推定·湖北；当前为搜索结果页链接，正式入库前需补原笔记链接</t>
        </is>
      </c>
      <c r="Q365" t="inlineStr">
        <is>
          <t>低度酒品类</t>
        </is>
      </c>
      <c r="R365"/>
      <c r="S365" t="inlineStr">
        <is>
          <t>XHS-SOC-0232_ANALYSIS_BASELINE_formal-attempt-0001_AI</t>
        </is>
      </c>
      <c r="T365" t="inlineStr">
        <is>
          <t>饮酒情绪</t>
        </is>
      </c>
      <c r="U365" t="inlineStr">
        <is>
          <t>KEEP</t>
        </is>
      </c>
      <c r="V365" t="inlineStr">
        <is>
          <t>ANALYSIS_BASELINE</t>
        </is>
      </c>
      <c r="W365" t="inlineStr">
        <is>
          <t>可用</t>
        </is>
      </c>
      <c r="X365" t="inlineStr">
        <is>
          <t>品牌语料分析与洞察体系.xlsx#表1：原始语料库!365</t>
        </is>
      </c>
      <c r="Y365" t="inlineStr">
        <is>
          <t>FROZEN_419_V2</t>
        </is>
      </c>
    </row>
    <row r="366" ht="25.5" customHeight="1">
      <c r="A366" t="inlineStr">
        <is>
          <t>XHS-SOC-0233</t>
        </is>
      </c>
      <c r="B366" t="inlineStr">
        <is>
          <t>饮酒情绪与身体负担</t>
        </is>
      </c>
      <c r="C366" t="inlineStr">
        <is>
          <t>PRJ001</t>
        </is>
      </c>
      <c r="D366" t="inlineStr">
        <is>
          <t>低度酒</t>
        </is>
      </c>
      <c r="E366" t="inlineStr">
        <is>
          <t>就喜欢一个人微醺</t>
        </is>
      </c>
      <c r="F366" t="inlineStr">
        <is>
          <t>一个人喝酒很怪吗｜2025-03-08｜小红书</t>
        </is>
      </c>
      <c r="G366" t="inlineStr">
        <is>
          <t>小红书</t>
        </is>
      </c>
      <c r="H366" s="2" t="str">
        <f>=HYPERLINK("https://www.xiaohongshu.com/search_result/一个人喝酒", "https://www.xiaohongshu.com/search_result/一个人喝酒")</f>
        <v>https://www.xiaohongshu.com/search_result/一个人喝酒</v>
      </c>
      <c r="I366" s="3">
        <v>46092</v>
      </c>
      <c r="J366" s="4">
        <v>46243</v>
      </c>
      <c r="K366" t="inlineStr">
        <is>
          <t>一个人喝酒</t>
        </is>
      </c>
      <c r="L366">
        <v>0</v>
      </c>
      <c r="M366" t="inlineStr">
        <is>
          <t>XHS-U0278</t>
        </is>
      </c>
      <c r="N366" t="inlineStr">
        <is>
          <t>公开评论</t>
        </is>
      </c>
      <c r="O366"/>
      <c r="P366" t="inlineStr">
        <is>
          <t>原始:03-11;年份推定·安徽；当前为搜索结果页链接，正式入库前需补原笔记链接</t>
        </is>
      </c>
      <c r="Q366" t="inlineStr">
        <is>
          <t>低度酒品类</t>
        </is>
      </c>
      <c r="R366"/>
      <c r="S366" t="inlineStr">
        <is>
          <t>XHS-SOC-0233_ANALYSIS_BASELINE_formal-attempt-0001_AI</t>
        </is>
      </c>
      <c r="T366" t="inlineStr">
        <is>
          <t>饮酒情绪</t>
        </is>
      </c>
      <c r="U366" t="inlineStr">
        <is>
          <t>KEEP</t>
        </is>
      </c>
      <c r="V366" t="inlineStr">
        <is>
          <t>ANALYSIS_BASELINE</t>
        </is>
      </c>
      <c r="W366" t="inlineStr">
        <is>
          <t>可用</t>
        </is>
      </c>
      <c r="X366" t="inlineStr">
        <is>
          <t>品牌语料分析与洞察体系.xlsx#表1：原始语料库!366</t>
        </is>
      </c>
      <c r="Y366" t="inlineStr">
        <is>
          <t>FROZEN_419_V2</t>
        </is>
      </c>
    </row>
    <row r="367" ht="25.5" customHeight="1">
      <c r="A367" t="inlineStr">
        <is>
          <t>XHS-SOC-0234</t>
        </is>
      </c>
      <c r="B367" t="inlineStr">
        <is>
          <t>饮酒情绪与身体负担</t>
        </is>
      </c>
      <c r="C367" t="inlineStr">
        <is>
          <t>PRJ001</t>
        </is>
      </c>
      <c r="D367" t="inlineStr">
        <is>
          <t>低度酒</t>
        </is>
      </c>
      <c r="E367" t="inlineStr">
        <is>
          <t>微醺好幸福感觉脑子变慢了思考的东西变少了躺在床上好舒服我爱微醺</t>
        </is>
      </c>
      <c r="F367" t="inlineStr">
        <is>
          <t>微醺就是把自己还给自己｜2025-08-28｜小红书</t>
        </is>
      </c>
      <c r="G367" t="inlineStr">
        <is>
          <t>小红书</t>
        </is>
      </c>
      <c r="H367" s="2" t="str">
        <f>=HYPERLINK("https://www.xiaohongshu.com/search_result/微醺放松", "https://www.xiaohongshu.com/search_result/微醺放松")</f>
        <v>https://www.xiaohongshu.com/search_result/微醺放松</v>
      </c>
      <c r="I367" s="3">
        <v>46171</v>
      </c>
      <c r="J367" s="4">
        <v>46243</v>
      </c>
      <c r="K367" t="inlineStr">
        <is>
          <t>微醺放松</t>
        </is>
      </c>
      <c r="L367">
        <v>0</v>
      </c>
      <c r="M367" t="inlineStr">
        <is>
          <t>XHS-U0287</t>
        </is>
      </c>
      <c r="N367" t="inlineStr">
        <is>
          <t>公开评论</t>
        </is>
      </c>
      <c r="O367"/>
      <c r="P367" t="inlineStr">
        <is>
          <t>原始:05-29;年份推定·山东；当前为搜索结果页链接，正式入库前需补原笔记链接</t>
        </is>
      </c>
      <c r="Q367" t="inlineStr">
        <is>
          <t>低度酒品类</t>
        </is>
      </c>
      <c r="R367"/>
      <c r="S367" t="inlineStr">
        <is>
          <t>XHS-SOC-0234_ANALYSIS_BASELINE_formal-attempt-0001_AI</t>
        </is>
      </c>
      <c r="T367" t="inlineStr">
        <is>
          <t>饮酒情绪</t>
        </is>
      </c>
      <c r="U367" t="inlineStr">
        <is>
          <t>KEEP</t>
        </is>
      </c>
      <c r="V367" t="inlineStr">
        <is>
          <t>ANALYSIS_BASELINE</t>
        </is>
      </c>
      <c r="W367" t="inlineStr">
        <is>
          <t>可用</t>
        </is>
      </c>
      <c r="X367" t="inlineStr">
        <is>
          <t>品牌语料分析与洞察体系.xlsx#表1：原始语料库!367</t>
        </is>
      </c>
      <c r="Y367" t="inlineStr">
        <is>
          <t>FROZEN_419_V2</t>
        </is>
      </c>
    </row>
    <row r="368" ht="25.5" customHeight="1">
      <c r="A368" t="inlineStr">
        <is>
          <t>XHS-SOC-0235</t>
        </is>
      </c>
      <c r="B368" t="inlineStr">
        <is>
          <t>饮酒情绪与身体负担</t>
        </is>
      </c>
      <c r="C368" t="inlineStr">
        <is>
          <t>PRJ001</t>
        </is>
      </c>
      <c r="D368" t="inlineStr">
        <is>
          <t>低度酒</t>
        </is>
      </c>
      <c r="E368" t="inlineStr">
        <is>
          <t>脑袋沉沉就想睡觉了 这一觉会格外好 烦心事也会随之抛在脑后</t>
        </is>
      </c>
      <c r="F368" t="inlineStr">
        <is>
          <t>微醺就是把自己还给自己｜2025-08-28｜小红书</t>
        </is>
      </c>
      <c r="G368" t="inlineStr">
        <is>
          <t>小红书</t>
        </is>
      </c>
      <c r="H368" s="2" t="str">
        <f>=HYPERLINK("https://www.xiaohongshu.com/search_result/微醺放松", "https://www.xiaohongshu.com/search_result/微醺放松")</f>
        <v>https://www.xiaohongshu.com/search_result/微醺放松</v>
      </c>
      <c r="I368" s="3">
        <v>45906</v>
      </c>
      <c r="J368" s="4">
        <v>46243</v>
      </c>
      <c r="K368" t="inlineStr">
        <is>
          <t>微醺放松</t>
        </is>
      </c>
      <c r="L368">
        <v>0</v>
      </c>
      <c r="M368" t="inlineStr">
        <is>
          <t>XHS-U0289</t>
        </is>
      </c>
      <c r="N368" t="inlineStr">
        <is>
          <t>公开评论</t>
        </is>
      </c>
      <c r="O368"/>
      <c r="P368" t="inlineStr">
        <is>
          <t>原始:2025-09-06·山西；当前为搜索结果页链接，正式入库前需补原笔记链接</t>
        </is>
      </c>
      <c r="Q368" t="inlineStr">
        <is>
          <t>低度酒品类</t>
        </is>
      </c>
      <c r="R368"/>
      <c r="S368" t="inlineStr">
        <is>
          <t>XHS-SOC-0235_ANALYSIS_BASELINE_formal-attempt-0001_AI</t>
        </is>
      </c>
      <c r="T368" t="inlineStr">
        <is>
          <t>饮酒情绪</t>
        </is>
      </c>
      <c r="U368" t="inlineStr">
        <is>
          <t>KEEP</t>
        </is>
      </c>
      <c r="V368" t="inlineStr">
        <is>
          <t>ANALYSIS_BASELINE</t>
        </is>
      </c>
      <c r="W368" t="inlineStr">
        <is>
          <t>可用</t>
        </is>
      </c>
      <c r="X368" t="inlineStr">
        <is>
          <t>品牌语料分析与洞察体系.xlsx#表1：原始语料库!368</t>
        </is>
      </c>
      <c r="Y368" t="inlineStr">
        <is>
          <t>FROZEN_419_V2</t>
        </is>
      </c>
    </row>
    <row r="369" ht="25.5" customHeight="1">
      <c r="A369" t="inlineStr">
        <is>
          <t>XHS-SOC-0236</t>
        </is>
      </c>
      <c r="B369" t="inlineStr">
        <is>
          <t>饮酒情绪与身体负担</t>
        </is>
      </c>
      <c r="C369" t="inlineStr">
        <is>
          <t>PRJ001</t>
        </is>
      </c>
      <c r="D369" t="inlineStr">
        <is>
          <t>梅见</t>
        </is>
      </c>
      <c r="E369" t="inlineStr">
        <is>
          <t>晚上喝了半瓶，恶心死，人还没晕先吐了</t>
        </is>
      </c>
      <c r="F369" t="inlineStr">
        <is>
          <t>梅见避雷-劣质香精味｜2025-04-03｜小红书</t>
        </is>
      </c>
      <c r="G369" t="inlineStr">
        <is>
          <t>小红书</t>
        </is>
      </c>
      <c r="H369" s="2" t="str">
        <f>=HYPERLINK("https://www.xiaohongshu.com/search_result/梅见值不值得买", "https://www.xiaohongshu.com/search_result/梅见值不值得买")</f>
        <v>https://www.xiaohongshu.com/search_result/梅见值不值得买</v>
      </c>
      <c r="I369" s="3">
        <v>46066</v>
      </c>
      <c r="J369" s="4">
        <v>46243</v>
      </c>
      <c r="K369" t="inlineStr">
        <is>
          <t>梅见值不值得买</t>
        </is>
      </c>
      <c r="L369">
        <v>0</v>
      </c>
      <c r="M369" t="inlineStr">
        <is>
          <t>XHS-U0317</t>
        </is>
      </c>
      <c r="N369" t="inlineStr">
        <is>
          <t>公开评论</t>
        </is>
      </c>
      <c r="O369"/>
      <c r="P369" t="inlineStr">
        <is>
          <t>原始:02-13;年份推定·福建；当前为搜索结果页链接，正式入库前需补原笔记链接</t>
        </is>
      </c>
      <c r="Q369" t="inlineStr">
        <is>
          <t>目标品牌</t>
        </is>
      </c>
      <c r="R369"/>
      <c r="S369" t="inlineStr">
        <is>
          <t>XHS-SOC-0236_ANALYSIS_BASELINE_formal-attempt-0001_AI</t>
        </is>
      </c>
      <c r="T369" t="inlineStr">
        <is>
          <t>饮酒情绪</t>
        </is>
      </c>
      <c r="U369" t="inlineStr">
        <is>
          <t>KEEP</t>
        </is>
      </c>
      <c r="V369" t="inlineStr">
        <is>
          <t>ANALYSIS_BASELINE</t>
        </is>
      </c>
      <c r="W369" t="inlineStr">
        <is>
          <t>可用</t>
        </is>
      </c>
      <c r="X369" t="inlineStr">
        <is>
          <t>品牌语料分析与洞察体系.xlsx#表1：原始语料库!369</t>
        </is>
      </c>
      <c r="Y369" t="inlineStr">
        <is>
          <t>FROZEN_419_V2</t>
        </is>
      </c>
    </row>
    <row r="370" ht="25.5" customHeight="1">
      <c r="A370" t="inlineStr">
        <is>
          <t>XHS-SOC-0237</t>
        </is>
      </c>
      <c r="B370" t="inlineStr">
        <is>
          <t>饮酒情绪与身体负担</t>
        </is>
      </c>
      <c r="C370" t="inlineStr">
        <is>
          <t>PRJ001</t>
        </is>
      </c>
      <c r="D370" t="inlineStr">
        <is>
          <t>低度酒</t>
        </is>
      </c>
      <c r="E370" t="inlineStr">
        <is>
          <t>天天晚上喝点，不喝就难受</t>
        </is>
      </c>
      <c r="F370" t="inlineStr">
        <is>
          <t>真不能喝酒-急诊一堆喝酒来的｜2025-03-21｜小红书</t>
        </is>
      </c>
      <c r="G370" t="inlineStr">
        <is>
          <t>小红书</t>
        </is>
      </c>
      <c r="H370" s="2" t="str">
        <f>=HYPERLINK("https://www.xiaohongshu.com/search_result/喝酒胃不舒服", "https://www.xiaohongshu.com/search_result/喝酒胃不舒服")</f>
        <v>https://www.xiaohongshu.com/search_result/喝酒胃不舒服</v>
      </c>
      <c r="I370" s="3">
        <v>46112</v>
      </c>
      <c r="J370" s="4">
        <v>46243</v>
      </c>
      <c r="K370" t="inlineStr">
        <is>
          <t>喝酒胃不舒服</t>
        </is>
      </c>
      <c r="L370">
        <v>0</v>
      </c>
      <c r="M370" t="inlineStr">
        <is>
          <t>XHS-U0350</t>
        </is>
      </c>
      <c r="N370" t="inlineStr">
        <is>
          <t>公开评论</t>
        </is>
      </c>
      <c r="O370"/>
      <c r="P370" t="inlineStr">
        <is>
          <t>原始:03-31;年份推定·陕西；当前为搜索结果页链接，正式入库前需补原笔记链接</t>
        </is>
      </c>
      <c r="Q370" t="inlineStr">
        <is>
          <t>低度酒品类</t>
        </is>
      </c>
      <c r="R370"/>
      <c r="S370" t="inlineStr">
        <is>
          <t>XHS-SOC-0237_CHALLENGE_POOL_formal-attempt-0001_AI</t>
        </is>
      </c>
      <c r="T370" t="inlineStr">
        <is>
          <t>饮酒情绪</t>
        </is>
      </c>
      <c r="U370" t="inlineStr">
        <is>
          <t>KEEP</t>
        </is>
      </c>
      <c r="V370" t="inlineStr">
        <is>
          <t>CHALLENGE</t>
        </is>
      </c>
      <c r="W370" t="inlineStr">
        <is>
          <t>可用</t>
        </is>
      </c>
      <c r="X370" t="inlineStr">
        <is>
          <t>品牌语料分析与洞察体系.xlsx#表1：原始语料库!370</t>
        </is>
      </c>
      <c r="Y370" t="inlineStr">
        <is>
          <t>FROZEN_419_V2</t>
        </is>
      </c>
    </row>
    <row r="371" ht="25.5" customHeight="1">
      <c r="A371" t="inlineStr">
        <is>
          <t>XHS-SOC-0260</t>
        </is>
      </c>
      <c r="B371" t="inlineStr">
        <is>
          <t>饮酒情绪与身体负担</t>
        </is>
      </c>
      <c r="C371" t="inlineStr">
        <is>
          <t>PRJ001</t>
        </is>
      </c>
      <c r="D371" t="inlineStr">
        <is>
          <t>梅见</t>
        </is>
      </c>
      <c r="E371" t="inlineStr">
        <is>
          <t>囤点微醺</t>
        </is>
      </c>
      <c r="F371" t="inlineStr">
        <is>
          <t>给梅见道歉-会回购｜2025-07-03｜小红书</t>
        </is>
      </c>
      <c r="G371" t="inlineStr">
        <is>
          <t>小红书</t>
        </is>
      </c>
      <c r="H371" s="2" t="str">
        <f>=HYPERLINK("https://www.xiaohongshu.com/search_result/梅见回购", "https://www.xiaohongshu.com/search_result/梅见回购")</f>
        <v>https://www.xiaohongshu.com/search_result/梅见回购</v>
      </c>
      <c r="I371" s="3">
        <v>46107</v>
      </c>
      <c r="J371" s="4">
        <v>46243</v>
      </c>
      <c r="K371" t="inlineStr">
        <is>
          <t>梅见回购</t>
        </is>
      </c>
      <c r="L371">
        <v>0</v>
      </c>
      <c r="M371" t="inlineStr">
        <is>
          <t>XHS-U0338</t>
        </is>
      </c>
      <c r="N371" t="inlineStr">
        <is>
          <t>公开评论</t>
        </is>
      </c>
      <c r="O371"/>
      <c r="P371" t="inlineStr">
        <is>
          <t>原始:03-26;年份推定·云南；当前为搜索结果页链接，正式入库前需补原笔记链接</t>
        </is>
      </c>
      <c r="Q371" t="inlineStr">
        <is>
          <t>目标品牌</t>
        </is>
      </c>
      <c r="R371"/>
      <c r="S371" t="inlineStr">
        <is>
          <t>XHS-SOC-0260_CHALLENGE_POOL_formal-attempt-0001_AI</t>
        </is>
      </c>
      <c r="T371" t="inlineStr">
        <is>
          <t>饮酒情绪</t>
        </is>
      </c>
      <c r="U371" t="inlineStr">
        <is>
          <t>KEEP</t>
        </is>
      </c>
      <c r="V371" t="inlineStr">
        <is>
          <t>CHALLENGE</t>
        </is>
      </c>
      <c r="W371" t="inlineStr">
        <is>
          <t>可用</t>
        </is>
      </c>
      <c r="X371" t="inlineStr">
        <is>
          <t>品牌语料分析与洞察体系.xlsx#表1：原始语料库!371</t>
        </is>
      </c>
      <c r="Y371" t="inlineStr">
        <is>
          <t>FROZEN_419_V2</t>
        </is>
      </c>
    </row>
    <row r="372" ht="25.5" customHeight="1">
      <c r="A372" t="inlineStr">
        <is>
          <t>XHS-SOC-0010</t>
        </is>
      </c>
      <c r="B372" t="inlineStr">
        <is>
          <t>社交关系与饮酒边界</t>
        </is>
      </c>
      <c r="C372" t="inlineStr">
        <is>
          <t>PRJ001</t>
        </is>
      </c>
      <c r="D372" t="inlineStr">
        <is>
          <t>低度酒</t>
        </is>
      </c>
      <c r="E372" t="inlineStr">
        <is>
          <t>其实你讨厌的不是敬酒，是各种恶心人的服从性测试</t>
        </is>
      </c>
      <c r="F372" t="inlineStr">
        <is>
          <t>我为什么厌恶敬酒这个行为｜2025-02-14｜小红书</t>
        </is>
      </c>
      <c r="G372" t="inlineStr">
        <is>
          <t>小红书</t>
        </is>
      </c>
      <c r="H372" s="2" t="str">
        <f>=HYPERLINK("https://www.xiaohongshu.com/search_result/拒绝酒桌文化", "https://www.xiaohongshu.com/search_result/拒绝酒桌文化")</f>
        <v>https://www.xiaohongshu.com/search_result/拒绝酒桌文化</v>
      </c>
      <c r="I372" s="3">
        <v>46067</v>
      </c>
      <c r="J372" s="4">
        <v>46243</v>
      </c>
      <c r="K372" t="inlineStr">
        <is>
          <t>不想被劝酒</t>
        </is>
      </c>
      <c r="L372">
        <v>5332</v>
      </c>
      <c r="M372" t="inlineStr">
        <is>
          <t>XHS-U0249</t>
        </is>
      </c>
      <c r="N372" t="inlineStr">
        <is>
          <t>公开评论</t>
        </is>
      </c>
      <c r="O372"/>
      <c r="P372" t="inlineStr">
        <is>
          <t>原始:02-14;年份推定·陕西；当前为搜索结果页链接，正式入库前需补原笔记链接</t>
        </is>
      </c>
      <c r="Q372" t="inlineStr">
        <is>
          <t>低度酒品类</t>
        </is>
      </c>
      <c r="R372"/>
      <c r="S372" t="inlineStr">
        <is>
          <t>XHS-SOC-0010_GOLD_人工标注_人工,XHS-SOC-0010_GOLD_attempt-0002_AI_矫正前,XHS-SOC-0010_GOLD_attempt-0006_AI_矫正后</t>
        </is>
      </c>
      <c r="T372" t="inlineStr">
        <is>
          <t>饮酒情绪</t>
        </is>
      </c>
      <c r="U372" t="inlineStr">
        <is>
          <t>KEEP</t>
        </is>
      </c>
      <c r="V372" t="inlineStr">
        <is>
          <t>GOLD</t>
        </is>
      </c>
      <c r="W372" t="inlineStr">
        <is>
          <t>不可用</t>
        </is>
      </c>
      <c r="X372" t="inlineStr">
        <is>
          <t>原始母表#raw_id=XHS-SOC-0010</t>
        </is>
      </c>
      <c r="Y372" t="inlineStr">
        <is>
          <t>FROZEN_419_V2</t>
        </is>
      </c>
    </row>
    <row r="373" ht="25.5" customHeight="1">
      <c r="A373" t="inlineStr">
        <is>
          <t>XHS-SOC-0011</t>
        </is>
      </c>
      <c r="B373" t="inlineStr">
        <is>
          <t>社交关系与饮酒边界</t>
        </is>
      </c>
      <c r="C373" t="inlineStr">
        <is>
          <t>PRJ001</t>
        </is>
      </c>
      <c r="D373" t="inlineStr">
        <is>
          <t>低度酒</t>
        </is>
      </c>
      <c r="E373" t="inlineStr">
        <is>
          <t>烦……到底谁在传承酒桌文化</t>
        </is>
      </c>
      <c r="F373" t="inlineStr">
        <is>
          <t>我为什么厌恶敬酒这个行为｜2025-02-14｜小红书</t>
        </is>
      </c>
      <c r="G373" t="inlineStr">
        <is>
          <t>小红书</t>
        </is>
      </c>
      <c r="H373" s="2" t="str">
        <f>=HYPERLINK("https://www.xiaohongshu.com/search_result/拒绝酒桌文化", "https://www.xiaohongshu.com/search_result/拒绝酒桌文化")</f>
        <v>https://www.xiaohongshu.com/search_result/拒绝酒桌文化</v>
      </c>
      <c r="I373" s="3">
        <v>46068</v>
      </c>
      <c r="J373" s="4">
        <v>46243</v>
      </c>
      <c r="K373" t="inlineStr">
        <is>
          <t>不想被劝酒</t>
        </is>
      </c>
      <c r="L373">
        <v>1207</v>
      </c>
      <c r="M373" t="inlineStr">
        <is>
          <t>XHS-U0250</t>
        </is>
      </c>
      <c r="N373" t="inlineStr">
        <is>
          <t>公开评论</t>
        </is>
      </c>
      <c r="O373"/>
      <c r="P373" t="inlineStr">
        <is>
          <t>原始:02-15;年份推定·四川；当前为搜索结果页链接，正式入库前需补原笔记链接</t>
        </is>
      </c>
      <c r="Q373" t="inlineStr">
        <is>
          <t>低度酒品类</t>
        </is>
      </c>
      <c r="R373"/>
      <c r="S373" t="inlineStr">
        <is>
          <t>XHS-SOC-0011_ANALYSIS_BASELINE_formal-attempt-0001_AI</t>
        </is>
      </c>
      <c r="T373" t="inlineStr">
        <is>
          <t>饮酒情绪</t>
        </is>
      </c>
      <c r="U373" t="inlineStr">
        <is>
          <t>KEEP</t>
        </is>
      </c>
      <c r="V373" t="inlineStr">
        <is>
          <t>ANALYSIS_BASELINE</t>
        </is>
      </c>
      <c r="W373" t="inlineStr">
        <is>
          <t>可用</t>
        </is>
      </c>
      <c r="X373" t="inlineStr">
        <is>
          <t>品牌语料分析与洞察体系.xlsx#表1：原始语料库!373</t>
        </is>
      </c>
      <c r="Y373" t="inlineStr">
        <is>
          <t>FROZEN_419_V2</t>
        </is>
      </c>
    </row>
    <row r="374" ht="25.5" customHeight="1">
      <c r="A374" t="inlineStr">
        <is>
          <t>XHS-SOC-0012</t>
        </is>
      </c>
      <c r="B374" t="inlineStr">
        <is>
          <t>社交关系与饮酒边界</t>
        </is>
      </c>
      <c r="C374" t="inlineStr">
        <is>
          <t>PRJ001</t>
        </is>
      </c>
      <c r="D374" t="inlineStr">
        <is>
          <t>低度酒</t>
        </is>
      </c>
      <c r="E374" t="inlineStr">
        <is>
          <t>敬酒是把自己放在极致低位的行为</t>
        </is>
      </c>
      <c r="F374" t="inlineStr">
        <is>
          <t>我为什么厌恶敬酒这个行为｜2025-02-14｜小红书</t>
        </is>
      </c>
      <c r="G374" t="inlineStr">
        <is>
          <t>小红书</t>
        </is>
      </c>
      <c r="H374" s="2" t="str">
        <f>=HYPERLINK("https://www.xiaohongshu.com/search_result/拒绝酒桌文化", "https://www.xiaohongshu.com/search_result/拒绝酒桌文化")</f>
        <v>https://www.xiaohongshu.com/search_result/拒绝酒桌文化</v>
      </c>
      <c r="I374" s="3">
        <v>46068</v>
      </c>
      <c r="J374" s="4">
        <v>46243</v>
      </c>
      <c r="K374" t="inlineStr">
        <is>
          <t>不想被劝酒</t>
        </is>
      </c>
      <c r="L374">
        <v>406</v>
      </c>
      <c r="M374" t="inlineStr">
        <is>
          <t>XHS-U0251</t>
        </is>
      </c>
      <c r="N374" t="inlineStr">
        <is>
          <t>公开评论</t>
        </is>
      </c>
      <c r="O374"/>
      <c r="P374" t="inlineStr">
        <is>
          <t>原始:02-15;年份推定·山东；当前为搜索结果页链接，正式入库前需补原笔记链接</t>
        </is>
      </c>
      <c r="Q374" t="inlineStr">
        <is>
          <t>低度酒品类</t>
        </is>
      </c>
      <c r="R374"/>
      <c r="S374" t="inlineStr">
        <is>
          <t>XHS-SOC-0012_ANALYSIS_BASELINE_formal-attempt-0001_AI</t>
        </is>
      </c>
      <c r="T374" t="inlineStr">
        <is>
          <t>饮酒情绪</t>
        </is>
      </c>
      <c r="U374" t="inlineStr">
        <is>
          <t>KEEP</t>
        </is>
      </c>
      <c r="V374" t="inlineStr">
        <is>
          <t>ANALYSIS_BASELINE</t>
        </is>
      </c>
      <c r="W374" t="inlineStr">
        <is>
          <t>可用</t>
        </is>
      </c>
      <c r="X374" t="inlineStr">
        <is>
          <t>品牌语料分析与洞察体系.xlsx#表1：原始语料库!374</t>
        </is>
      </c>
      <c r="Y374" t="inlineStr">
        <is>
          <t>FROZEN_419_V2</t>
        </is>
      </c>
    </row>
    <row r="375" ht="25.5" customHeight="1">
      <c r="A375" t="inlineStr">
        <is>
          <t>XHS-SOC-0013</t>
        </is>
      </c>
      <c r="B375" t="inlineStr">
        <is>
          <t>社交关系与饮酒边界</t>
        </is>
      </c>
      <c r="C375" t="inlineStr">
        <is>
          <t>PRJ001</t>
        </is>
      </c>
      <c r="D375" t="inlineStr">
        <is>
          <t>低度酒</t>
        </is>
      </c>
      <c r="E375" t="inlineStr">
        <is>
          <t>每次敬酒说场面话的时候我都会起鸡皮疙瘩，有点恶心反胃</t>
        </is>
      </c>
      <c r="F375" t="inlineStr">
        <is>
          <t>我为什么厌恶敬酒这个行为｜2025-02-14｜小红书</t>
        </is>
      </c>
      <c r="G375" t="inlineStr">
        <is>
          <t>小红书</t>
        </is>
      </c>
      <c r="H375" s="2" t="str">
        <f>=HYPERLINK("https://www.xiaohongshu.com/search_result/拒绝酒桌文化", "https://www.xiaohongshu.com/search_result/拒绝酒桌文化")</f>
        <v>https://www.xiaohongshu.com/search_result/拒绝酒桌文化</v>
      </c>
      <c r="I375" s="3">
        <v>46067</v>
      </c>
      <c r="J375" s="4">
        <v>46243</v>
      </c>
      <c r="K375" t="inlineStr">
        <is>
          <t>不想被劝酒</t>
        </is>
      </c>
      <c r="L375">
        <v>1502</v>
      </c>
      <c r="M375" t="inlineStr">
        <is>
          <t>XHS-U0254</t>
        </is>
      </c>
      <c r="N375" t="inlineStr">
        <is>
          <t>公开评论</t>
        </is>
      </c>
      <c r="O375"/>
      <c r="P375" t="inlineStr">
        <is>
          <t>原始:02-14;年份推定·天津；当前为搜索结果页链接，正式入库前需补原笔记链接</t>
        </is>
      </c>
      <c r="Q375" t="inlineStr">
        <is>
          <t>低度酒品类</t>
        </is>
      </c>
      <c r="R375"/>
      <c r="S375" t="inlineStr">
        <is>
          <t>XHS-SOC-0013_ANALYSIS_BASELINE_formal-attempt-0001_AI</t>
        </is>
      </c>
      <c r="T375" t="inlineStr">
        <is>
          <t>饮酒情绪</t>
        </is>
      </c>
      <c r="U375" t="inlineStr">
        <is>
          <t>KEEP</t>
        </is>
      </c>
      <c r="V375" t="inlineStr">
        <is>
          <t>ANALYSIS_BASELINE</t>
        </is>
      </c>
      <c r="W375" t="inlineStr">
        <is>
          <t>可用</t>
        </is>
      </c>
      <c r="X375" t="inlineStr">
        <is>
          <t>品牌语料分析与洞察体系.xlsx#表1：原始语料库!375</t>
        </is>
      </c>
      <c r="Y375" t="inlineStr">
        <is>
          <t>FROZEN_419_V2</t>
        </is>
      </c>
    </row>
    <row r="376" ht="25.5" customHeight="1">
      <c r="A376" t="inlineStr">
        <is>
          <t>XHS-SOC-0014</t>
        </is>
      </c>
      <c r="B376" t="inlineStr">
        <is>
          <t>社交关系与饮酒边界</t>
        </is>
      </c>
      <c r="C376" t="inlineStr">
        <is>
          <t>PRJ001</t>
        </is>
      </c>
      <c r="D376" t="inlineStr">
        <is>
          <t>低度酒</t>
        </is>
      </c>
      <c r="E376" t="inlineStr">
        <is>
          <t>我就不敬 公司聚餐一桌同事个个都在互相敬酒 我不仅不喝酒我还谁都不敬</t>
        </is>
      </c>
      <c r="F376" t="inlineStr">
        <is>
          <t>我为什么厌恶敬酒这个行为｜2025-02-14｜小红书</t>
        </is>
      </c>
      <c r="G376" t="inlineStr">
        <is>
          <t>小红书</t>
        </is>
      </c>
      <c r="H376" s="2" t="str">
        <f>=HYPERLINK("https://www.xiaohongshu.com/search_result/拒绝酒桌文化", "https://www.xiaohongshu.com/search_result/拒绝酒桌文化")</f>
        <v>https://www.xiaohongshu.com/search_result/拒绝酒桌文化</v>
      </c>
      <c r="I376" s="3">
        <v>46067</v>
      </c>
      <c r="J376" s="4">
        <v>46243</v>
      </c>
      <c r="K376" t="inlineStr">
        <is>
          <t>不想被劝酒</t>
        </is>
      </c>
      <c r="L376">
        <v>155</v>
      </c>
      <c r="M376" t="inlineStr">
        <is>
          <t>XHS-U0257</t>
        </is>
      </c>
      <c r="N376" t="inlineStr">
        <is>
          <t>公开评论</t>
        </is>
      </c>
      <c r="O376"/>
      <c r="P376" t="inlineStr">
        <is>
          <t>原始:02-14;年份推定·云南；当前为搜索结果页链接，正式入库前需补原笔记链接</t>
        </is>
      </c>
      <c r="Q376" t="inlineStr">
        <is>
          <t>低度酒品类</t>
        </is>
      </c>
      <c r="R376"/>
      <c r="S376" t="inlineStr">
        <is>
          <t>XHS-SOC-0014_ANALYSIS_BASELINE_formal-attempt-0001_AI</t>
        </is>
      </c>
      <c r="T376" t="inlineStr">
        <is>
          <t>饮酒情绪</t>
        </is>
      </c>
      <c r="U376" t="inlineStr">
        <is>
          <t>KEEP</t>
        </is>
      </c>
      <c r="V376" t="inlineStr">
        <is>
          <t>ANALYSIS_BASELINE</t>
        </is>
      </c>
      <c r="W376" t="inlineStr">
        <is>
          <t>可用</t>
        </is>
      </c>
      <c r="X376" t="inlineStr">
        <is>
          <t>品牌语料分析与洞察体系.xlsx#表1：原始语料库!376</t>
        </is>
      </c>
      <c r="Y376" t="inlineStr">
        <is>
          <t>FROZEN_419_V2</t>
        </is>
      </c>
    </row>
    <row r="377" ht="25.5" customHeight="1">
      <c r="A377" t="inlineStr">
        <is>
          <t>XHS-SOC-0016</t>
        </is>
      </c>
      <c r="B377" t="inlineStr">
        <is>
          <t>社交关系与饮酒边界</t>
        </is>
      </c>
      <c r="C377" t="inlineStr">
        <is>
          <t>PRJ001</t>
        </is>
      </c>
      <c r="D377" t="inlineStr">
        <is>
          <t>低度酒</t>
        </is>
      </c>
      <c r="E377" t="inlineStr">
        <is>
          <t>我都二十多岁了，依然讨厌过年的酒桌文化</t>
        </is>
      </c>
      <c r="F377" t="inlineStr">
        <is>
          <t>我为什么厌恶敬酒这个行为｜2025-02-14｜小红书</t>
        </is>
      </c>
      <c r="G377" t="inlineStr">
        <is>
          <t>小红书</t>
        </is>
      </c>
      <c r="H377" s="2" t="str">
        <f>=HYPERLINK("https://www.xiaohongshu.com/search_result/拒绝酒桌文化", "https://www.xiaohongshu.com/search_result/拒绝酒桌文化")</f>
        <v>https://www.xiaohongshu.com/search_result/拒绝酒桌文化</v>
      </c>
      <c r="I377" s="3">
        <v>46067</v>
      </c>
      <c r="J377" s="4">
        <v>46243</v>
      </c>
      <c r="K377" t="inlineStr">
        <is>
          <t>不想被劝酒</t>
        </is>
      </c>
      <c r="L377">
        <v>128</v>
      </c>
      <c r="M377" t="inlineStr">
        <is>
          <t>XHS-U0258</t>
        </is>
      </c>
      <c r="N377" t="inlineStr">
        <is>
          <t>公开评论</t>
        </is>
      </c>
      <c r="O377"/>
      <c r="P377" t="inlineStr">
        <is>
          <t>原始:02-14;年份推定·江苏；当前为搜索结果页链接，正式入库前需补原笔记链接</t>
        </is>
      </c>
      <c r="Q377" t="inlineStr">
        <is>
          <t>低度酒品类</t>
        </is>
      </c>
      <c r="R377"/>
      <c r="S377" t="inlineStr">
        <is>
          <t>XHS-SOC-0016_ANALYSIS_BASELINE_formal-attempt-0001_AI</t>
        </is>
      </c>
      <c r="T377" t="inlineStr">
        <is>
          <t>饮酒情绪</t>
        </is>
      </c>
      <c r="U377" t="inlineStr">
        <is>
          <t>KEEP</t>
        </is>
      </c>
      <c r="V377" t="inlineStr">
        <is>
          <t>ANALYSIS_BASELINE</t>
        </is>
      </c>
      <c r="W377" t="inlineStr">
        <is>
          <t>可用</t>
        </is>
      </c>
      <c r="X377" t="inlineStr">
        <is>
          <t>品牌语料分析与洞察体系.xlsx#表1：原始语料库!377</t>
        </is>
      </c>
      <c r="Y377" t="inlineStr">
        <is>
          <t>FROZEN_419_V2</t>
        </is>
      </c>
    </row>
    <row r="378" ht="25.5" customHeight="1">
      <c r="A378" t="inlineStr">
        <is>
          <t>XHS-SOC-0018</t>
        </is>
      </c>
      <c r="B378" t="inlineStr">
        <is>
          <t>社交关系与饮酒边界</t>
        </is>
      </c>
      <c r="C378" t="inlineStr">
        <is>
          <t>PRJ001</t>
        </is>
      </c>
      <c r="D378" t="inlineStr">
        <is>
          <t>低度酒</t>
        </is>
      </c>
      <c r="E378" t="inlineStr">
        <is>
          <t>主要是讨厌毫无意义地伪装自己讨好别人，讨厌非常刻意地人情世故</t>
        </is>
      </c>
      <c r="F378" t="inlineStr">
        <is>
          <t>我为什么厌恶敬酒这个行为｜2025-02-14｜小红书</t>
        </is>
      </c>
      <c r="G378" t="inlineStr">
        <is>
          <t>小红书</t>
        </is>
      </c>
      <c r="H378" s="2" t="str">
        <f>=HYPERLINK("https://www.xiaohongshu.com/search_result/拒绝酒桌文化", "https://www.xiaohongshu.com/search_result/拒绝酒桌文化")</f>
        <v>https://www.xiaohongshu.com/search_result/拒绝酒桌文化</v>
      </c>
      <c r="I378" s="3">
        <v>46067</v>
      </c>
      <c r="J378" s="4">
        <v>46243</v>
      </c>
      <c r="K378" t="inlineStr">
        <is>
          <t>不想被劝酒</t>
        </is>
      </c>
      <c r="L378">
        <v>115</v>
      </c>
      <c r="M378" t="inlineStr">
        <is>
          <t>XHS-U0253</t>
        </is>
      </c>
      <c r="N378" t="inlineStr">
        <is>
          <t>公开评论</t>
        </is>
      </c>
      <c r="O378"/>
      <c r="P378" t="inlineStr">
        <is>
          <t>原始:02-14;年份推定·湖南；当前为搜索结果页链接，正式入库前需补原笔记链接</t>
        </is>
      </c>
      <c r="Q378" t="inlineStr">
        <is>
          <t>低度酒品类</t>
        </is>
      </c>
      <c r="R378"/>
      <c r="S378" t="inlineStr">
        <is>
          <t>XHS-SOC-0018_HOLDOUT_formal-attempt-0001_AI</t>
        </is>
      </c>
      <c r="T378" t="inlineStr">
        <is>
          <t>饮酒情绪</t>
        </is>
      </c>
      <c r="U378" t="inlineStr">
        <is>
          <t>KEEP</t>
        </is>
      </c>
      <c r="V378" t="inlineStr">
        <is>
          <t>HOLDOUT</t>
        </is>
      </c>
      <c r="W378" t="inlineStr">
        <is>
          <t>可用</t>
        </is>
      </c>
      <c r="X378" t="inlineStr">
        <is>
          <t>品牌语料分析与洞察体系.xlsx#表1：原始语料库!378</t>
        </is>
      </c>
      <c r="Y378" t="inlineStr">
        <is>
          <t>FROZEN_419_V2</t>
        </is>
      </c>
    </row>
    <row r="379" ht="25.5" customHeight="1">
      <c r="A379" t="inlineStr">
        <is>
          <t>DY-SOC-0117</t>
        </is>
      </c>
      <c r="B379" t="inlineStr">
        <is>
          <t>社交关系与饮酒边界</t>
        </is>
      </c>
      <c r="C379" t="inlineStr">
        <is>
          <t>PRJ001</t>
        </is>
      </c>
      <c r="D379" t="inlineStr">
        <is>
          <t>低度酒</t>
        </is>
      </c>
      <c r="E379" t="inlineStr">
        <is>
          <t>酒桌文化啥时候能消失</t>
        </is>
      </c>
      <c r="F379" t="inlineStr">
        <is>
          <t>酒桌文化服从性测试｜2025-03-30｜抖音</t>
        </is>
      </c>
      <c r="G379" t="inlineStr">
        <is>
          <t>抖音</t>
        </is>
      </c>
      <c r="H379" s="2" t="str">
        <f>=HYPERLINK("https://www.douyin.com/video/7662369708294154481", "https://www.douyin.com/video/7662369708294154481")</f>
        <v>https://www.douyin.com/video/7662369708294154481</v>
      </c>
      <c r="I379" s="3">
        <v>45746</v>
      </c>
      <c r="J379" s="4">
        <v>46243</v>
      </c>
      <c r="K379" t="inlineStr">
        <is>
          <t>不想被劝酒</t>
        </is>
      </c>
      <c r="L379"/>
      <c r="M379" t="inlineStr">
        <is>
          <t>DY-U0345</t>
        </is>
      </c>
      <c r="N379" t="inlineStr">
        <is>
          <t>公开评论</t>
        </is>
      </c>
      <c r="O379"/>
      <c r="P379" t="inlineStr">
        <is>
          <t>点赞数未成功识别，暂置空，禁止随机补值；当前日期来自视频发布时间，评论发布时间未识别</t>
        </is>
      </c>
      <c r="Q379" t="inlineStr">
        <is>
          <t>低度酒品类</t>
        </is>
      </c>
      <c r="R379"/>
      <c r="S379" t="inlineStr">
        <is>
          <t>DY-SOC-0117_ANALYSIS_BASELINE_formal-attempt-0001_AI</t>
        </is>
      </c>
      <c r="T379" t="inlineStr">
        <is>
          <t>饮酒情绪</t>
        </is>
      </c>
      <c r="U379" t="inlineStr">
        <is>
          <t>KEEP</t>
        </is>
      </c>
      <c r="V379" t="inlineStr">
        <is>
          <t>ANALYSIS_BASELINE</t>
        </is>
      </c>
      <c r="W379" t="inlineStr">
        <is>
          <t>可用</t>
        </is>
      </c>
      <c r="X379" t="inlineStr">
        <is>
          <t>品牌语料分析与洞察体系.xlsx#表1：原始语料库!379</t>
        </is>
      </c>
      <c r="Y379" t="inlineStr">
        <is>
          <t>FROZEN_419_V2</t>
        </is>
      </c>
    </row>
    <row r="380" ht="25.5" customHeight="1">
      <c r="A380" t="inlineStr">
        <is>
          <t>DY-SOC-0118</t>
        </is>
      </c>
      <c r="B380" t="inlineStr">
        <is>
          <t>社交关系与饮酒边界</t>
        </is>
      </c>
      <c r="C380" t="inlineStr">
        <is>
          <t>PRJ001</t>
        </is>
      </c>
      <c r="D380" t="inlineStr">
        <is>
          <t>低度酒</t>
        </is>
      </c>
      <c r="E380" t="inlineStr">
        <is>
          <t>酒桌文化到底意义何在啊又狼狈又伤身</t>
        </is>
      </c>
      <c r="F380" t="inlineStr">
        <is>
          <t>酒桌文化服从性测试｜2025-03-30｜抖音</t>
        </is>
      </c>
      <c r="G380" t="inlineStr">
        <is>
          <t>抖音</t>
        </is>
      </c>
      <c r="H380" s="2" t="str">
        <f>=HYPERLINK("https://www.douyin.com/video/7662369708294154481", "https://www.douyin.com/video/7662369708294154481")</f>
        <v>https://www.douyin.com/video/7662369708294154481</v>
      </c>
      <c r="I380" s="3">
        <v>45746</v>
      </c>
      <c r="J380" s="4">
        <v>46243</v>
      </c>
      <c r="K380" t="inlineStr">
        <is>
          <t>不想被劝酒</t>
        </is>
      </c>
      <c r="L380"/>
      <c r="M380" t="inlineStr">
        <is>
          <t>DY-U0346</t>
        </is>
      </c>
      <c r="N380" t="inlineStr">
        <is>
          <t>公开评论</t>
        </is>
      </c>
      <c r="O380"/>
      <c r="P380" t="inlineStr">
        <is>
          <t>点赞数未成功识别，暂置空，禁止随机补值；当前日期来自视频发布时间，评论发布时间未识别</t>
        </is>
      </c>
      <c r="Q380" t="inlineStr">
        <is>
          <t>低度酒品类</t>
        </is>
      </c>
      <c r="R380"/>
      <c r="S380" t="inlineStr">
        <is>
          <t>DY-SOC-0118_ANALYSIS_BASELINE_formal-attempt-0001_AI</t>
        </is>
      </c>
      <c r="T380" t="inlineStr">
        <is>
          <t>饮酒情绪</t>
        </is>
      </c>
      <c r="U380" t="inlineStr">
        <is>
          <t>KEEP</t>
        </is>
      </c>
      <c r="V380" t="inlineStr">
        <is>
          <t>ANALYSIS_BASELINE</t>
        </is>
      </c>
      <c r="W380" t="inlineStr">
        <is>
          <t>可用</t>
        </is>
      </c>
      <c r="X380" t="inlineStr">
        <is>
          <t>品牌语料分析与洞察体系.xlsx#表1：原始语料库!380</t>
        </is>
      </c>
      <c r="Y380" t="inlineStr">
        <is>
          <t>FROZEN_419_V2</t>
        </is>
      </c>
    </row>
    <row r="381" ht="25.5" customHeight="1">
      <c r="A381" t="inlineStr">
        <is>
          <t>DY-SOC-0119</t>
        </is>
      </c>
      <c r="B381" t="inlineStr">
        <is>
          <t>社交关系与饮酒边界</t>
        </is>
      </c>
      <c r="C381" t="inlineStr">
        <is>
          <t>PRJ001</t>
        </is>
      </c>
      <c r="D381" t="inlineStr">
        <is>
          <t>低度酒</t>
        </is>
      </c>
      <c r="E381" t="inlineStr">
        <is>
          <t>到底谁还在酒桌应酬我感觉身边的老登都开始不喝酒了</t>
        </is>
      </c>
      <c r="F381" t="inlineStr">
        <is>
          <t>酒桌文化服从性测试｜2025-03-30｜抖音</t>
        </is>
      </c>
      <c r="G381" t="inlineStr">
        <is>
          <t>抖音</t>
        </is>
      </c>
      <c r="H381" s="2" t="str">
        <f>=HYPERLINK("https://www.douyin.com/video/7662369708294154481", "https://www.douyin.com/video/7662369708294154481")</f>
        <v>https://www.douyin.com/video/7662369708294154481</v>
      </c>
      <c r="I381" s="3">
        <v>45746</v>
      </c>
      <c r="J381" s="4">
        <v>46243</v>
      </c>
      <c r="K381" t="inlineStr">
        <is>
          <t>不想被劝酒</t>
        </is>
      </c>
      <c r="L381"/>
      <c r="M381" t="inlineStr">
        <is>
          <t>DY-U0349</t>
        </is>
      </c>
      <c r="N381" t="inlineStr">
        <is>
          <t>公开评论</t>
        </is>
      </c>
      <c r="O381"/>
      <c r="P381" t="inlineStr">
        <is>
          <t>点赞数未成功识别，暂置空，禁止随机补值；当前日期来自视频发布时间，评论发布时间未识别</t>
        </is>
      </c>
      <c r="Q381" t="inlineStr">
        <is>
          <t>低度酒品类</t>
        </is>
      </c>
      <c r="R381"/>
      <c r="S381" t="inlineStr">
        <is>
          <t>DY-SOC-0119_ANALYSIS_BASELINE_formal-attempt-0001_AI</t>
        </is>
      </c>
      <c r="T381" t="inlineStr">
        <is>
          <t>饮酒情绪</t>
        </is>
      </c>
      <c r="U381" t="inlineStr">
        <is>
          <t>KEEP</t>
        </is>
      </c>
      <c r="V381" t="inlineStr">
        <is>
          <t>ANALYSIS_BASELINE</t>
        </is>
      </c>
      <c r="W381" t="inlineStr">
        <is>
          <t>可用</t>
        </is>
      </c>
      <c r="X381" t="inlineStr">
        <is>
          <t>品牌语料分析与洞察体系.xlsx#表1：原始语料库!381</t>
        </is>
      </c>
      <c r="Y381" t="inlineStr">
        <is>
          <t>FROZEN_419_V2</t>
        </is>
      </c>
    </row>
    <row r="382" ht="25.5" customHeight="1">
      <c r="A382" t="inlineStr">
        <is>
          <t>DY-SOC-0120</t>
        </is>
      </c>
      <c r="B382" t="inlineStr">
        <is>
          <t>社交关系与饮酒边界</t>
        </is>
      </c>
      <c r="C382" t="inlineStr">
        <is>
          <t>PRJ001</t>
        </is>
      </c>
      <c r="D382" t="inlineStr">
        <is>
          <t>低度酒</t>
        </is>
      </c>
      <c r="E382" t="inlineStr">
        <is>
          <t>怎么才算是是酒桌文化我们领导和同事间聚餐都会喝点酒不过都是各人量力而行</t>
        </is>
      </c>
      <c r="F382" t="inlineStr">
        <is>
          <t>酒桌文化服从性测试｜2025-03-30｜抖音</t>
        </is>
      </c>
      <c r="G382" t="inlineStr">
        <is>
          <t>抖音</t>
        </is>
      </c>
      <c r="H382" s="2" t="str">
        <f>=HYPERLINK("https://www.douyin.com/video/7662369708294154481", "https://www.douyin.com/video/7662369708294154481")</f>
        <v>https://www.douyin.com/video/7662369708294154481</v>
      </c>
      <c r="I382" s="3">
        <v>45746</v>
      </c>
      <c r="J382" s="4">
        <v>46243</v>
      </c>
      <c r="K382" t="inlineStr">
        <is>
          <t>不想被劝酒</t>
        </is>
      </c>
      <c r="L382"/>
      <c r="M382" t="inlineStr">
        <is>
          <t>DY-U0350</t>
        </is>
      </c>
      <c r="N382" t="inlineStr">
        <is>
          <t>公开评论</t>
        </is>
      </c>
      <c r="O382"/>
      <c r="P382" t="inlineStr">
        <is>
          <t>点赞数未成功识别，暂置空，禁止随机补值；当前日期来自视频发布时间，评论发布时间未识别</t>
        </is>
      </c>
      <c r="Q382" t="inlineStr">
        <is>
          <t>低度酒品类</t>
        </is>
      </c>
      <c r="R382"/>
      <c r="S382" t="inlineStr">
        <is>
          <t>DY-SOC-0120_CHALLENGE_POOL_formal-attempt-0001_AI</t>
        </is>
      </c>
      <c r="T382" t="inlineStr">
        <is>
          <t>饮酒情绪</t>
        </is>
      </c>
      <c r="U382" t="inlineStr">
        <is>
          <t>KEEP</t>
        </is>
      </c>
      <c r="V382" t="inlineStr">
        <is>
          <t>CHALLENGE</t>
        </is>
      </c>
      <c r="W382" t="inlineStr">
        <is>
          <t>可用</t>
        </is>
      </c>
      <c r="X382" t="inlineStr">
        <is>
          <t>品牌语料分析与洞察体系.xlsx#表1：原始语料库!382</t>
        </is>
      </c>
      <c r="Y382" t="inlineStr">
        <is>
          <t>FROZEN_419_V2</t>
        </is>
      </c>
    </row>
    <row r="383" ht="25.5" customHeight="1">
      <c r="A383" t="inlineStr">
        <is>
          <t>DY-SOC-0121</t>
        </is>
      </c>
      <c r="B383" t="inlineStr">
        <is>
          <t>社交关系与饮酒边界</t>
        </is>
      </c>
      <c r="C383" t="inlineStr">
        <is>
          <t>PRJ001</t>
        </is>
      </c>
      <c r="D383" t="inlineStr">
        <is>
          <t>低度酒</t>
        </is>
      </c>
      <c r="E383" t="inlineStr">
        <is>
          <t>我干工地的之前是监理现在是施工员到底谁在宣扬酒桌文化</t>
        </is>
      </c>
      <c r="F383" t="inlineStr">
        <is>
          <t>酒桌文化服从性测试｜2025-03-30｜抖音</t>
        </is>
      </c>
      <c r="G383" t="inlineStr">
        <is>
          <t>抖音</t>
        </is>
      </c>
      <c r="H383" s="2" t="str">
        <f>=HYPERLINK("https://www.douyin.com/video/7662369708294154481", "https://www.douyin.com/video/7662369708294154481")</f>
        <v>https://www.douyin.com/video/7662369708294154481</v>
      </c>
      <c r="I383" s="3">
        <v>45746</v>
      </c>
      <c r="J383" s="4">
        <v>46243</v>
      </c>
      <c r="K383" t="inlineStr">
        <is>
          <t>不想被劝酒</t>
        </is>
      </c>
      <c r="L383"/>
      <c r="M383" t="inlineStr">
        <is>
          <t>DY-U0351</t>
        </is>
      </c>
      <c r="N383" t="inlineStr">
        <is>
          <t>公开评论</t>
        </is>
      </c>
      <c r="O383"/>
      <c r="P383" t="inlineStr">
        <is>
          <t>点赞数未成功识别，暂置空，禁止随机补值；当前日期来自视频发布时间，评论发布时间未识别</t>
        </is>
      </c>
      <c r="Q383" t="inlineStr">
        <is>
          <t>低度酒品类</t>
        </is>
      </c>
      <c r="R383"/>
      <c r="S383" t="inlineStr">
        <is>
          <t>DY-SOC-0121_HOLDOUT_formal-attempt-0001_AI</t>
        </is>
      </c>
      <c r="T383" t="inlineStr">
        <is>
          <t>饮酒情绪</t>
        </is>
      </c>
      <c r="U383" t="inlineStr">
        <is>
          <t>KEEP</t>
        </is>
      </c>
      <c r="V383" t="inlineStr">
        <is>
          <t>HOLDOUT</t>
        </is>
      </c>
      <c r="W383" t="inlineStr">
        <is>
          <t>可用</t>
        </is>
      </c>
      <c r="X383" t="inlineStr">
        <is>
          <t>品牌语料分析与洞察体系.xlsx#表1：原始语料库!383</t>
        </is>
      </c>
      <c r="Y383" t="inlineStr">
        <is>
          <t>FROZEN_419_V2</t>
        </is>
      </c>
    </row>
    <row r="384" ht="25.5" customHeight="1">
      <c r="A384" t="inlineStr">
        <is>
          <t>MJ-RAW-0314</t>
        </is>
      </c>
      <c r="B384" t="inlineStr">
        <is>
          <t>消费场景与使用行为</t>
        </is>
      </c>
      <c r="C384" t="inlineStr">
        <is>
          <t>PRJ001</t>
        </is>
      </c>
      <c r="D384" t="inlineStr">
        <is>
          <t>低度酒品类</t>
        </is>
      </c>
      <c r="E384" t="inlineStr">
        <is>
          <t>一到晚上就想喝点</t>
        </is>
      </c>
      <c r="F384" t="inlineStr">
        <is>
          <t>来源：小红书平台用户评论</t>
        </is>
      </c>
      <c r="G384" t="inlineStr">
        <is>
          <t>小红书</t>
        </is>
      </c>
      <c r="H384" s="2" t="str">
        <f>=HYPERLINK("http://数据未收集", "数据未收集")</f>
        <v>数据未收集</v>
      </c>
      <c r="I384" s="3"/>
      <c r="J384" s="4">
        <v>46243</v>
      </c>
      <c r="K384" t="inlineStr">
        <is>
          <t>低度酒 果酒 微醺 评价</t>
        </is>
      </c>
      <c r="L384"/>
      <c r="M384" t="inlineStr">
        <is>
          <t>MJ-XHS-U-026</t>
        </is>
      </c>
      <c r="N384" t="inlineStr">
        <is>
          <t>公开评论</t>
        </is>
      </c>
      <c r="O384"/>
      <c r="P384" t="inlineStr">
        <is>
          <t>【用户场景】下班独饮
【情绪关键词】轻松, 边界感
【表层需求】晚上想喝一点低度酒
【深层情绪】想从工作、学习或情绪压力里松下来
【身份需求】我需要一个不打扰生活节奏的小型放松仪式
【饮酒态度】偶尔小酌
【品牌反馈】未指向具体品牌
【可转化品牌洞察】低度酒可以被定义为“夜晚放松小仪式”，梅见可进入独处小酌场景</t>
        </is>
      </c>
      <c r="Q384" t="inlineStr">
        <is>
          <t>低度酒品类</t>
        </is>
      </c>
      <c r="R384"/>
      <c r="S384"/>
      <c r="T384" t="inlineStr">
        <is>
          <t>场景需求</t>
        </is>
      </c>
      <c r="U384" t="inlineStr">
        <is>
          <t>EXCLUDE</t>
        </is>
      </c>
      <c r="V384" t="inlineStr">
        <is>
          <t>EXCLUDE</t>
        </is>
      </c>
      <c r="W384" t="inlineStr">
        <is>
          <t>不可用</t>
        </is>
      </c>
      <c r="X384" t="inlineStr">
        <is>
          <t>原始母表#raw_id=MJ-RAW-0314</t>
        </is>
      </c>
      <c r="Y384" t="inlineStr">
        <is>
          <t>FROZEN_419_V2</t>
        </is>
      </c>
    </row>
    <row r="385" ht="25.5" customHeight="1">
      <c r="A385" t="inlineStr">
        <is>
          <t>MJ-RAW-0315</t>
        </is>
      </c>
      <c r="B385" t="inlineStr">
        <is>
          <t>消费场景与使用行为</t>
        </is>
      </c>
      <c r="C385" t="inlineStr">
        <is>
          <t>PRJ001</t>
        </is>
      </c>
      <c r="D385" t="inlineStr">
        <is>
          <t>低度酒品类</t>
        </is>
      </c>
      <c r="E385" t="inlineStr">
        <is>
          <t>聚会必备！好喝出片！</t>
        </is>
      </c>
      <c r="F385" t="inlineStr">
        <is>
          <t>来源：小红书平台用户评论</t>
        </is>
      </c>
      <c r="G385" t="inlineStr">
        <is>
          <t>小红书</t>
        </is>
      </c>
      <c r="H385" s="2" t="str">
        <f>=HYPERLINK("http://数据未收集", "数据未收集")</f>
        <v>数据未收集</v>
      </c>
      <c r="I385" s="3"/>
      <c r="J385" s="4">
        <v>46243</v>
      </c>
      <c r="K385" t="inlineStr">
        <is>
          <t>低度酒 果酒 微醺 评价</t>
        </is>
      </c>
      <c r="L385"/>
      <c r="M385" t="inlineStr">
        <is>
          <t>MJ-XHS-U-027</t>
        </is>
      </c>
      <c r="N385" t="inlineStr">
        <is>
          <t>公开评论</t>
        </is>
      </c>
      <c r="O385"/>
      <c r="P385" t="inlineStr">
        <is>
          <t>从EXCLUDE补回，内容有效且不重复</t>
        </is>
      </c>
      <c r="Q385" t="inlineStr">
        <is>
          <t>低度酒品类</t>
        </is>
      </c>
      <c r="R385"/>
      <c r="S385"/>
      <c r="T385" t="inlineStr">
        <is>
          <t>场景需求</t>
        </is>
      </c>
      <c r="U385" t="inlineStr">
        <is>
          <t>KEEP</t>
        </is>
      </c>
      <c r="V385" t="inlineStr">
        <is>
          <t>HOLDOUT</t>
        </is>
      </c>
      <c r="W385" t="inlineStr">
        <is>
          <t>不可用</t>
        </is>
      </c>
      <c r="X385" t="inlineStr">
        <is>
          <t>原始母表#raw_id=MJ-RAW-0315</t>
        </is>
      </c>
      <c r="Y385" t="inlineStr">
        <is>
          <t>FROZEN_419_V2</t>
        </is>
      </c>
    </row>
    <row r="386" ht="25.5" customHeight="1">
      <c r="A386" t="inlineStr">
        <is>
          <t>MJ-RAW-0316</t>
        </is>
      </c>
      <c r="B386" t="inlineStr">
        <is>
          <t>消费场景与使用行为</t>
        </is>
      </c>
      <c r="C386" t="inlineStr">
        <is>
          <t>PRJ001</t>
        </is>
      </c>
      <c r="D386" t="inlineStr">
        <is>
          <t>低度酒品类</t>
        </is>
      </c>
      <c r="E386" t="inlineStr">
        <is>
          <t>酒味越淡越好</t>
        </is>
      </c>
      <c r="F386" t="inlineStr">
        <is>
          <t>来源：小红书平台用户评论</t>
        </is>
      </c>
      <c r="G386" t="inlineStr">
        <is>
          <t>小红书</t>
        </is>
      </c>
      <c r="H386" s="2" t="str">
        <f>=HYPERLINK("http://数据未收集", "数据未收集")</f>
        <v>数据未收集</v>
      </c>
      <c r="I386" s="3"/>
      <c r="J386" s="4">
        <v>46243</v>
      </c>
      <c r="K386" t="inlineStr">
        <is>
          <t>低度酒 果酒 微醺 评价</t>
        </is>
      </c>
      <c r="L386"/>
      <c r="M386" t="inlineStr">
        <is>
          <t>MJ-XHS-U-028</t>
        </is>
      </c>
      <c r="N386" t="inlineStr">
        <is>
          <t>公开评论</t>
        </is>
      </c>
      <c r="O386"/>
      <c r="P386" t="inlineStr">
        <is>
          <t>【用户场景】下班独饮
【情绪关键词】怕失控, 边界感
【表层需求】想尝试酒，但希望没有明显酒味
【深层情绪】害怕辛辣、苦味和传统酒精感带来的不适
【身份需求】我想参与喝酒场景，但不想被酒味压迫
【饮酒态度】接受低度
【品牌反馈】饮料化低度酒更容易被接受
【可转化品牌洞察】梅见若有梅子、草本等风味门槛，需要用加冰、兑饮、佐餐降低入口压力</t>
        </is>
      </c>
      <c r="Q386" t="inlineStr">
        <is>
          <t>低度酒品类</t>
        </is>
      </c>
      <c r="R386"/>
      <c r="S386" t="inlineStr">
        <is>
          <t>MJ-RAW-0316_ANALYSIS_BASELINE_formal-attempt-0001_AI</t>
        </is>
      </c>
      <c r="T386" t="inlineStr">
        <is>
          <t>场景需求</t>
        </is>
      </c>
      <c r="U386" t="inlineStr">
        <is>
          <t>KEEP</t>
        </is>
      </c>
      <c r="V386" t="inlineStr">
        <is>
          <t>ANALYSIS_BASELINE</t>
        </is>
      </c>
      <c r="W386" t="inlineStr">
        <is>
          <t>不可用</t>
        </is>
      </c>
      <c r="X386" t="inlineStr">
        <is>
          <t>品牌语料分析与洞察体系.xlsx#表1：原始语料库!386</t>
        </is>
      </c>
      <c r="Y386" t="inlineStr">
        <is>
          <t>FROZEN_419_V2</t>
        </is>
      </c>
    </row>
    <row r="387" ht="25.5" customHeight="1">
      <c r="A387" t="inlineStr">
        <is>
          <t>MJ-RAW-0317</t>
        </is>
      </c>
      <c r="B387" t="inlineStr">
        <is>
          <t>消费场景与使用行为</t>
        </is>
      </c>
      <c r="C387" t="inlineStr">
        <is>
          <t>PRJ001</t>
        </is>
      </c>
      <c r="D387" t="inlineStr">
        <is>
          <t>RIO锐澳</t>
        </is>
      </c>
      <c r="E387" t="inlineStr">
        <is>
          <t>一瓶微微醺，两瓶微醺</t>
        </is>
      </c>
      <c r="F387" t="inlineStr">
        <is>
          <t>来源：小红书平台用户评论</t>
        </is>
      </c>
      <c r="G387" t="inlineStr">
        <is>
          <t>小红书</t>
        </is>
      </c>
      <c r="H387" s="2" t="str">
        <f>=HYPERLINK("http://数据未收集", "数据未收集")</f>
        <v>数据未收集</v>
      </c>
      <c r="I387" s="3"/>
      <c r="J387" s="4">
        <v>46243</v>
      </c>
      <c r="K387" t="inlineStr">
        <is>
          <t>低度酒 果酒 微醺 评价</t>
        </is>
      </c>
      <c r="L387"/>
      <c r="M387" t="inlineStr">
        <is>
          <t>MJ-XHS-U-029</t>
        </is>
      </c>
      <c r="N387" t="inlineStr">
        <is>
          <t>公开评论</t>
        </is>
      </c>
      <c r="O387"/>
      <c r="P387" t="inlineStr">
        <is>
          <t>与MJ-RAW-0220原始内容完全重复</t>
        </is>
      </c>
      <c r="Q387" t="inlineStr">
        <is>
          <t>低度酒品类</t>
        </is>
      </c>
      <c r="R387"/>
      <c r="S387" t="inlineStr">
        <is>
          <t>MJ-RAW-0317_HOLDOUT_formal-attempt-0001_AI</t>
        </is>
      </c>
      <c r="T387" t="inlineStr">
        <is>
          <t>场景需求</t>
        </is>
      </c>
      <c r="U387" t="inlineStr">
        <is>
          <t>EXCLUDE</t>
        </is>
      </c>
      <c r="V387" t="inlineStr">
        <is>
          <t>EXCLUDE</t>
        </is>
      </c>
      <c r="W387" t="inlineStr">
        <is>
          <t>不可用</t>
        </is>
      </c>
      <c r="X387" t="inlineStr">
        <is>
          <t>品牌语料分析与洞察体系.xlsx#表1：原始语料库!387</t>
        </is>
      </c>
      <c r="Y387" t="inlineStr">
        <is>
          <t>FROZEN_419_V2</t>
        </is>
      </c>
    </row>
    <row r="388" ht="25.5" customHeight="1">
      <c r="A388" t="inlineStr">
        <is>
          <t>MJ-RAW-0318</t>
        </is>
      </c>
      <c r="B388" t="inlineStr">
        <is>
          <t>消费场景与使用行为</t>
        </is>
      </c>
      <c r="C388" t="inlineStr">
        <is>
          <t>PRJ001</t>
        </is>
      </c>
      <c r="D388" t="inlineStr">
        <is>
          <t>低度酒品类</t>
        </is>
      </c>
      <c r="E388" t="inlineStr">
        <is>
          <t>不想喝酒，非常害怕会经历劝酒</t>
        </is>
      </c>
      <c r="F388" t="inlineStr">
        <is>
          <t>来源：小红书平台用户评论</t>
        </is>
      </c>
      <c r="G388" t="inlineStr">
        <is>
          <t>小红书</t>
        </is>
      </c>
      <c r="H388" s="2" t="str">
        <f>=HYPERLINK("http://数据未收集", "数据未收集")</f>
        <v>数据未收集</v>
      </c>
      <c r="I388" s="3"/>
      <c r="J388" s="4">
        <v>46243</v>
      </c>
      <c r="K388" t="inlineStr">
        <is>
          <t>低度酒 果酒 微醺 评价</t>
        </is>
      </c>
      <c r="L388"/>
      <c r="M388" t="inlineStr">
        <is>
          <t>MJ-XHS-U-030</t>
        </is>
      </c>
      <c r="N388" t="inlineStr">
        <is>
          <t>公开评论</t>
        </is>
      </c>
      <c r="O388"/>
      <c r="P388" t="inlineStr">
        <is>
          <t>与MJ-RAW-0224原始内容完全重复</t>
        </is>
      </c>
      <c r="Q388" t="inlineStr">
        <is>
          <t>低度酒品类</t>
        </is>
      </c>
      <c r="R388"/>
      <c r="S388" t="inlineStr">
        <is>
          <t>MJ-RAW-0318_HOLDOUT_formal-attempt-0001_AI</t>
        </is>
      </c>
      <c r="T388" t="inlineStr">
        <is>
          <t>场景需求</t>
        </is>
      </c>
      <c r="U388" t="inlineStr">
        <is>
          <t>EXCLUDE</t>
        </is>
      </c>
      <c r="V388" t="inlineStr">
        <is>
          <t>EXCLUDE</t>
        </is>
      </c>
      <c r="W388" t="inlineStr">
        <is>
          <t>不可用</t>
        </is>
      </c>
      <c r="X388" t="inlineStr">
        <is>
          <t>品牌语料分析与洞察体系.xlsx#表1：原始语料库!388</t>
        </is>
      </c>
      <c r="Y388" t="inlineStr">
        <is>
          <t>FROZEN_419_V2</t>
        </is>
      </c>
    </row>
    <row r="389" ht="25.5" customHeight="1">
      <c r="A389" t="inlineStr">
        <is>
          <t>MJ-RAW-0319</t>
        </is>
      </c>
      <c r="B389" t="inlineStr">
        <is>
          <t>消费场景与使用行为</t>
        </is>
      </c>
      <c r="C389" t="inlineStr">
        <is>
          <t>PRJ001</t>
        </is>
      </c>
      <c r="D389" t="inlineStr">
        <is>
          <t>低度酒品类</t>
        </is>
      </c>
      <c r="E389" t="inlineStr">
        <is>
          <t>每杯酒都超量……一般人喝完一两杯……</t>
        </is>
      </c>
      <c r="F389" t="inlineStr">
        <is>
          <t>来源：抖音平台用户评论</t>
        </is>
      </c>
      <c r="G389" t="inlineStr">
        <is>
          <t>抖音</t>
        </is>
      </c>
      <c r="H389" s="2" t="str">
        <f>=HYPERLINK("http://数据未收集", "数据未收集")</f>
        <v>数据未收集</v>
      </c>
      <c r="I389" s="3"/>
      <c r="J389" s="4">
        <v>46243</v>
      </c>
      <c r="K389" t="inlineStr">
        <is>
          <t>低度酒 果酒 微醺 评价</t>
        </is>
      </c>
      <c r="L389"/>
      <c r="M389" t="inlineStr">
        <is>
          <t>MJ-DY-U-020</t>
        </is>
      </c>
      <c r="N389" t="inlineStr">
        <is>
          <t>公开评论</t>
        </is>
      </c>
      <c r="O389"/>
      <c r="P389" t="inlineStr">
        <is>
          <t>【用户场景】朋友聚餐
【情绪关键词】怕失控, 轻松
【表层需求】想要便宜、方便、能拍照的即时调酒
【深层情绪】喜欢新玩法，但担心低度被喝成高度
【身份需求】我想玩得轻松，但不想失去分寸
【饮酒态度】接受低度
【品牌反馈】便利店调酒有即时组装吸引力，也有超量风险
【可转化品牌洞察】梅见可以做可控调饮建议，明确比例和适量提醒，避免“低度误饮成高度”</t>
        </is>
      </c>
      <c r="Q389" t="inlineStr">
        <is>
          <t>低度酒品类</t>
        </is>
      </c>
      <c r="R389"/>
      <c r="S389" t="inlineStr">
        <is>
          <t>MJ-RAW-0319_CHALLENGE_POOL_formal-attempt-0001_AI</t>
        </is>
      </c>
      <c r="T389" t="inlineStr">
        <is>
          <t>场景需求</t>
        </is>
      </c>
      <c r="U389" t="inlineStr">
        <is>
          <t>KEEP</t>
        </is>
      </c>
      <c r="V389" t="inlineStr">
        <is>
          <t>CHALLENGE</t>
        </is>
      </c>
      <c r="W389" t="inlineStr">
        <is>
          <t>不可用</t>
        </is>
      </c>
      <c r="X389" t="inlineStr">
        <is>
          <t>品牌语料分析与洞察体系.xlsx#表1：原始语料库!389</t>
        </is>
      </c>
      <c r="Y389" t="inlineStr">
        <is>
          <t>FROZEN_419_V2</t>
        </is>
      </c>
    </row>
    <row r="390" ht="25.5" customHeight="1">
      <c r="A390" t="inlineStr">
        <is>
          <t>MJ-RAW-0320</t>
        </is>
      </c>
      <c r="B390" t="inlineStr">
        <is>
          <t>消费场景与使用行为</t>
        </is>
      </c>
      <c r="C390" t="inlineStr">
        <is>
          <t>PRJ001</t>
        </is>
      </c>
      <c r="D390" t="inlineStr">
        <is>
          <t>低度酒品类</t>
        </is>
      </c>
      <c r="E390" t="inlineStr">
        <is>
          <t>吃点下酒菜，看喜欢的电视剧……很舒服很解压</t>
        </is>
      </c>
      <c r="F390" t="inlineStr">
        <is>
          <t>来源：抖音平台用户评论</t>
        </is>
      </c>
      <c r="G390" t="inlineStr">
        <is>
          <t>抖音</t>
        </is>
      </c>
      <c r="H390" s="2" t="str">
        <f>=HYPERLINK("http://数据未收集", "数据未收集")</f>
        <v>数据未收集</v>
      </c>
      <c r="I390" s="3"/>
      <c r="J390" s="4">
        <v>46243</v>
      </c>
      <c r="K390" t="inlineStr">
        <is>
          <t>低度酒 果酒 微醺 评价</t>
        </is>
      </c>
      <c r="L390"/>
      <c r="M390" t="inlineStr">
        <is>
          <t>MJ-DY-U-021</t>
        </is>
      </c>
      <c r="N390" t="inlineStr">
        <is>
          <t>公开评论</t>
        </is>
      </c>
      <c r="O390"/>
      <c r="P390" t="inlineStr">
        <is>
          <t>【用户场景】下班独饮
【情绪关键词】轻松, 审美
【表层需求】想一个人边吃边喝边放松
【深层情绪】酒不是社交工具，而是让日常变松弛的情绪开关
【身份需求】我可以独处，也可以把晚上过得有一点仪式感
【饮酒态度】偶尔小酌
【品牌反馈】低度酒适合独处、追剧、下酒菜
【可转化品牌洞察】梅见可进入“一人食/追剧/下酒菜”的日常小酌场景</t>
        </is>
      </c>
      <c r="Q390" t="inlineStr">
        <is>
          <t>低度酒品类</t>
        </is>
      </c>
      <c r="R390"/>
      <c r="S390" t="inlineStr">
        <is>
          <t>MJ-RAW-0320_CHALLENGE_POOL_formal-attempt-0001_AI</t>
        </is>
      </c>
      <c r="T390" t="inlineStr">
        <is>
          <t>场景需求</t>
        </is>
      </c>
      <c r="U390" t="inlineStr">
        <is>
          <t>KEEP</t>
        </is>
      </c>
      <c r="V390" t="inlineStr">
        <is>
          <t>CHALLENGE</t>
        </is>
      </c>
      <c r="W390" t="inlineStr">
        <is>
          <t>不可用</t>
        </is>
      </c>
      <c r="X390" t="inlineStr">
        <is>
          <t>品牌语料分析与洞察体系.xlsx#表1：原始语料库!390</t>
        </is>
      </c>
      <c r="Y390" t="inlineStr">
        <is>
          <t>FROZEN_419_V2</t>
        </is>
      </c>
    </row>
    <row r="391" ht="25.5" customHeight="1">
      <c r="A391" t="inlineStr">
        <is>
          <t>MJ-RAW-0321</t>
        </is>
      </c>
      <c r="B391" t="inlineStr">
        <is>
          <t>消费场景与使用行为</t>
        </is>
      </c>
      <c r="C391" t="inlineStr">
        <is>
          <t>PRJ001</t>
        </is>
      </c>
      <c r="D391" t="inlineStr">
        <is>
          <t>低度酒品类</t>
        </is>
      </c>
      <c r="E391" t="inlineStr">
        <is>
          <t>我们三真幸福</t>
        </is>
      </c>
      <c r="F391" t="inlineStr">
        <is>
          <t>来源：抖音平台用户评论</t>
        </is>
      </c>
      <c r="G391" t="inlineStr">
        <is>
          <t>抖音</t>
        </is>
      </c>
      <c r="H391" s="2" t="str">
        <f>=HYPERLINK("http://数据未收集", "数据未收集")</f>
        <v>数据未收集</v>
      </c>
      <c r="I391" s="3"/>
      <c r="J391" s="4">
        <v>46243</v>
      </c>
      <c r="K391" t="inlineStr">
        <is>
          <t>低度酒 果酒 微醺 评价</t>
        </is>
      </c>
      <c r="L391"/>
      <c r="M391" t="inlineStr">
        <is>
          <t>MJ-DY-U-022</t>
        </is>
      </c>
      <c r="N391" t="inlineStr">
        <is>
          <t>公开评论</t>
        </is>
      </c>
      <c r="O391"/>
      <c r="P391" t="inlineStr">
        <is>
          <t>【用户场景】女生局
【情绪关键词】轻松, 想合群, 体面
【表层需求】想在家里制造轻松微醺氛围
【深层情绪】关系不需要正式餐厅，也可以通过小酒和零食靠近
【身份需求】我想和亲近的人拥有轻松、好玩的共同体验
【饮酒态度】接受低度
【品牌反馈】低度酒适合居家约会和朋友小聚
【可转化品牌洞察】梅见可从餐桌酒扩展到家庭小酒馆、小游戏、零食搭配场景</t>
        </is>
      </c>
      <c r="Q391" t="inlineStr">
        <is>
          <t>低度酒品类</t>
        </is>
      </c>
      <c r="R391"/>
      <c r="S391"/>
      <c r="T391" t="inlineStr">
        <is>
          <t>场景需求</t>
        </is>
      </c>
      <c r="U391" t="inlineStr">
        <is>
          <t>EXCLUDE</t>
        </is>
      </c>
      <c r="V391" t="inlineStr">
        <is>
          <t>EXCLUDE</t>
        </is>
      </c>
      <c r="W391" t="inlineStr">
        <is>
          <t>不可用</t>
        </is>
      </c>
      <c r="X391" t="inlineStr">
        <is>
          <t>原始母表#raw_id=MJ-RAW-0321</t>
        </is>
      </c>
      <c r="Y391" t="inlineStr">
        <is>
          <t>FROZEN_419_V2</t>
        </is>
      </c>
    </row>
    <row r="392" ht="25.5" customHeight="1">
      <c r="A392" t="inlineStr">
        <is>
          <t>MJ-RAW-0322</t>
        </is>
      </c>
      <c r="B392" t="inlineStr">
        <is>
          <t>消费场景与使用行为</t>
        </is>
      </c>
      <c r="C392" t="inlineStr">
        <is>
          <t>PRJ001</t>
        </is>
      </c>
      <c r="D392" t="inlineStr">
        <is>
          <t>低度酒品类</t>
        </is>
      </c>
      <c r="E392" t="inlineStr">
        <is>
          <t>酒量不好的人的福利来啦</t>
        </is>
      </c>
      <c r="F392" t="inlineStr">
        <is>
          <t>来源：抖音平台用户评论</t>
        </is>
      </c>
      <c r="G392" t="inlineStr">
        <is>
          <t>抖音</t>
        </is>
      </c>
      <c r="H392" s="2" t="str">
        <f>=HYPERLINK("http://数据未收集", "数据未收集")</f>
        <v>数据未收集</v>
      </c>
      <c r="I392" s="3"/>
      <c r="J392" s="4">
        <v>46243</v>
      </c>
      <c r="K392" t="inlineStr">
        <is>
          <t>低度酒 果酒 微醺 评价</t>
        </is>
      </c>
      <c r="L392"/>
      <c r="M392" t="inlineStr">
        <is>
          <t>MJ-DY-U-023</t>
        </is>
      </c>
      <c r="N392" t="inlineStr">
        <is>
          <t>公开评论</t>
        </is>
      </c>
      <c r="O392"/>
      <c r="P392" t="inlineStr">
        <is>
          <t>与MJ-RAW-0227原始内容完全重复</t>
        </is>
      </c>
      <c r="Q392" t="inlineStr">
        <is>
          <t>低度酒品类</t>
        </is>
      </c>
      <c r="R392"/>
      <c r="S392" t="inlineStr">
        <is>
          <t>MJ-RAW-0322_GOLD_人工标注_人工,MJ-RAW-0322_GOLD_attempt-0002_AI_矫正前,MJ-RAW-0322_GOLD_attempt-0006_AI_矫正后</t>
        </is>
      </c>
      <c r="T392" t="inlineStr">
        <is>
          <t>场景需求</t>
        </is>
      </c>
      <c r="U392" t="inlineStr">
        <is>
          <t>EXCLUDE</t>
        </is>
      </c>
      <c r="V392" t="inlineStr">
        <is>
          <t>EXCLUDE</t>
        </is>
      </c>
      <c r="W392" t="inlineStr">
        <is>
          <t>不可用</t>
        </is>
      </c>
      <c r="X392" t="inlineStr">
        <is>
          <t>原始母表#raw_id=MJ-RAW-0322</t>
        </is>
      </c>
      <c r="Y392" t="inlineStr">
        <is>
          <t>FROZEN_419_V2</t>
        </is>
      </c>
    </row>
    <row r="393" ht="25.5" customHeight="1">
      <c r="A393" t="inlineStr">
        <is>
          <t>MJ-RAW-0323</t>
        </is>
      </c>
      <c r="B393" t="inlineStr">
        <is>
          <t>消费场景与使用行为</t>
        </is>
      </c>
      <c r="C393" t="inlineStr">
        <is>
          <t>PRJ001</t>
        </is>
      </c>
      <c r="D393" t="inlineStr">
        <is>
          <t>低度酒品类</t>
        </is>
      </c>
      <c r="E393" t="inlineStr">
        <is>
          <t>梅子酒60ml，乌龙茶20ml……</t>
        </is>
      </c>
      <c r="F393" t="inlineStr">
        <is>
          <t>来源：抖音平台用户评论</t>
        </is>
      </c>
      <c r="G393" t="inlineStr">
        <is>
          <t>抖音</t>
        </is>
      </c>
      <c r="H393" s="2" t="str">
        <f>=HYPERLINK("http://数据未收集", "数据未收集")</f>
        <v>数据未收集</v>
      </c>
      <c r="I393" s="3"/>
      <c r="J393" s="4">
        <v>46243</v>
      </c>
      <c r="K393" t="inlineStr">
        <is>
          <t>低度酒 果酒 微醺 评价</t>
        </is>
      </c>
      <c r="L393"/>
      <c r="M393" t="inlineStr">
        <is>
          <t>MJ-DY-U-024</t>
        </is>
      </c>
      <c r="N393" t="inlineStr">
        <is>
          <t>公开评论</t>
        </is>
      </c>
      <c r="O393"/>
      <c r="P393" t="inlineStr">
        <is>
          <t>【用户场景】下班独饮
【情绪关键词】轻松, 审美, 想合群
【表层需求】想把低度酒调成更好喝的饮料
【深层情绪】用户不只是喝酒，也想参与配方创作和分享
【身份需求】我会做自己的喝法，也愿意把它分享出去
【饮酒态度】喜欢微醺
【品牌反馈】梅子酒适合做饮料基底
【可转化品牌洞察】梅见可以做“调饮说明书”或“喝法生成器”，让用户从被动尝试变成主动创造</t>
        </is>
      </c>
      <c r="Q393" t="inlineStr">
        <is>
          <t>低度酒品类</t>
        </is>
      </c>
      <c r="R393"/>
      <c r="S393" t="inlineStr">
        <is>
          <t>MJ-RAW-0323_HOLDOUT_formal-attempt-0001_AI</t>
        </is>
      </c>
      <c r="T393" t="inlineStr">
        <is>
          <t>场景需求</t>
        </is>
      </c>
      <c r="U393" t="inlineStr">
        <is>
          <t>KEEP</t>
        </is>
      </c>
      <c r="V393" t="inlineStr">
        <is>
          <t>HOLDOUT</t>
        </is>
      </c>
      <c r="W393" t="inlineStr">
        <is>
          <t>不可用</t>
        </is>
      </c>
      <c r="X393" t="inlineStr">
        <is>
          <t>品牌语料分析与洞察体系.xlsx#表1：原始语料库!393</t>
        </is>
      </c>
      <c r="Y393" t="inlineStr">
        <is>
          <t>FROZEN_419_V2</t>
        </is>
      </c>
    </row>
    <row r="394" ht="25.5" customHeight="1">
      <c r="A394" t="inlineStr">
        <is>
          <t>DY-SOC-0122</t>
        </is>
      </c>
      <c r="B394" t="inlineStr">
        <is>
          <t>消费场景与使用行为</t>
        </is>
      </c>
      <c r="C394" t="inlineStr">
        <is>
          <t>PRJ001</t>
        </is>
      </c>
      <c r="D394" t="inlineStr">
        <is>
          <t>梅见</t>
        </is>
      </c>
      <c r="E394" t="inlineStr">
        <is>
          <t>昨天晚上朋友聚会喝的这个安娜王妃葡萄酒香老浓郁</t>
        </is>
      </c>
      <c r="F394" t="inlineStr">
        <is>
          <t>超市小甜水上头测评｜2025-03-14｜抖音</t>
        </is>
      </c>
      <c r="G394" t="inlineStr">
        <is>
          <t>抖音</t>
        </is>
      </c>
      <c r="H394" s="2" t="str">
        <f>=HYPERLINK("https://www.douyin.com/video/7633357452931807473", "https://www.douyin.com/video/7633357452931807473")</f>
        <v>https://www.douyin.com/video/7633357452931807473</v>
      </c>
      <c r="I394" s="3">
        <v>45730</v>
      </c>
      <c r="J394" s="4">
        <v>46243</v>
      </c>
      <c r="K394" t="inlineStr">
        <is>
          <t>梅见难喝</t>
        </is>
      </c>
      <c r="L394"/>
      <c r="M394" t="inlineStr">
        <is>
          <t>DY-U0090</t>
        </is>
      </c>
      <c r="N394" t="inlineStr">
        <is>
          <t>公开评论</t>
        </is>
      </c>
      <c r="O394"/>
      <c r="P394" t="inlineStr">
        <is>
          <t>点赞数未成功识别，暂置空，禁止随机补值；当前日期来自视频发布时间，评论发布时间未识别</t>
        </is>
      </c>
      <c r="Q394" t="inlineStr">
        <is>
          <t>目标品牌</t>
        </is>
      </c>
      <c r="R394"/>
      <c r="S394" t="inlineStr">
        <is>
          <t>DY-SOC-0122_ANALYSIS_BASELINE_formal-attempt-0001_AI</t>
        </is>
      </c>
      <c r="T394" t="inlineStr">
        <is>
          <t>场景需求</t>
        </is>
      </c>
      <c r="U394" t="inlineStr">
        <is>
          <t>KEEP</t>
        </is>
      </c>
      <c r="V394" t="inlineStr">
        <is>
          <t>ANALYSIS_BASELINE</t>
        </is>
      </c>
      <c r="W394" t="inlineStr">
        <is>
          <t>可用</t>
        </is>
      </c>
      <c r="X394" t="inlineStr">
        <is>
          <t>品牌语料分析与洞察体系.xlsx#表1：原始语料库!394</t>
        </is>
      </c>
      <c r="Y394" t="inlineStr">
        <is>
          <t>FROZEN_419_V2</t>
        </is>
      </c>
    </row>
    <row r="395" ht="25.5" customHeight="1">
      <c r="A395" t="inlineStr">
        <is>
          <t>DY-SOC-0123</t>
        </is>
      </c>
      <c r="B395" t="inlineStr">
        <is>
          <t>消费场景与使用行为</t>
        </is>
      </c>
      <c r="C395" t="inlineStr">
        <is>
          <t>PRJ001</t>
        </is>
      </c>
      <c r="D395" t="inlineStr">
        <is>
          <t>梅见</t>
        </is>
      </c>
      <c r="E395" t="inlineStr">
        <is>
          <t>[笑掉牙]闺蜜一起嗨</t>
        </is>
      </c>
      <c r="F395" t="inlineStr">
        <is>
          <t>如果幸福是吃顿小火锅｜2025-07-31｜抖音</t>
        </is>
      </c>
      <c r="G395" t="inlineStr">
        <is>
          <t>抖音</t>
        </is>
      </c>
      <c r="H395" s="2" t="str">
        <f>=HYPERLINK("https://www.douyin.com/video/7668613884207135978", "https://www.douyin.com/video/7668613884207135978")</f>
        <v>https://www.douyin.com/video/7668613884207135978</v>
      </c>
      <c r="I395" s="3">
        <v>45869</v>
      </c>
      <c r="J395" s="4">
        <v>46243</v>
      </c>
      <c r="K395" t="inlineStr">
        <is>
          <t>梅见火锅①</t>
        </is>
      </c>
      <c r="L395"/>
      <c r="M395" t="inlineStr">
        <is>
          <t>DY-U0205</t>
        </is>
      </c>
      <c r="N395" t="inlineStr">
        <is>
          <t>公开评论</t>
        </is>
      </c>
      <c r="O395"/>
      <c r="P395" t="inlineStr">
        <is>
          <t>点赞数未成功识别，暂置空，禁止随机补值；当前日期来自视频发布时间，评论发布时间未识别</t>
        </is>
      </c>
      <c r="Q395" t="inlineStr">
        <is>
          <t>目标品牌</t>
        </is>
      </c>
      <c r="R395"/>
      <c r="S395"/>
      <c r="T395" t="inlineStr">
        <is>
          <t>场景需求</t>
        </is>
      </c>
      <c r="U395" t="inlineStr">
        <is>
          <t>EXCLUDE</t>
        </is>
      </c>
      <c r="V395" t="inlineStr">
        <is>
          <t>EXCLUDE</t>
        </is>
      </c>
      <c r="W395" t="inlineStr">
        <is>
          <t>不可用</t>
        </is>
      </c>
      <c r="X395" t="inlineStr">
        <is>
          <t>原始母表#raw_id=DY-SOC-0123</t>
        </is>
      </c>
      <c r="Y395" t="inlineStr">
        <is>
          <t>FROZEN_419_V2</t>
        </is>
      </c>
    </row>
    <row r="396" ht="25.5" customHeight="1">
      <c r="A396" t="inlineStr">
        <is>
          <t>DY-SOC-0124</t>
        </is>
      </c>
      <c r="B396" t="inlineStr">
        <is>
          <t>消费场景与使用行为</t>
        </is>
      </c>
      <c r="C396" t="inlineStr">
        <is>
          <t>PRJ001</t>
        </is>
      </c>
      <c r="D396" t="inlineStr">
        <is>
          <t>梅见</t>
        </is>
      </c>
      <c r="E396" t="inlineStr">
        <is>
          <t>梅见配火锅真的绝了解辣又好喝</t>
        </is>
      </c>
      <c r="F396" t="inlineStr">
        <is>
          <t>如果幸福是吃顿小火锅｜2025-07-31｜抖音</t>
        </is>
      </c>
      <c r="G396" t="inlineStr">
        <is>
          <t>抖音</t>
        </is>
      </c>
      <c r="H396" s="2" t="str">
        <f>=HYPERLINK("https://www.douyin.com/video/7668613884207135978", "https://www.douyin.com/video/7668613884207135978")</f>
        <v>https://www.douyin.com/video/7668613884207135978</v>
      </c>
      <c r="I396" s="3">
        <v>45869</v>
      </c>
      <c r="J396" s="4">
        <v>46243</v>
      </c>
      <c r="K396" t="inlineStr">
        <is>
          <t>梅见火锅①</t>
        </is>
      </c>
      <c r="L396"/>
      <c r="M396" t="inlineStr">
        <is>
          <t>DY-U0208</t>
        </is>
      </c>
      <c r="N396" t="inlineStr">
        <is>
          <t>公开评论</t>
        </is>
      </c>
      <c r="O396"/>
      <c r="P396" t="inlineStr">
        <is>
          <t>点赞数未成功识别，暂置空，禁止随机补值</t>
        </is>
      </c>
      <c r="Q396" t="inlineStr">
        <is>
          <t>目标品牌</t>
        </is>
      </c>
      <c r="R396"/>
      <c r="S396" t="inlineStr">
        <is>
          <t>DY-SOC-0124_ANALYSIS_BASELINE_formal-attempt-0001_AI</t>
        </is>
      </c>
      <c r="T396" t="inlineStr">
        <is>
          <t>场景需求</t>
        </is>
      </c>
      <c r="U396" t="inlineStr">
        <is>
          <t>KEEP</t>
        </is>
      </c>
      <c r="V396" t="inlineStr">
        <is>
          <t>ANALYSIS_BASELINE</t>
        </is>
      </c>
      <c r="W396" t="inlineStr">
        <is>
          <t>可用</t>
        </is>
      </c>
      <c r="X396" t="inlineStr">
        <is>
          <t>品牌语料分析与洞察体系.xlsx#表1：原始语料库!396</t>
        </is>
      </c>
      <c r="Y396" t="inlineStr">
        <is>
          <t>FROZEN_419_V2</t>
        </is>
      </c>
    </row>
    <row r="397" ht="25.5" customHeight="1">
      <c r="A397" t="inlineStr">
        <is>
          <t>DY-SOC-0125</t>
        </is>
      </c>
      <c r="B397" t="inlineStr">
        <is>
          <t>消费场景与使用行为</t>
        </is>
      </c>
      <c r="C397" t="inlineStr">
        <is>
          <t>PRJ001</t>
        </is>
      </c>
      <c r="D397" t="inlineStr">
        <is>
          <t>梅见</t>
        </is>
      </c>
      <c r="E397" t="inlineStr">
        <is>
          <t>夏天火锅好朋友谁懂这个组合的含金量</t>
        </is>
      </c>
      <c r="F397" t="inlineStr">
        <is>
          <t>周末茉莉火锅梅见｜2025-07-26｜抖音</t>
        </is>
      </c>
      <c r="G397" t="inlineStr">
        <is>
          <t>抖音</t>
        </is>
      </c>
      <c r="H397" s="2" t="str">
        <f>=HYPERLINK("https://www.douyin.com/video/7596615466261436386", "https://www.douyin.com/video/7596615466261436386")</f>
        <v>https://www.douyin.com/video/7596615466261436386</v>
      </c>
      <c r="I397" s="3">
        <v>45864</v>
      </c>
      <c r="J397" s="4">
        <v>46243</v>
      </c>
      <c r="K397" t="inlineStr">
        <is>
          <t>梅见火锅②</t>
        </is>
      </c>
      <c r="L397"/>
      <c r="M397" t="inlineStr">
        <is>
          <t>DY-U0216</t>
        </is>
      </c>
      <c r="N397" t="inlineStr">
        <is>
          <t>公开评论</t>
        </is>
      </c>
      <c r="O397"/>
      <c r="P397" t="inlineStr">
        <is>
          <t>点赞数未成功识别，暂置空，禁止随机补值；当前日期来自视频发布时间，评论发布时间未识别</t>
        </is>
      </c>
      <c r="Q397" t="inlineStr">
        <is>
          <t>目标品牌</t>
        </is>
      </c>
      <c r="R397"/>
      <c r="S397" t="inlineStr">
        <is>
          <t>DY-SOC-0125_ANALYSIS_BASELINE_formal-attempt-0001_AI</t>
        </is>
      </c>
      <c r="T397" t="inlineStr">
        <is>
          <t>场景需求</t>
        </is>
      </c>
      <c r="U397" t="inlineStr">
        <is>
          <t>KEEP</t>
        </is>
      </c>
      <c r="V397" t="inlineStr">
        <is>
          <t>ANALYSIS_BASELINE</t>
        </is>
      </c>
      <c r="W397" t="inlineStr">
        <is>
          <t>可用</t>
        </is>
      </c>
      <c r="X397" t="inlineStr">
        <is>
          <t>品牌语料分析与洞察体系.xlsx#表1：原始语料库!397</t>
        </is>
      </c>
      <c r="Y397" t="inlineStr">
        <is>
          <t>FROZEN_419_V2</t>
        </is>
      </c>
    </row>
    <row r="398" ht="25.5" customHeight="1">
      <c r="A398" t="inlineStr">
        <is>
          <t>DY-SOC-0126</t>
        </is>
      </c>
      <c r="B398" t="inlineStr">
        <is>
          <t>消费场景与使用行为</t>
        </is>
      </c>
      <c r="C398" t="inlineStr">
        <is>
          <t>PRJ001</t>
        </is>
      </c>
      <c r="D398" t="inlineStr">
        <is>
          <t>梅见</t>
        </is>
      </c>
      <c r="E398" t="inlineStr">
        <is>
          <t>氛围感拉满的周末聚餐</t>
        </is>
      </c>
      <c r="F398" t="inlineStr">
        <is>
          <t>周末茉莉火锅梅见｜2025-07-26｜抖音</t>
        </is>
      </c>
      <c r="G398" t="inlineStr">
        <is>
          <t>抖音</t>
        </is>
      </c>
      <c r="H398" s="2" t="str">
        <f>=HYPERLINK("https://www.douyin.com/video/7596615466261436386", "https://www.douyin.com/video/7596615466261436386")</f>
        <v>https://www.douyin.com/video/7596615466261436386</v>
      </c>
      <c r="I398" s="3">
        <v>45864</v>
      </c>
      <c r="J398" s="4">
        <v>46243</v>
      </c>
      <c r="K398" t="inlineStr">
        <is>
          <t>梅见火锅②</t>
        </is>
      </c>
      <c r="L398"/>
      <c r="M398" t="inlineStr">
        <is>
          <t>DY-U0217</t>
        </is>
      </c>
      <c r="N398" t="inlineStr">
        <is>
          <t>公开评论</t>
        </is>
      </c>
      <c r="O398"/>
      <c r="P398" t="inlineStr">
        <is>
          <t>从EXCLUDE补回，内容有效且不重复</t>
        </is>
      </c>
      <c r="Q398" t="inlineStr">
        <is>
          <t>目标品牌</t>
        </is>
      </c>
      <c r="R398"/>
      <c r="S398"/>
      <c r="T398" t="inlineStr">
        <is>
          <t>场景需求</t>
        </is>
      </c>
      <c r="U398" t="inlineStr">
        <is>
          <t>KEEP</t>
        </is>
      </c>
      <c r="V398" t="inlineStr">
        <is>
          <t>HOLDOUT</t>
        </is>
      </c>
      <c r="W398" t="inlineStr">
        <is>
          <t>不可用</t>
        </is>
      </c>
      <c r="X398" t="inlineStr">
        <is>
          <t>原始母表#raw_id=DY-SOC-0126</t>
        </is>
      </c>
      <c r="Y398" t="inlineStr">
        <is>
          <t>FROZEN_419_V2</t>
        </is>
      </c>
    </row>
    <row r="399" ht="25.5" customHeight="1">
      <c r="A399" t="inlineStr">
        <is>
          <t>DY-SOC-0127</t>
        </is>
      </c>
      <c r="B399" t="inlineStr">
        <is>
          <t>消费场景与使用行为</t>
        </is>
      </c>
      <c r="C399" t="inlineStr">
        <is>
          <t>PRJ001</t>
        </is>
      </c>
      <c r="D399" t="inlineStr">
        <is>
          <t>梅见</t>
        </is>
      </c>
      <c r="E399" t="inlineStr">
        <is>
          <t>边吃火锅边喝酒夏天的终极意义</t>
        </is>
      </c>
      <c r="F399" t="inlineStr">
        <is>
          <t>周末茉莉火锅梅见｜2025-07-26｜抖音</t>
        </is>
      </c>
      <c r="G399" t="inlineStr">
        <is>
          <t>抖音</t>
        </is>
      </c>
      <c r="H399" s="2" t="str">
        <f>=HYPERLINK("https://www.douyin.com/video/7596615466261436386", "https://www.douyin.com/video/7596615466261436386")</f>
        <v>https://www.douyin.com/video/7596615466261436386</v>
      </c>
      <c r="I399" s="3">
        <v>45864</v>
      </c>
      <c r="J399" s="4">
        <v>46243</v>
      </c>
      <c r="K399" t="inlineStr">
        <is>
          <t>梅见火锅②</t>
        </is>
      </c>
      <c r="L399"/>
      <c r="M399" t="inlineStr">
        <is>
          <t>DY-U0220</t>
        </is>
      </c>
      <c r="N399" t="inlineStr">
        <is>
          <t>公开评论</t>
        </is>
      </c>
      <c r="O399"/>
      <c r="P399" t="inlineStr">
        <is>
          <t>点赞数未成功识别，暂置空，禁止随机补值；当前日期来自视频发布时间，评论发布时间未识别</t>
        </is>
      </c>
      <c r="Q399" t="inlineStr">
        <is>
          <t>目标品牌</t>
        </is>
      </c>
      <c r="R399"/>
      <c r="S399" t="inlineStr">
        <is>
          <t>DY-SOC-0127_CHALLENGE_POOL_formal-attempt-0001_AI</t>
        </is>
      </c>
      <c r="T399" t="inlineStr">
        <is>
          <t>场景需求</t>
        </is>
      </c>
      <c r="U399" t="inlineStr">
        <is>
          <t>KEEP</t>
        </is>
      </c>
      <c r="V399" t="inlineStr">
        <is>
          <t>CHALLENGE</t>
        </is>
      </c>
      <c r="W399" t="inlineStr">
        <is>
          <t>可用</t>
        </is>
      </c>
      <c r="X399" t="inlineStr">
        <is>
          <t>品牌语料分析与洞察体系.xlsx#表1：原始语料库!399</t>
        </is>
      </c>
      <c r="Y399" t="inlineStr">
        <is>
          <t>FROZEN_419_V2</t>
        </is>
      </c>
    </row>
    <row r="400" ht="25.5" customHeight="1">
      <c r="A400" t="inlineStr">
        <is>
          <t>DY-SOC-0128</t>
        </is>
      </c>
      <c r="B400" t="inlineStr">
        <is>
          <t>消费场景与使用行为</t>
        </is>
      </c>
      <c r="C400" t="inlineStr">
        <is>
          <t>PRJ001</t>
        </is>
      </c>
      <c r="D400" t="inlineStr">
        <is>
          <t>梅见</t>
        </is>
      </c>
      <c r="E400" t="inlineStr">
        <is>
          <t>梅见青梅酒配火锅解腻神器</t>
        </is>
      </c>
      <c r="F400" t="inlineStr">
        <is>
          <t>周末茉莉火锅梅见｜2025-07-26｜抖音</t>
        </is>
      </c>
      <c r="G400" t="inlineStr">
        <is>
          <t>抖音</t>
        </is>
      </c>
      <c r="H400" s="2" t="str">
        <f>=HYPERLINK("https://www.douyin.com/video/7596615466261436386", "https://www.douyin.com/video/7596615466261436386")</f>
        <v>https://www.douyin.com/video/7596615466261436386</v>
      </c>
      <c r="I400" s="3">
        <v>45864</v>
      </c>
      <c r="J400" s="4">
        <v>46243</v>
      </c>
      <c r="K400" t="inlineStr">
        <is>
          <t>梅见火锅②</t>
        </is>
      </c>
      <c r="L400"/>
      <c r="M400" t="inlineStr">
        <is>
          <t>DY-U0223</t>
        </is>
      </c>
      <c r="N400" t="inlineStr">
        <is>
          <t>公开评论</t>
        </is>
      </c>
      <c r="O400"/>
      <c r="P400" t="inlineStr">
        <is>
          <t>点赞数未成功识别，暂置空，禁止随机补值；当前日期来自视频发布时间，评论发布时间未识别</t>
        </is>
      </c>
      <c r="Q400" t="inlineStr">
        <is>
          <t>目标品牌</t>
        </is>
      </c>
      <c r="R400"/>
      <c r="S400" t="inlineStr">
        <is>
          <t>DY-SOC-0128_ANALYSIS_BASELINE_formal-attempt-0001_AI</t>
        </is>
      </c>
      <c r="T400" t="inlineStr">
        <is>
          <t>场景需求</t>
        </is>
      </c>
      <c r="U400" t="inlineStr">
        <is>
          <t>KEEP</t>
        </is>
      </c>
      <c r="V400" t="inlineStr">
        <is>
          <t>ANALYSIS_BASELINE</t>
        </is>
      </c>
      <c r="W400" t="inlineStr">
        <is>
          <t>可用</t>
        </is>
      </c>
      <c r="X400" t="inlineStr">
        <is>
          <t>品牌语料分析与洞察体系.xlsx#表1：原始语料库!400</t>
        </is>
      </c>
      <c r="Y400" t="inlineStr">
        <is>
          <t>FROZEN_419_V2</t>
        </is>
      </c>
    </row>
    <row r="401" ht="25.5" customHeight="1">
      <c r="A401" t="inlineStr">
        <is>
          <t>DY-SOC-0129</t>
        </is>
      </c>
      <c r="B401" t="inlineStr">
        <is>
          <t>消费场景与使用行为</t>
        </is>
      </c>
      <c r="C401" t="inlineStr">
        <is>
          <t>PRJ001</t>
        </is>
      </c>
      <c r="D401" t="inlineStr">
        <is>
          <t>梅见</t>
        </is>
      </c>
      <c r="E401" t="inlineStr">
        <is>
          <t>终于有人懂我了周末就是要这样虚度光阴</t>
        </is>
      </c>
      <c r="F401" t="inlineStr">
        <is>
          <t>小火锅冰梅见2｜2025-07-31｜抖音</t>
        </is>
      </c>
      <c r="G401" t="inlineStr">
        <is>
          <t>抖音</t>
        </is>
      </c>
      <c r="H401" s="2" t="str">
        <f>=HYPERLINK("https://www.douyin.com/video/7667775159961274021", "https://www.douyin.com/video/7667775159961274021")</f>
        <v>https://www.douyin.com/video/7667775159961274021</v>
      </c>
      <c r="I401" s="3">
        <v>45869</v>
      </c>
      <c r="J401" s="4">
        <v>46243</v>
      </c>
      <c r="K401" t="inlineStr">
        <is>
          <t>梅见火锅④</t>
        </is>
      </c>
      <c r="L401"/>
      <c r="M401" t="inlineStr">
        <is>
          <t>DY-U0243</t>
        </is>
      </c>
      <c r="N401" t="inlineStr">
        <is>
          <t>公开评论</t>
        </is>
      </c>
      <c r="O401"/>
      <c r="P401" t="inlineStr">
        <is>
          <t>从EXCLUDE补回，内容有效且不重复</t>
        </is>
      </c>
      <c r="Q401" t="inlineStr">
        <is>
          <t>目标品牌</t>
        </is>
      </c>
      <c r="R401"/>
      <c r="S401"/>
      <c r="T401" t="inlineStr">
        <is>
          <t>场景需求</t>
        </is>
      </c>
      <c r="U401" t="inlineStr">
        <is>
          <t>KEEP</t>
        </is>
      </c>
      <c r="V401" t="inlineStr">
        <is>
          <t>HOLDOUT</t>
        </is>
      </c>
      <c r="W401" t="inlineStr">
        <is>
          <t>不可用</t>
        </is>
      </c>
      <c r="X401" t="inlineStr">
        <is>
          <t>原始母表#raw_id=DY-SOC-0129</t>
        </is>
      </c>
      <c r="Y401" t="inlineStr">
        <is>
          <t>FROZEN_419_V2</t>
        </is>
      </c>
    </row>
    <row r="402" ht="25.5" customHeight="1">
      <c r="A402" t="inlineStr">
        <is>
          <t>XHS-SOC-0194</t>
        </is>
      </c>
      <c r="B402" t="inlineStr">
        <is>
          <t>消费场景与使用行为</t>
        </is>
      </c>
      <c r="C402" t="inlineStr">
        <is>
          <t>PRJ001</t>
        </is>
      </c>
      <c r="D402" t="inlineStr">
        <is>
          <t>低度酒</t>
        </is>
      </c>
      <c r="E402" t="inlineStr">
        <is>
          <t>以前不理解，但是年纪大了突然就理解了，真就是太无聊了，一个人在家不知道干什么容易想东想西还不如用酒精麻痹自己</t>
        </is>
      </c>
      <c r="F402" t="inlineStr">
        <is>
          <t>一个人喝酒很怪吗｜2025-03-08｜小红书</t>
        </is>
      </c>
      <c r="G402" t="inlineStr">
        <is>
          <t>小红书</t>
        </is>
      </c>
      <c r="H402" s="2" t="str">
        <f>=HYPERLINK("https://www.xiaohongshu.com/search_result/一个人喝酒", "https://www.xiaohongshu.com/search_result/一个人喝酒")</f>
        <v>https://www.xiaohongshu.com/search_result/一个人喝酒</v>
      </c>
      <c r="I402" s="3">
        <v>46100</v>
      </c>
      <c r="J402" s="4">
        <v>46243</v>
      </c>
      <c r="K402" t="inlineStr">
        <is>
          <t>一个人喝酒</t>
        </is>
      </c>
      <c r="L402">
        <v>4</v>
      </c>
      <c r="M402" t="inlineStr">
        <is>
          <t>XHS-U0269</t>
        </is>
      </c>
      <c r="N402" t="inlineStr">
        <is>
          <t>公开评论</t>
        </is>
      </c>
      <c r="O402"/>
      <c r="P402" t="inlineStr">
        <is>
          <t>原始:03-19;年份推定·广西；当前为搜索结果页链接，正式入库前需补原笔记链接</t>
        </is>
      </c>
      <c r="Q402" t="inlineStr">
        <is>
          <t>低度酒品类</t>
        </is>
      </c>
      <c r="R402"/>
      <c r="S402" t="inlineStr">
        <is>
          <t>XHS-SOC-0194_ANALYSIS_BASELINE_formal-attempt-0001_AI</t>
        </is>
      </c>
      <c r="T402" t="inlineStr">
        <is>
          <t>场景需求</t>
        </is>
      </c>
      <c r="U402" t="inlineStr">
        <is>
          <t>KEEP</t>
        </is>
      </c>
      <c r="V402" t="inlineStr">
        <is>
          <t>ANALYSIS_BASELINE</t>
        </is>
      </c>
      <c r="W402" t="inlineStr">
        <is>
          <t>可用</t>
        </is>
      </c>
      <c r="X402" t="inlineStr">
        <is>
          <t>品牌语料分析与洞察体系.xlsx#表1：原始语料库!402</t>
        </is>
      </c>
      <c r="Y402" t="inlineStr">
        <is>
          <t>FROZEN_419_V2</t>
        </is>
      </c>
    </row>
    <row r="403" ht="25.5" customHeight="1">
      <c r="A403" t="inlineStr">
        <is>
          <t>XHS-SOC-0213</t>
        </is>
      </c>
      <c r="B403" t="inlineStr">
        <is>
          <t>消费场景与使用行为</t>
        </is>
      </c>
      <c r="C403" t="inlineStr">
        <is>
          <t>PRJ001</t>
        </is>
      </c>
      <c r="D403" t="inlineStr">
        <is>
          <t>低度酒</t>
        </is>
      </c>
      <c r="E403" t="inlineStr">
        <is>
          <t>你说的对。吸烟，烧烤都一样</t>
        </is>
      </c>
      <c r="F403" t="inlineStr">
        <is>
          <t>喝酒对人体没有一点好处｜2025-12-29｜小红书</t>
        </is>
      </c>
      <c r="G403" t="inlineStr">
        <is>
          <t>小红书</t>
        </is>
      </c>
      <c r="H403" s="2" t="str">
        <f>=HYPERLINK("https://www.xiaohongshu.com/search_result/低度酒智商税", "https://www.xiaohongshu.com/search_result/低度酒智商税")</f>
        <v>https://www.xiaohongshu.com/search_result/低度酒智商税</v>
      </c>
      <c r="I403" s="3">
        <v>46029</v>
      </c>
      <c r="J403" s="4">
        <v>46243</v>
      </c>
      <c r="K403" t="inlineStr">
        <is>
          <t>低度酒智商税</t>
        </is>
      </c>
      <c r="L403">
        <v>1</v>
      </c>
      <c r="M403" t="inlineStr">
        <is>
          <t>XHS-U0238</t>
        </is>
      </c>
      <c r="N403" t="inlineStr">
        <is>
          <t>公开评论</t>
        </is>
      </c>
      <c r="O403"/>
      <c r="P403" t="inlineStr">
        <is>
          <t>原始:01-07;年份推定·北京；当前为搜索结果页链接，正式入库前需补原笔记链接</t>
        </is>
      </c>
      <c r="Q403" t="inlineStr">
        <is>
          <t>低度酒品类</t>
        </is>
      </c>
      <c r="R403"/>
      <c r="S403" t="inlineStr">
        <is>
          <t>XHS-SOC-0213_ANALYSIS_BASELINE_formal-attempt-0001_AI</t>
        </is>
      </c>
      <c r="T403" t="inlineStr">
        <is>
          <t>场景需求</t>
        </is>
      </c>
      <c r="U403" t="inlineStr">
        <is>
          <t>KEEP</t>
        </is>
      </c>
      <c r="V403" t="inlineStr">
        <is>
          <t>ANALYSIS_BASELINE</t>
        </is>
      </c>
      <c r="W403" t="inlineStr">
        <is>
          <t>可用</t>
        </is>
      </c>
      <c r="X403" t="inlineStr">
        <is>
          <t>品牌语料分析与洞察体系.xlsx#表1：原始语料库!403</t>
        </is>
      </c>
      <c r="Y403" t="inlineStr">
        <is>
          <t>FROZEN_419_V2</t>
        </is>
      </c>
    </row>
    <row r="404" ht="25.5" customHeight="1">
      <c r="A404" t="inlineStr">
        <is>
          <t>XHS-SOC-0214</t>
        </is>
      </c>
      <c r="B404" t="inlineStr">
        <is>
          <t>消费场景与使用行为</t>
        </is>
      </c>
      <c r="C404" t="inlineStr">
        <is>
          <t>PRJ001</t>
        </is>
      </c>
      <c r="D404" t="inlineStr">
        <is>
          <t>低度酒</t>
        </is>
      </c>
      <c r="E404" t="inlineStr">
        <is>
          <t>一个人去KTV唱歌喝酒会很奇怪吗</t>
        </is>
      </c>
      <c r="F404" t="inlineStr">
        <is>
          <t>一个人喝酒很怪吗｜2025-03-08｜小红书</t>
        </is>
      </c>
      <c r="G404" t="inlineStr">
        <is>
          <t>小红书</t>
        </is>
      </c>
      <c r="H404" s="2" t="str">
        <f>=HYPERLINK("https://www.xiaohongshu.com/search_result/一个人喝酒", "https://www.xiaohongshu.com/search_result/一个人喝酒")</f>
        <v>https://www.xiaohongshu.com/search_result/一个人喝酒</v>
      </c>
      <c r="I404" s="3">
        <v>46091</v>
      </c>
      <c r="J404" s="4">
        <v>46243</v>
      </c>
      <c r="K404" t="inlineStr">
        <is>
          <t>一个人喝酒</t>
        </is>
      </c>
      <c r="L404">
        <v>1</v>
      </c>
      <c r="M404" t="inlineStr">
        <is>
          <t>XHS-U0264</t>
        </is>
      </c>
      <c r="N404" t="inlineStr">
        <is>
          <t>公开评论</t>
        </is>
      </c>
      <c r="O404"/>
      <c r="P404" t="inlineStr">
        <is>
          <t>原始:03-10;年份推定·四川；当前为搜索结果页链接，正式入库前需补原笔记链接</t>
        </is>
      </c>
      <c r="Q404" t="inlineStr">
        <is>
          <t>低度酒品类</t>
        </is>
      </c>
      <c r="R404"/>
      <c r="S404" t="inlineStr">
        <is>
          <t>XHS-SOC-0214_ANALYSIS_BASELINE_formal-attempt-0001_AI</t>
        </is>
      </c>
      <c r="T404" t="inlineStr">
        <is>
          <t>场景需求</t>
        </is>
      </c>
      <c r="U404" t="inlineStr">
        <is>
          <t>KEEP</t>
        </is>
      </c>
      <c r="V404" t="inlineStr">
        <is>
          <t>ANALYSIS_BASELINE</t>
        </is>
      </c>
      <c r="W404" t="inlineStr">
        <is>
          <t>可用</t>
        </is>
      </c>
      <c r="X404" t="inlineStr">
        <is>
          <t>品牌语料分析与洞察体系.xlsx#表1：原始语料库!404</t>
        </is>
      </c>
      <c r="Y404" t="inlineStr">
        <is>
          <t>FROZEN_419_V2</t>
        </is>
      </c>
    </row>
    <row r="405" ht="25.5" customHeight="1">
      <c r="A405" t="inlineStr">
        <is>
          <t>XHS-SOC-0215</t>
        </is>
      </c>
      <c r="B405" t="inlineStr">
        <is>
          <t>消费场景与使用行为</t>
        </is>
      </c>
      <c r="C405" t="inlineStr">
        <is>
          <t>PRJ001</t>
        </is>
      </c>
      <c r="D405" t="inlineStr">
        <is>
          <t>低度酒</t>
        </is>
      </c>
      <c r="E405" t="inlineStr">
        <is>
          <t>不奇怪，我也一个人喝</t>
        </is>
      </c>
      <c r="F405" t="inlineStr">
        <is>
          <t>一个人喝酒很怪吗｜2025-03-08｜小红书</t>
        </is>
      </c>
      <c r="G405" t="inlineStr">
        <is>
          <t>小红书</t>
        </is>
      </c>
      <c r="H405" s="2" t="str">
        <f>=HYPERLINK("https://www.xiaohongshu.com/search_result/一个人喝酒", "https://www.xiaohongshu.com/search_result/一个人喝酒")</f>
        <v>https://www.xiaohongshu.com/search_result/一个人喝酒</v>
      </c>
      <c r="I405" s="3">
        <v>46090</v>
      </c>
      <c r="J405" s="4">
        <v>46243</v>
      </c>
      <c r="K405" t="inlineStr">
        <is>
          <t>一个人喝酒</t>
        </is>
      </c>
      <c r="L405">
        <v>1</v>
      </c>
      <c r="M405" t="inlineStr">
        <is>
          <t>XHS-U0267</t>
        </is>
      </c>
      <c r="N405" t="inlineStr">
        <is>
          <t>公开评论</t>
        </is>
      </c>
      <c r="O405"/>
      <c r="P405" t="inlineStr">
        <is>
          <t>原始:03-09;年份推定·四川；当前为搜索结果页链接，正式入库前需补原笔记链接</t>
        </is>
      </c>
      <c r="Q405" t="inlineStr">
        <is>
          <t>低度酒品类</t>
        </is>
      </c>
      <c r="R405"/>
      <c r="S405" t="inlineStr">
        <is>
          <t>XHS-SOC-0215_CHALLENGE_POOL_formal-attempt-0001_AI</t>
        </is>
      </c>
      <c r="T405" t="inlineStr">
        <is>
          <t>场景需求</t>
        </is>
      </c>
      <c r="U405" t="inlineStr">
        <is>
          <t>KEEP</t>
        </is>
      </c>
      <c r="V405" t="inlineStr">
        <is>
          <t>CHALLENGE</t>
        </is>
      </c>
      <c r="W405" t="inlineStr">
        <is>
          <t>可用</t>
        </is>
      </c>
      <c r="X405" t="inlineStr">
        <is>
          <t>品牌语料分析与洞察体系.xlsx#表1：原始语料库!405</t>
        </is>
      </c>
      <c r="Y405" t="inlineStr">
        <is>
          <t>FROZEN_419_V2</t>
        </is>
      </c>
    </row>
    <row r="406" ht="25.5" customHeight="1">
      <c r="A406" t="inlineStr">
        <is>
          <t>XHS-SOC-0238</t>
        </is>
      </c>
      <c r="B406" t="inlineStr">
        <is>
          <t>消费场景与使用行为</t>
        </is>
      </c>
      <c r="C406" t="inlineStr">
        <is>
          <t>PRJ001</t>
        </is>
      </c>
      <c r="D406" t="inlineStr">
        <is>
          <t>低度酒</t>
        </is>
      </c>
      <c r="E406" t="inlineStr">
        <is>
          <t>同一个人，享受孤独，挺好的</t>
        </is>
      </c>
      <c r="F406" t="inlineStr">
        <is>
          <t>一个人喝酒很怪吗｜2025-03-08｜小红书</t>
        </is>
      </c>
      <c r="G406" t="inlineStr">
        <is>
          <t>小红书</t>
        </is>
      </c>
      <c r="H406" s="2" t="str">
        <f>=HYPERLINK("https://www.xiaohongshu.com/search_result/一个人喝酒", "https://www.xiaohongshu.com/search_result/一个人喝酒")</f>
        <v>https://www.xiaohongshu.com/search_result/一个人喝酒</v>
      </c>
      <c r="I406" s="3">
        <v>46094</v>
      </c>
      <c r="J406" s="4">
        <v>46243</v>
      </c>
      <c r="K406" t="inlineStr">
        <is>
          <t>一个人喝酒</t>
        </is>
      </c>
      <c r="L406">
        <v>0</v>
      </c>
      <c r="M406" t="inlineStr">
        <is>
          <t>XHS-U0268</t>
        </is>
      </c>
      <c r="N406" t="inlineStr">
        <is>
          <t>公开评论</t>
        </is>
      </c>
      <c r="O406"/>
      <c r="P406" t="inlineStr">
        <is>
          <t>原始:03-13;年份推定·江苏；当前为搜索结果页链接，正式入库前需补原笔记链接</t>
        </is>
      </c>
      <c r="Q406" t="inlineStr">
        <is>
          <t>低度酒品类</t>
        </is>
      </c>
      <c r="R406"/>
      <c r="S406" t="inlineStr">
        <is>
          <t>XHS-SOC-0238_CHALLENGE_POOL_formal-attempt-0001_AI</t>
        </is>
      </c>
      <c r="T406" t="inlineStr">
        <is>
          <t>场景需求</t>
        </is>
      </c>
      <c r="U406" t="inlineStr">
        <is>
          <t>KEEP</t>
        </is>
      </c>
      <c r="V406" t="inlineStr">
        <is>
          <t>CHALLENGE</t>
        </is>
      </c>
      <c r="W406" t="inlineStr">
        <is>
          <t>可用</t>
        </is>
      </c>
      <c r="X406" t="inlineStr">
        <is>
          <t>品牌语料分析与洞察体系.xlsx#表1：原始语料库!406</t>
        </is>
      </c>
      <c r="Y406" t="inlineStr">
        <is>
          <t>FROZEN_419_V2</t>
        </is>
      </c>
    </row>
    <row r="407" ht="25.5" customHeight="1">
      <c r="A407" t="inlineStr">
        <is>
          <t>XHS-SOC-0239</t>
        </is>
      </c>
      <c r="B407" t="inlineStr">
        <is>
          <t>消费场景与使用行为</t>
        </is>
      </c>
      <c r="C407" t="inlineStr">
        <is>
          <t>PRJ001</t>
        </is>
      </c>
      <c r="D407" t="inlineStr">
        <is>
          <t>低度酒</t>
        </is>
      </c>
      <c r="E407" t="inlineStr">
        <is>
          <t>一个人喝酒可爽了</t>
        </is>
      </c>
      <c r="F407" t="inlineStr">
        <is>
          <t>一个人喝酒很怪吗｜2025-03-08｜小红书</t>
        </is>
      </c>
      <c r="G407" t="inlineStr">
        <is>
          <t>小红书</t>
        </is>
      </c>
      <c r="H407" s="2" t="str">
        <f>=HYPERLINK("https://www.xiaohongshu.com/search_result/一个人喝酒", "https://www.xiaohongshu.com/search_result/一个人喝酒")</f>
        <v>https://www.xiaohongshu.com/search_result/一个人喝酒</v>
      </c>
      <c r="I407" s="3">
        <v>46094</v>
      </c>
      <c r="J407" s="4">
        <v>46243</v>
      </c>
      <c r="K407" t="inlineStr">
        <is>
          <t>一个人喝酒</t>
        </is>
      </c>
      <c r="L407">
        <v>0</v>
      </c>
      <c r="M407" t="inlineStr">
        <is>
          <t>XHS-U0271</t>
        </is>
      </c>
      <c r="N407" t="inlineStr">
        <is>
          <t>公开评论</t>
        </is>
      </c>
      <c r="O407"/>
      <c r="P407" t="inlineStr">
        <is>
          <t>原始:03-13;年份推定·浙江；当前为搜索结果页链接，正式入库前需补原笔记链接</t>
        </is>
      </c>
      <c r="Q407" t="inlineStr">
        <is>
          <t>低度酒品类</t>
        </is>
      </c>
      <c r="R407"/>
      <c r="S407" t="inlineStr">
        <is>
          <t>XHS-SOC-0239_ANALYSIS_BASELINE_formal-attempt-0001_AI</t>
        </is>
      </c>
      <c r="T407" t="inlineStr">
        <is>
          <t>场景需求</t>
        </is>
      </c>
      <c r="U407" t="inlineStr">
        <is>
          <t>KEEP</t>
        </is>
      </c>
      <c r="V407" t="inlineStr">
        <is>
          <t>ANALYSIS_BASELINE</t>
        </is>
      </c>
      <c r="W407" t="inlineStr">
        <is>
          <t>可用</t>
        </is>
      </c>
      <c r="X407" t="inlineStr">
        <is>
          <t>品牌语料分析与洞察体系.xlsx#表1：原始语料库!407</t>
        </is>
      </c>
      <c r="Y407" t="inlineStr">
        <is>
          <t>FROZEN_419_V2</t>
        </is>
      </c>
    </row>
    <row r="408" ht="25.5" customHeight="1">
      <c r="A408" t="inlineStr">
        <is>
          <t>XHS-SOC-0240</t>
        </is>
      </c>
      <c r="B408" t="inlineStr">
        <is>
          <t>消费场景与使用行为</t>
        </is>
      </c>
      <c r="C408" t="inlineStr">
        <is>
          <t>PRJ001</t>
        </is>
      </c>
      <c r="D408" t="inlineStr">
        <is>
          <t>低度酒</t>
        </is>
      </c>
      <c r="E408" t="inlineStr">
        <is>
          <t>一个人吃烧烤喝酒，一个人吃火锅，一个人吃自助餐，一个人看电影</t>
        </is>
      </c>
      <c r="F408" t="inlineStr">
        <is>
          <t>一个人喝酒很怪吗｜2025-03-08｜小红书</t>
        </is>
      </c>
      <c r="G408" t="inlineStr">
        <is>
          <t>小红书</t>
        </is>
      </c>
      <c r="H408" s="2" t="str">
        <f>=HYPERLINK("https://www.xiaohongshu.com/search_result/一个人喝酒", "https://www.xiaohongshu.com/search_result/一个人喝酒")</f>
        <v>https://www.xiaohongshu.com/search_result/一个人喝酒</v>
      </c>
      <c r="I408" s="3">
        <v>46097</v>
      </c>
      <c r="J408" s="4">
        <v>46243</v>
      </c>
      <c r="K408" t="inlineStr">
        <is>
          <t>一个人喝酒</t>
        </is>
      </c>
      <c r="L408">
        <v>0</v>
      </c>
      <c r="M408" t="inlineStr">
        <is>
          <t>XHS-U0276</t>
        </is>
      </c>
      <c r="N408" t="inlineStr">
        <is>
          <t>公开评论</t>
        </is>
      </c>
      <c r="O408"/>
      <c r="P408" t="inlineStr">
        <is>
          <t>原始:03-16;年份推定·四川；当前为搜索结果页链接，正式入库前需补原笔记链接</t>
        </is>
      </c>
      <c r="Q408" t="inlineStr">
        <is>
          <t>低度酒品类</t>
        </is>
      </c>
      <c r="R408"/>
      <c r="S408" t="inlineStr">
        <is>
          <t>XHS-SOC-0240_CHALLENGE_POOL_formal-attempt-0001_AI</t>
        </is>
      </c>
      <c r="T408" t="inlineStr">
        <is>
          <t>场景需求</t>
        </is>
      </c>
      <c r="U408" t="inlineStr">
        <is>
          <t>KEEP</t>
        </is>
      </c>
      <c r="V408" t="inlineStr">
        <is>
          <t>CHALLENGE</t>
        </is>
      </c>
      <c r="W408" t="inlineStr">
        <is>
          <t>可用</t>
        </is>
      </c>
      <c r="X408" t="inlineStr">
        <is>
          <t>品牌语料分析与洞察体系.xlsx#表1：原始语料库!408</t>
        </is>
      </c>
      <c r="Y408" t="inlineStr">
        <is>
          <t>FROZEN_419_V2</t>
        </is>
      </c>
    </row>
    <row r="409" ht="25.5" customHeight="1">
      <c r="A409" t="inlineStr">
        <is>
          <t>XHS-SOC-0241</t>
        </is>
      </c>
      <c r="B409" t="inlineStr">
        <is>
          <t>消费场景与使用行为</t>
        </is>
      </c>
      <c r="C409" t="inlineStr">
        <is>
          <t>PRJ001</t>
        </is>
      </c>
      <c r="D409" t="inlineStr">
        <is>
          <t>低度酒</t>
        </is>
      </c>
      <c r="E409" t="inlineStr">
        <is>
          <t>一个人才叫喝酒 几个人那叫吹牛逼大会</t>
        </is>
      </c>
      <c r="F409" t="inlineStr">
        <is>
          <t>一个人喝酒很怪吗｜2025-03-08｜小红书</t>
        </is>
      </c>
      <c r="G409" t="inlineStr">
        <is>
          <t>小红书</t>
        </is>
      </c>
      <c r="H409" s="2" t="str">
        <f>=HYPERLINK("https://www.xiaohongshu.com/search_result/一个人喝酒", "https://www.xiaohongshu.com/search_result/一个人喝酒")</f>
        <v>https://www.xiaohongshu.com/search_result/一个人喝酒</v>
      </c>
      <c r="I409" s="3">
        <v>46091</v>
      </c>
      <c r="J409" s="4">
        <v>46243</v>
      </c>
      <c r="K409" t="inlineStr">
        <is>
          <t>一个人喝酒</t>
        </is>
      </c>
      <c r="L409">
        <v>0</v>
      </c>
      <c r="M409" t="inlineStr">
        <is>
          <t>XHS-U0279</t>
        </is>
      </c>
      <c r="N409" t="inlineStr">
        <is>
          <t>公开评论</t>
        </is>
      </c>
      <c r="O409"/>
      <c r="P409" t="inlineStr">
        <is>
          <t>原始:03-10;年份推定·湖北；当前为搜索结果页链接，正式入库前需补原笔记链接</t>
        </is>
      </c>
      <c r="Q409" t="inlineStr">
        <is>
          <t>低度酒品类</t>
        </is>
      </c>
      <c r="R409"/>
      <c r="S409" t="inlineStr">
        <is>
          <t>XHS-SOC-0241_ANALYSIS_BASELINE_formal-attempt-0001_AI</t>
        </is>
      </c>
      <c r="T409" t="inlineStr">
        <is>
          <t>场景需求</t>
        </is>
      </c>
      <c r="U409" t="inlineStr">
        <is>
          <t>KEEP</t>
        </is>
      </c>
      <c r="V409" t="inlineStr">
        <is>
          <t>ANALYSIS_BASELINE</t>
        </is>
      </c>
      <c r="W409" t="inlineStr">
        <is>
          <t>可用</t>
        </is>
      </c>
      <c r="X409" t="inlineStr">
        <is>
          <t>品牌语料分析与洞察体系.xlsx#表1：原始语料库!409</t>
        </is>
      </c>
      <c r="Y409" t="inlineStr">
        <is>
          <t>FROZEN_419_V2</t>
        </is>
      </c>
    </row>
    <row r="410" ht="25.5" customHeight="1">
      <c r="A410" t="inlineStr">
        <is>
          <t>XHS-SOC-0242</t>
        </is>
      </c>
      <c r="B410" t="inlineStr">
        <is>
          <t>消费场景与使用行为</t>
        </is>
      </c>
      <c r="C410" t="inlineStr">
        <is>
          <t>PRJ001</t>
        </is>
      </c>
      <c r="D410" t="inlineStr">
        <is>
          <t>低度酒</t>
        </is>
      </c>
      <c r="E410" t="inlineStr">
        <is>
          <t>不怪！我就喜欢一个人喝酒</t>
        </is>
      </c>
      <c r="F410" t="inlineStr">
        <is>
          <t>一个人喝酒很怪吗｜2025-03-08｜小红书</t>
        </is>
      </c>
      <c r="G410" t="inlineStr">
        <is>
          <t>小红书</t>
        </is>
      </c>
      <c r="H410" s="2" t="str">
        <f>=HYPERLINK("https://www.xiaohongshu.com/search_result/一个人喝酒", "https://www.xiaohongshu.com/search_result/一个人喝酒")</f>
        <v>https://www.xiaohongshu.com/search_result/一个人喝酒</v>
      </c>
      <c r="I410" s="3">
        <v>46097</v>
      </c>
      <c r="J410" s="4">
        <v>46243</v>
      </c>
      <c r="K410" t="inlineStr">
        <is>
          <t>一个人喝酒</t>
        </is>
      </c>
      <c r="L410">
        <v>0</v>
      </c>
      <c r="M410" t="inlineStr">
        <is>
          <t>XHS-U0280</t>
        </is>
      </c>
      <c r="N410" t="inlineStr">
        <is>
          <t>公开评论</t>
        </is>
      </c>
      <c r="O410"/>
      <c r="P410" t="inlineStr">
        <is>
          <t>原始:03-16;年份推定·四川；当前为搜索结果页链接，正式入库前需补原笔记链接</t>
        </is>
      </c>
      <c r="Q410" t="inlineStr">
        <is>
          <t>低度酒品类</t>
        </is>
      </c>
      <c r="R410"/>
      <c r="S410" t="inlineStr">
        <is>
          <t>XHS-SOC-0242_ANALYSIS_BASELINE_formal-attempt-0001_AI</t>
        </is>
      </c>
      <c r="T410" t="inlineStr">
        <is>
          <t>场景需求</t>
        </is>
      </c>
      <c r="U410" t="inlineStr">
        <is>
          <t>KEEP</t>
        </is>
      </c>
      <c r="V410" t="inlineStr">
        <is>
          <t>ANALYSIS_BASELINE</t>
        </is>
      </c>
      <c r="W410" t="inlineStr">
        <is>
          <t>可用</t>
        </is>
      </c>
      <c r="X410" t="inlineStr">
        <is>
          <t>品牌语料分析与洞察体系.xlsx#表1：原始语料库!410</t>
        </is>
      </c>
      <c r="Y410" t="inlineStr">
        <is>
          <t>FROZEN_419_V2</t>
        </is>
      </c>
    </row>
    <row r="411" ht="25.5" customHeight="1">
      <c r="A411" t="inlineStr">
        <is>
          <t>TB-20260809-040</t>
        </is>
      </c>
      <c r="B411" t="inlineStr">
        <is>
          <t>购买决策与价格反馈</t>
        </is>
      </c>
      <c r="C411" t="inlineStr">
        <is>
          <t>PRJ001</t>
        </is>
      </c>
      <c r="D411" t="inlineStr">
        <is>
          <t>梅见｜12度发酵330ml</t>
        </is>
      </c>
      <c r="E411" t="inlineStr">
        <is>
          <t>多次回购好喝，但是必须冷藏才好喝。</t>
        </is>
      </c>
      <c r="F411" t="inlineStr">
        <is>
          <t>品牌：梅见｜商品/规格：12度发酵330ml｜SKU：681094845930</t>
        </is>
      </c>
      <c r="G411" t="inlineStr">
        <is>
          <t>淘宝</t>
        </is>
      </c>
      <c r="H411" s="2" t="str">
        <f>=HYPERLINK("https://detail.tmall.com/item.htm?id=681094845930", "https://detail.tmall.com/item.htm?id=681094845930")</f>
        <v>https://detail.tmall.com/item.htm?id=681094845930</v>
      </c>
      <c r="I411" s="3">
        <v>46232</v>
      </c>
      <c r="J411" s="4">
        <v>46243</v>
      </c>
      <c r="K411" t="inlineStr">
        <is>
          <t>梅见 青梅酒 商品评价</t>
        </is>
      </c>
      <c r="L411"/>
      <c r="M411" t="inlineStr">
        <is>
          <t>TB-U-20260809-040</t>
        </is>
      </c>
      <c r="N411" t="inlineStr">
        <is>
          <t>公开评论</t>
        </is>
      </c>
      <c r="O411"/>
      <c r="P411" t="inlineStr">
        <is>
          <t>情绪粗标：中性；主题粗标：回购；冷藏；饮用限制；梅见旗舰店商品评价；未记录用户名；已排除商家回复；评价页未展示评论点赞/有用数，点赞数留空</t>
        </is>
      </c>
      <c r="Q411" t="inlineStr">
        <is>
          <t>目标品牌</t>
        </is>
      </c>
      <c r="R411"/>
      <c r="S411" t="inlineStr">
        <is>
          <t>TB-20260809-040_HOLDOUT_formal-attempt-0001_AI</t>
        </is>
      </c>
      <c r="T411" t="inlineStr">
        <is>
          <t>场景需求</t>
        </is>
      </c>
      <c r="U411" t="inlineStr">
        <is>
          <t>KEEP</t>
        </is>
      </c>
      <c r="V411" t="inlineStr">
        <is>
          <t>HOLDOUT</t>
        </is>
      </c>
      <c r="W411" t="inlineStr">
        <is>
          <t>可用</t>
        </is>
      </c>
      <c r="X411" t="inlineStr">
        <is>
          <t>品牌语料分析与洞察体系.xlsx#表1：原始语料库!411</t>
        </is>
      </c>
      <c r="Y411" t="inlineStr">
        <is>
          <t>FROZEN_419_V2</t>
        </is>
      </c>
    </row>
    <row r="412" ht="25.5" customHeight="1">
      <c r="A412" t="inlineStr">
        <is>
          <t>MJ-RAW-0361</t>
        </is>
      </c>
      <c r="B412" t="inlineStr">
        <is>
          <t>购买决策与价格反馈</t>
        </is>
      </c>
      <c r="C412" t="inlineStr">
        <is>
          <t>PRJ001</t>
        </is>
      </c>
      <c r="D412" t="inlineStr">
        <is>
          <t>梅见青梅酒6种口味组合</t>
        </is>
      </c>
      <c r="E412" t="inlineStr">
        <is>
          <t>比较实惠，口感很好，买过多次了，送货非常快</t>
        </is>
      </c>
      <c r="F412" t="inlineStr">
        <is>
          <t>梅见青梅酒6种口味组合｜330mL×6瓶｜页面未展示数字星级｜未显示追评标识</t>
        </is>
      </c>
      <c r="G412" t="inlineStr">
        <is>
          <t>京东</t>
        </is>
      </c>
      <c r="H412" s="2" t="str">
        <f>=HYPERLINK("http://数据未收集", "数据未收集")</f>
        <v>数据未收集</v>
      </c>
      <c r="I412" s="3">
        <v>46231</v>
      </c>
      <c r="J412" s="4">
        <v>46241</v>
      </c>
      <c r="K412" t="inlineStr">
        <is>
          <t>梅见青梅酒</t>
        </is>
      </c>
      <c r="L412"/>
      <c r="M412" t="inlineStr">
        <is>
          <t>JD-U004</t>
        </is>
      </c>
      <c r="N412" t="inlineStr">
        <is>
          <t>公开评论</t>
        </is>
      </c>
      <c r="O412"/>
      <c r="P412" t="inlineStr">
        <is>
          <t>【具体平台】京东
【链接说明】商品详情页，非单条评论固定链接
【证据截图】待补充</t>
        </is>
      </c>
      <c r="Q412" t="inlineStr">
        <is>
          <t>目标品牌</t>
        </is>
      </c>
      <c r="R412"/>
      <c r="S412" t="inlineStr">
        <is>
          <t>MJ-RAW-0361_ANALYSIS_BASELINE_formal-attempt-0001_AI</t>
        </is>
      </c>
      <c r="T412" t="inlineStr">
        <is>
          <t>场景需求</t>
        </is>
      </c>
      <c r="U412" t="inlineStr">
        <is>
          <t>KEEP</t>
        </is>
      </c>
      <c r="V412" t="inlineStr">
        <is>
          <t>ANALYSIS_BASELINE</t>
        </is>
      </c>
      <c r="W412" t="inlineStr">
        <is>
          <t>不可用</t>
        </is>
      </c>
      <c r="X412" t="inlineStr">
        <is>
          <t>品牌语料分析与洞察体系.xlsx#表1：原始语料库!412</t>
        </is>
      </c>
      <c r="Y412" t="inlineStr">
        <is>
          <t>FROZEN_419_V2</t>
        </is>
      </c>
    </row>
    <row r="413" ht="25.5" customHeight="1">
      <c r="A413" t="inlineStr">
        <is>
          <t>MJ-RAW-0362</t>
        </is>
      </c>
      <c r="B413" t="inlineStr">
        <is>
          <t>购买决策与价格反馈</t>
        </is>
      </c>
      <c r="C413" t="inlineStr">
        <is>
          <t>PRJ001</t>
        </is>
      </c>
      <c r="D413" t="inlineStr">
        <is>
          <t>梅见原味</t>
        </is>
      </c>
      <c r="E413" t="inlineStr">
        <is>
          <t>口感一般都吧，花果香还可以，性价比不高。</t>
        </is>
      </c>
      <c r="F413" t="inlineStr">
        <is>
          <t>梅见原味青梅酒｜原味330mL×1瓶｜页面未展示数字星级｜未显示追评标识</t>
        </is>
      </c>
      <c r="G413" t="inlineStr">
        <is>
          <t>京东</t>
        </is>
      </c>
      <c r="H413" s="2" t="str">
        <f>=HYPERLINK("http://数据未收集", "数据未收集")</f>
        <v>数据未收集</v>
      </c>
      <c r="I413" s="3">
        <v>46218</v>
      </c>
      <c r="J413" s="4">
        <v>46241</v>
      </c>
      <c r="K413" t="inlineStr">
        <is>
          <t>梅见原味</t>
        </is>
      </c>
      <c r="L413"/>
      <c r="M413" t="inlineStr">
        <is>
          <t>JD-U007</t>
        </is>
      </c>
      <c r="N413" t="inlineStr">
        <is>
          <t>公开评论</t>
        </is>
      </c>
      <c r="O413"/>
      <c r="P413" t="inlineStr">
        <is>
          <t>【具体平台】京东
【链接说明】商品详情页，非单条评论固定链接
【证据截图】待补充</t>
        </is>
      </c>
      <c r="Q413" t="inlineStr">
        <is>
          <t>目标品牌</t>
        </is>
      </c>
      <c r="R413"/>
      <c r="S413" t="inlineStr">
        <is>
          <t>MJ-RAW-0362_ANALYSIS_BASELINE_formal-attempt-0001_AI</t>
        </is>
      </c>
      <c r="T413" t="inlineStr">
        <is>
          <t>场景需求</t>
        </is>
      </c>
      <c r="U413" t="inlineStr">
        <is>
          <t>KEEP</t>
        </is>
      </c>
      <c r="V413" t="inlineStr">
        <is>
          <t>ANALYSIS_BASELINE</t>
        </is>
      </c>
      <c r="W413" t="inlineStr">
        <is>
          <t>不可用</t>
        </is>
      </c>
      <c r="X413" t="inlineStr">
        <is>
          <t>品牌语料分析与洞察体系.xlsx#表1：原始语料库!413</t>
        </is>
      </c>
      <c r="Y413" t="inlineStr">
        <is>
          <t>FROZEN_419_V2</t>
        </is>
      </c>
    </row>
    <row r="414" ht="25.5" customHeight="1">
      <c r="A414" t="inlineStr">
        <is>
          <t>XHS-SOC-0047</t>
        </is>
      </c>
      <c r="B414" t="inlineStr">
        <is>
          <t>购买决策与价格反馈</t>
        </is>
      </c>
      <c r="C414" t="inlineStr">
        <is>
          <t>PRJ001</t>
        </is>
      </c>
      <c r="D414" t="inlineStr">
        <is>
          <t>梅见</t>
        </is>
      </c>
      <c r="E414" t="inlineStr">
        <is>
          <t>国产的可以试试昆竹，贵点的日本就俏雅，白鹤 三得利 梅乃宿</t>
        </is>
      </c>
      <c r="F414" t="inlineStr">
        <is>
          <t>除了梅见还有其他梅子酒推荐吗｜2025-07-04｜小红书</t>
        </is>
      </c>
      <c r="G414" t="inlineStr">
        <is>
          <t>小红书</t>
        </is>
      </c>
      <c r="H414" s="2" t="str">
        <f>=HYPERLINK("https://www.xiaohongshu.com/explore/6a48b570000000001603dc9b", "https://www.xiaohongshu.com/explore/6a48b570000000001603dc9b")</f>
        <v>https://www.xiaohongshu.com/explore/6a48b570000000001603dc9b</v>
      </c>
      <c r="I414" s="3">
        <v>46209</v>
      </c>
      <c r="J414" s="4">
        <v>46243</v>
      </c>
      <c r="K414" t="inlineStr">
        <is>
          <t>青梅酒推荐</t>
        </is>
      </c>
      <c r="L414">
        <v>0</v>
      </c>
      <c r="M414" t="inlineStr">
        <is>
          <t>XHS-U0199</t>
        </is>
      </c>
      <c r="N414" t="inlineStr">
        <is>
          <t>公开评论</t>
        </is>
      </c>
      <c r="O414"/>
      <c r="P414" t="inlineStr">
        <is>
          <t>原始:07-06;年份推定·云南</t>
        </is>
      </c>
      <c r="Q414" t="inlineStr">
        <is>
          <t>目标品牌</t>
        </is>
      </c>
      <c r="R414"/>
      <c r="S414" t="inlineStr">
        <is>
          <t>XHS-SOC-0047_HOLDOUT_formal-attempt-0001_AI</t>
        </is>
      </c>
      <c r="T414" t="inlineStr">
        <is>
          <t>场景需求</t>
        </is>
      </c>
      <c r="U414" t="inlineStr">
        <is>
          <t>KEEP</t>
        </is>
      </c>
      <c r="V414" t="inlineStr">
        <is>
          <t>HOLDOUT</t>
        </is>
      </c>
      <c r="W414" t="inlineStr">
        <is>
          <t>可用</t>
        </is>
      </c>
      <c r="X414" t="inlineStr">
        <is>
          <t>品牌语料分析与洞察体系.xlsx#表1：原始语料库!414</t>
        </is>
      </c>
      <c r="Y414" t="inlineStr">
        <is>
          <t>FROZEN_419_V2</t>
        </is>
      </c>
    </row>
    <row r="415" ht="25.5" customHeight="1">
      <c r="A415" t="inlineStr">
        <is>
          <t>DY-SOC-0130</t>
        </is>
      </c>
      <c r="B415" t="inlineStr">
        <is>
          <t>购买决策与价格反馈</t>
        </is>
      </c>
      <c r="C415" t="inlineStr">
        <is>
          <t>PRJ001</t>
        </is>
      </c>
      <c r="D415" t="inlineStr">
        <is>
          <t>梅见</t>
        </is>
      </c>
      <c r="E415" t="inlineStr">
        <is>
          <t>买了好几种主要都是酸味</t>
        </is>
      </c>
      <c r="F415" t="inlineStr">
        <is>
          <t>梅见口味大揭秘｜2025-05-23｜抖音</t>
        </is>
      </c>
      <c r="G415" t="inlineStr">
        <is>
          <t>抖音</t>
        </is>
      </c>
      <c r="H415" s="2" t="str">
        <f>=HYPERLINK("https://www.douyin.com/video/7667186302345412315", "https://www.douyin.com/video/7667186302345412315")</f>
        <v>https://www.douyin.com/video/7667186302345412315</v>
      </c>
      <c r="I415" s="3">
        <v>45800</v>
      </c>
      <c r="J415" s="4">
        <v>46243</v>
      </c>
      <c r="K415" t="inlineStr">
        <is>
          <t>梅见好喝吗</t>
        </is>
      </c>
      <c r="L415"/>
      <c r="M415" t="inlineStr">
        <is>
          <t>DY-U0080</t>
        </is>
      </c>
      <c r="N415" t="inlineStr">
        <is>
          <t>公开评论</t>
        </is>
      </c>
      <c r="O415"/>
      <c r="P415" t="inlineStr">
        <is>
          <t>点赞数未成功识别，暂置空，禁止随机补值</t>
        </is>
      </c>
      <c r="Q415" t="inlineStr">
        <is>
          <t>目标品牌</t>
        </is>
      </c>
      <c r="R415"/>
      <c r="S415" t="inlineStr">
        <is>
          <t>DY-SOC-0130_ANALYSIS_BASELINE_formal-attempt-0001_AI</t>
        </is>
      </c>
      <c r="T415" t="inlineStr">
        <is>
          <t>场景需求</t>
        </is>
      </c>
      <c r="U415" t="inlineStr">
        <is>
          <t>KEEP</t>
        </is>
      </c>
      <c r="V415" t="inlineStr">
        <is>
          <t>ANALYSIS_BASELINE</t>
        </is>
      </c>
      <c r="W415" t="inlineStr">
        <is>
          <t>可用</t>
        </is>
      </c>
      <c r="X415" t="inlineStr">
        <is>
          <t>品牌语料分析与洞察体系.xlsx#表1：原始语料库!415</t>
        </is>
      </c>
      <c r="Y415" t="inlineStr">
        <is>
          <t>FROZEN_419_V2</t>
        </is>
      </c>
    </row>
    <row r="416" ht="25.5" customHeight="1">
      <c r="A416" t="inlineStr">
        <is>
          <t>DY-SOC-0131</t>
        </is>
      </c>
      <c r="B416" t="inlineStr">
        <is>
          <t>购买决策与价格反馈</t>
        </is>
      </c>
      <c r="C416" t="inlineStr">
        <is>
          <t>PRJ001</t>
        </is>
      </c>
      <c r="D416" t="inlineStr">
        <is>
          <t>梅见</t>
        </is>
      </c>
      <c r="E416" t="inlineStr">
        <is>
          <t>我今天刚买了梅见各种口味6瓶[捂脸][捂脸]</t>
        </is>
      </c>
      <c r="F416" t="inlineStr">
        <is>
          <t>超市小甜水上头测评｜2025-03-14｜抖音</t>
        </is>
      </c>
      <c r="G416" t="inlineStr">
        <is>
          <t>抖音</t>
        </is>
      </c>
      <c r="H416" s="2" t="str">
        <f>=HYPERLINK("https://www.douyin.com/video/7633357452931807473", "https://www.douyin.com/video/7633357452931807473")</f>
        <v>https://www.douyin.com/video/7633357452931807473</v>
      </c>
      <c r="I416" s="3">
        <v>45730</v>
      </c>
      <c r="J416" s="4">
        <v>46243</v>
      </c>
      <c r="K416" t="inlineStr">
        <is>
          <t>梅见难喝</t>
        </is>
      </c>
      <c r="L416"/>
      <c r="M416" t="inlineStr">
        <is>
          <t>DY-U0091</t>
        </is>
      </c>
      <c r="N416" t="inlineStr">
        <is>
          <t>公开评论</t>
        </is>
      </c>
      <c r="O416"/>
      <c r="P416" t="inlineStr">
        <is>
          <t>点赞数未成功识别，暂置空，禁止随机补值；当前日期来自视频发布时间，评论发布时间未识别</t>
        </is>
      </c>
      <c r="Q416" t="inlineStr">
        <is>
          <t>目标品牌</t>
        </is>
      </c>
      <c r="R416"/>
      <c r="S416" t="inlineStr">
        <is>
          <t>DY-SOC-0131_HOLDOUT_formal-attempt-0001_AI</t>
        </is>
      </c>
      <c r="T416" t="inlineStr">
        <is>
          <t>场景需求</t>
        </is>
      </c>
      <c r="U416" t="inlineStr">
        <is>
          <t>KEEP</t>
        </is>
      </c>
      <c r="V416" t="inlineStr">
        <is>
          <t>HOLDOUT</t>
        </is>
      </c>
      <c r="W416" t="inlineStr">
        <is>
          <t>可用</t>
        </is>
      </c>
      <c r="X416" t="inlineStr">
        <is>
          <t>品牌语料分析与洞察体系.xlsx#表1：原始语料库!416</t>
        </is>
      </c>
      <c r="Y416" t="inlineStr">
        <is>
          <t>FROZEN_419_V2</t>
        </is>
      </c>
    </row>
    <row r="417" ht="25.5" customHeight="1">
      <c r="A417" t="inlineStr">
        <is>
          <t>DY-SOC-0132</t>
        </is>
      </c>
      <c r="B417" t="inlineStr">
        <is>
          <t>购买决策与价格反馈</t>
        </is>
      </c>
      <c r="C417" t="inlineStr">
        <is>
          <t>PRJ001</t>
        </is>
      </c>
      <c r="D417" t="inlineStr">
        <is>
          <t>梅见</t>
        </is>
      </c>
      <c r="E417" t="inlineStr">
        <is>
          <t>等我发工资了就去买</t>
        </is>
      </c>
      <c r="F417" t="inlineStr">
        <is>
          <t>小火锅冰梅见2｜2025-07-31｜抖音</t>
        </is>
      </c>
      <c r="G417" t="inlineStr">
        <is>
          <t>抖音</t>
        </is>
      </c>
      <c r="H417" s="2" t="str">
        <f>=HYPERLINK("https://www.douyin.com/video/7667775159961274021", "https://www.douyin.com/video/7667775159961274021")</f>
        <v>https://www.douyin.com/video/7667775159961274021</v>
      </c>
      <c r="I417" s="3">
        <v>45869</v>
      </c>
      <c r="J417" s="4">
        <v>46243</v>
      </c>
      <c r="K417" t="inlineStr">
        <is>
          <t>梅见火锅④</t>
        </is>
      </c>
      <c r="L417"/>
      <c r="M417" t="inlineStr">
        <is>
          <t>DY-U0238</t>
        </is>
      </c>
      <c r="N417" t="inlineStr">
        <is>
          <t>公开评论</t>
        </is>
      </c>
      <c r="O417"/>
      <c r="P417" t="inlineStr">
        <is>
          <t>点赞数未成功识别，暂置空，禁止随机补值</t>
        </is>
      </c>
      <c r="Q417" t="inlineStr">
        <is>
          <t>目标品牌</t>
        </is>
      </c>
      <c r="R417"/>
      <c r="S417" t="inlineStr">
        <is>
          <t>DY-SOC-0132_ANALYSIS_BASELINE_formal-attempt-0001_AI</t>
        </is>
      </c>
      <c r="T417" t="inlineStr">
        <is>
          <t>场景需求</t>
        </is>
      </c>
      <c r="U417" t="inlineStr">
        <is>
          <t>KEEP</t>
        </is>
      </c>
      <c r="V417" t="inlineStr">
        <is>
          <t>ANALYSIS_BASELINE</t>
        </is>
      </c>
      <c r="W417" t="inlineStr">
        <is>
          <t>可用</t>
        </is>
      </c>
      <c r="X417" t="inlineStr">
        <is>
          <t>品牌语料分析与洞察体系.xlsx#表1：原始语料库!417</t>
        </is>
      </c>
      <c r="Y417" t="inlineStr">
        <is>
          <t>FROZEN_419_V2</t>
        </is>
      </c>
    </row>
    <row r="418" ht="25.5" customHeight="1">
      <c r="A418" t="inlineStr">
        <is>
          <t>DY-SOC-0133</t>
        </is>
      </c>
      <c r="B418" t="inlineStr">
        <is>
          <t>购买决策与价格反馈</t>
        </is>
      </c>
      <c r="C418" t="inlineStr">
        <is>
          <t>PRJ001</t>
        </is>
      </c>
      <c r="D418" t="inlineStr">
        <is>
          <t>低度酒</t>
        </is>
      </c>
      <c r="E418" t="inlineStr">
        <is>
          <t>五粮液邓紫棋一见倾心那我真要买了</t>
        </is>
      </c>
      <c r="F418" t="inlineStr">
        <is>
          <t>平价年度好酒Top10｜2025-01-03｜抖音</t>
        </is>
      </c>
      <c r="G418" t="inlineStr">
        <is>
          <t>抖音</t>
        </is>
      </c>
      <c r="H418" s="2" t="str">
        <f>=HYPERLINK("https://www.douyin.com/video/7592552745405085545", "https://www.douyin.com/video/7592552745405085545")</f>
        <v>https://www.douyin.com/video/7592552745405085545</v>
      </c>
      <c r="I418" s="3">
        <v>45660</v>
      </c>
      <c r="J418" s="4">
        <v>46243</v>
      </c>
      <c r="K418" t="inlineStr">
        <is>
          <t>低度酒推荐①</t>
        </is>
      </c>
      <c r="L418"/>
      <c r="M418" t="inlineStr">
        <is>
          <t>DY-U0290</t>
        </is>
      </c>
      <c r="N418" t="inlineStr">
        <is>
          <t>公开评论</t>
        </is>
      </c>
      <c r="O418"/>
      <c r="P418" t="inlineStr">
        <is>
          <t>点赞数未成功识别，暂置空，禁止随机补值；当前日期来自视频发布时间，评论发布时间未识别</t>
        </is>
      </c>
      <c r="Q418" t="inlineStr">
        <is>
          <t>低度酒品类</t>
        </is>
      </c>
      <c r="R418"/>
      <c r="S418" t="inlineStr">
        <is>
          <t>DY-SOC-0133_CHALLENGE_POOL_formal-attempt-0001_AI</t>
        </is>
      </c>
      <c r="T418" t="inlineStr">
        <is>
          <t>场景需求</t>
        </is>
      </c>
      <c r="U418" t="inlineStr">
        <is>
          <t>KEEP</t>
        </is>
      </c>
      <c r="V418" t="inlineStr">
        <is>
          <t>CHALLENGE</t>
        </is>
      </c>
      <c r="W418" t="inlineStr">
        <is>
          <t>可用</t>
        </is>
      </c>
      <c r="X418" t="inlineStr">
        <is>
          <t>品牌语料分析与洞察体系.xlsx#表1：原始语料库!418</t>
        </is>
      </c>
      <c r="Y418" t="inlineStr">
        <is>
          <t>FROZEN_419_V2</t>
        </is>
      </c>
    </row>
    <row r="419" ht="25.5" customHeight="1">
      <c r="A419" t="inlineStr">
        <is>
          <t>DY-SOC-0134</t>
        </is>
      </c>
      <c r="B419" t="inlineStr">
        <is>
          <t>购买决策与价格反馈</t>
        </is>
      </c>
      <c r="C419" t="inlineStr">
        <is>
          <t>PRJ001</t>
        </is>
      </c>
      <c r="D419" t="inlineStr">
        <is>
          <t>低度酒</t>
        </is>
      </c>
      <c r="E419" t="inlineStr">
        <is>
          <t>不是我们贵州的哈是旁边云南的</t>
        </is>
      </c>
      <c r="F419" t="inlineStr">
        <is>
          <t>少喝点吧｜2025-05-31｜抖音</t>
        </is>
      </c>
      <c r="G419" t="inlineStr">
        <is>
          <t>抖音</t>
        </is>
      </c>
      <c r="H419" s="2" t="str">
        <f>=HYPERLINK("https://www.douyin.com/video/7560644092813544762", "https://www.douyin.com/video/7560644092813544762")</f>
        <v>https://www.douyin.com/video/7560644092813544762</v>
      </c>
      <c r="I419" s="3">
        <v>45808</v>
      </c>
      <c r="J419" s="4">
        <v>46243</v>
      </c>
      <c r="K419" t="inlineStr">
        <is>
          <t>不想喝醉</t>
        </is>
      </c>
      <c r="L419"/>
      <c r="M419" t="inlineStr">
        <is>
          <t>DY-U0336</t>
        </is>
      </c>
      <c r="N419" t="inlineStr">
        <is>
          <t>公开评论</t>
        </is>
      </c>
      <c r="O419"/>
      <c r="P419" t="inlineStr">
        <is>
          <t>点赞数未成功识别，暂置空，禁止随机补值；当前日期来自视频发布时间，评论发布时间未识别</t>
        </is>
      </c>
      <c r="Q419" t="inlineStr">
        <is>
          <t>低度酒品类</t>
        </is>
      </c>
      <c r="R419"/>
      <c r="S419"/>
      <c r="T419" t="inlineStr">
        <is>
          <t>场景需求</t>
        </is>
      </c>
      <c r="U419" t="inlineStr">
        <is>
          <t>EXCLUDE</t>
        </is>
      </c>
      <c r="V419" t="inlineStr">
        <is>
          <t>EXCLUDE</t>
        </is>
      </c>
      <c r="W419" t="inlineStr">
        <is>
          <t>不可用</t>
        </is>
      </c>
      <c r="X419" t="inlineStr">
        <is>
          <t>原始母表#raw_id=DY-SOC-0134</t>
        </is>
      </c>
      <c r="Y419" t="inlineStr">
        <is>
          <t>FROZEN_419_V2</t>
        </is>
      </c>
    </row>
    <row r="420" ht="25.5" customHeight="1">
      <c r="A420" t="inlineStr">
        <is>
          <t>XHS-SOC-0179</t>
        </is>
      </c>
      <c r="B420" t="inlineStr">
        <is>
          <t>购买决策与价格反馈</t>
        </is>
      </c>
      <c r="C420" t="inlineStr">
        <is>
          <t>PRJ001</t>
        </is>
      </c>
      <c r="D420" t="inlineStr">
        <is>
          <t>梅见</t>
        </is>
      </c>
      <c r="E420" t="inlineStr">
        <is>
          <t>梅见也不便宜吧330ml要二三十一瓶</t>
        </is>
      </c>
      <c r="F420" t="inlineStr">
        <is>
          <t>梅见成分分析-浓缩汁勾兑｜2025-10-01｜小红书</t>
        </is>
      </c>
      <c r="G420" t="inlineStr">
        <is>
          <t>小红书</t>
        </is>
      </c>
      <c r="H420" s="2" t="str">
        <f>=HYPERLINK("https://www.xiaohongshu.com/search_result/梅见测评", "https://www.xiaohongshu.com/search_result/梅见测评")</f>
        <v>https://www.xiaohongshu.com/search_result/梅见测评</v>
      </c>
      <c r="I420" s="3">
        <v>46056</v>
      </c>
      <c r="J420" s="4">
        <v>46243</v>
      </c>
      <c r="K420" t="inlineStr">
        <is>
          <t>梅见测评</t>
        </is>
      </c>
      <c r="L420">
        <v>14</v>
      </c>
      <c r="M420" t="inlineStr">
        <is>
          <t>XHS-U0098</t>
        </is>
      </c>
      <c r="N420" t="inlineStr">
        <is>
          <t>公开评论</t>
        </is>
      </c>
      <c r="O420"/>
      <c r="P420" t="inlineStr">
        <is>
          <t>原始:02-03;年份推定·广东；当前为搜索结果页链接，正式入库前需补原笔记链接</t>
        </is>
      </c>
      <c r="Q420" t="inlineStr">
        <is>
          <t>目标品牌</t>
        </is>
      </c>
      <c r="R420"/>
      <c r="S420" t="inlineStr">
        <is>
          <t>XHS-SOC-0179_ANALYSIS_BASELINE_formal-attempt-0001_AI</t>
        </is>
      </c>
      <c r="T420" t="inlineStr">
        <is>
          <t>场景需求</t>
        </is>
      </c>
      <c r="U420" t="inlineStr">
        <is>
          <t>KEEP</t>
        </is>
      </c>
      <c r="V420" t="inlineStr">
        <is>
          <t>ANALYSIS_BASELINE</t>
        </is>
      </c>
      <c r="W420" t="inlineStr">
        <is>
          <t>可用</t>
        </is>
      </c>
      <c r="X420" t="inlineStr">
        <is>
          <t>品牌语料分析与洞察体系.xlsx#表1：原始语料库!420</t>
        </is>
      </c>
      <c r="Y420" t="inlineStr">
        <is>
          <t>FROZEN_419_V2</t>
        </is>
      </c>
    </row>
    <row r="421" ht="25.5" customHeight="1">
      <c r="A421" t="inlineStr">
        <is>
          <t>DY-SOC-0205</t>
        </is>
      </c>
      <c r="B421" t="inlineStr">
        <is>
          <t>购买决策与价格反馈</t>
        </is>
      </c>
      <c r="C421" t="inlineStr">
        <is>
          <t>PRJ001</t>
        </is>
      </c>
      <c r="D421" t="inlineStr">
        <is>
          <t>低度酒</t>
        </is>
      </c>
      <c r="E421" t="inlineStr">
        <is>
          <t>你好怎么购买</t>
        </is>
      </c>
      <c r="F421" t="inlineStr">
        <is>
          <t>平价年度好酒Top10｜2025-01-03｜抖音</t>
        </is>
      </c>
      <c r="G421" t="inlineStr">
        <is>
          <t>抖音</t>
        </is>
      </c>
      <c r="H421" s="2" t="str">
        <f>=HYPERLINK("https://www.douyin.com/video/7592552745405085545", "https://www.douyin.com/video/7592552745405085545")</f>
        <v>https://www.douyin.com/video/7592552745405085545</v>
      </c>
      <c r="I421" s="3">
        <v>45660</v>
      </c>
      <c r="J421" s="4">
        <v>46243</v>
      </c>
      <c r="K421" t="inlineStr">
        <is>
          <t>低度酒推荐①</t>
        </is>
      </c>
      <c r="L421"/>
      <c r="M421" t="inlineStr">
        <is>
          <t>DY-U0294</t>
        </is>
      </c>
      <c r="N421" t="inlineStr">
        <is>
          <t>公开评论</t>
        </is>
      </c>
      <c r="O421"/>
      <c r="P421" t="inlineStr">
        <is>
          <t>点赞数未成功识别，暂置空，禁止随机补值；当前日期来自视频发布时间，评论发布时间未识别</t>
        </is>
      </c>
      <c r="Q421" t="inlineStr">
        <is>
          <t>低度酒品类</t>
        </is>
      </c>
      <c r="R421"/>
      <c r="S421" t="inlineStr">
        <is>
          <t>DY-SOC-0205_CHALLENGE_POOL_formal-attempt-0001_AI</t>
        </is>
      </c>
      <c r="T421" t="inlineStr">
        <is>
          <t>场景需求</t>
        </is>
      </c>
      <c r="U421" t="inlineStr">
        <is>
          <t>KEEP</t>
        </is>
      </c>
      <c r="V421" t="inlineStr">
        <is>
          <t>CHALLENGE</t>
        </is>
      </c>
      <c r="W421" t="inlineStr">
        <is>
          <t>可用</t>
        </is>
      </c>
      <c r="X421" t="inlineStr">
        <is>
          <t>品牌语料分析与洞察体系.xlsx#表1：原始语料库!421</t>
        </is>
      </c>
      <c r="Y421" t="inlineStr">
        <is>
          <t>FROZEN_419_V2</t>
        </is>
      </c>
    </row>
    <row r="422" ht="25.5" customHeight="1">
      <c r="A422" t="inlineStr">
        <is>
          <t>XHS-SOC-0216</t>
        </is>
      </c>
      <c r="B422" t="inlineStr">
        <is>
          <t>购买决策与价格反馈</t>
        </is>
      </c>
      <c r="C422" t="inlineStr">
        <is>
          <t>PRJ001</t>
        </is>
      </c>
      <c r="D422" t="inlineStr">
        <is>
          <t>梅见</t>
        </is>
      </c>
      <c r="E422" t="inlineStr">
        <is>
          <t>我在店里买了梅见，我觉得口味非常好，适合女生</t>
        </is>
      </c>
      <c r="F422" t="inlineStr">
        <is>
          <t>梅见成分分析-浓缩汁勾兑｜2025-10-01｜小红书</t>
        </is>
      </c>
      <c r="G422" t="inlineStr">
        <is>
          <t>小红书</t>
        </is>
      </c>
      <c r="H422" s="2" t="str">
        <f>=HYPERLINK("https://www.xiaohongshu.com/search_result/梅见测评", "https://www.xiaohongshu.com/search_result/梅见测评")</f>
        <v>https://www.xiaohongshu.com/search_result/梅见测评</v>
      </c>
      <c r="I422" s="3">
        <v>46155</v>
      </c>
      <c r="J422" s="4">
        <v>46243</v>
      </c>
      <c r="K422" t="inlineStr">
        <is>
          <t>梅见测评</t>
        </is>
      </c>
      <c r="L422">
        <v>1</v>
      </c>
      <c r="M422" t="inlineStr">
        <is>
          <t>XHS-U0114</t>
        </is>
      </c>
      <c r="N422" t="inlineStr">
        <is>
          <t>公开评论</t>
        </is>
      </c>
      <c r="O422"/>
      <c r="P422" t="inlineStr">
        <is>
          <t>原始:05-13;年份推定·安徽；当前为搜索结果页链接，正式入库前需补原笔记链接</t>
        </is>
      </c>
      <c r="Q422" t="inlineStr">
        <is>
          <t>目标品牌</t>
        </is>
      </c>
      <c r="R422"/>
      <c r="S422" t="inlineStr">
        <is>
          <t>XHS-SOC-0216_ANALYSIS_BASELINE_formal-attempt-0001_AI</t>
        </is>
      </c>
      <c r="T422" t="inlineStr">
        <is>
          <t>场景需求</t>
        </is>
      </c>
      <c r="U422" t="inlineStr">
        <is>
          <t>KEEP</t>
        </is>
      </c>
      <c r="V422" t="inlineStr">
        <is>
          <t>ANALYSIS_BASELINE</t>
        </is>
      </c>
      <c r="W422" t="inlineStr">
        <is>
          <t>可用</t>
        </is>
      </c>
      <c r="X422" t="inlineStr">
        <is>
          <t>品牌语料分析与洞察体系.xlsx#表1：原始语料库!422</t>
        </is>
      </c>
      <c r="Y422" t="inlineStr">
        <is>
          <t>FROZEN_419_V2</t>
        </is>
      </c>
    </row>
    <row r="423" ht="25.5" customHeight="1">
      <c r="A423" t="inlineStr">
        <is>
          <t>XHS-SOC-0217</t>
        </is>
      </c>
      <c r="B423" t="inlineStr">
        <is>
          <t>购买决策与价格反馈</t>
        </is>
      </c>
      <c r="C423" t="inlineStr">
        <is>
          <t>PRJ001</t>
        </is>
      </c>
      <c r="D423" t="inlineStr">
        <is>
          <t>梅见</t>
        </is>
      </c>
      <c r="E423" t="inlineStr">
        <is>
          <t>一直回购，可以直饮</t>
        </is>
      </c>
      <c r="F423" t="inlineStr">
        <is>
          <t>怎么会有这么好喝的梅子酒-时光梅见｜2025-03-21｜小红书</t>
        </is>
      </c>
      <c r="G423" t="inlineStr">
        <is>
          <t>小红书</t>
        </is>
      </c>
      <c r="H423" s="2" t="str">
        <f>=HYPERLINK("https://www.xiaohongshu.com/search_result/果酒哪个牌子好", "https://www.xiaohongshu.com/search_result/果酒哪个牌子好")</f>
        <v>https://www.xiaohongshu.com/search_result/果酒哪个牌子好</v>
      </c>
      <c r="I423" s="3">
        <v>46102</v>
      </c>
      <c r="J423" s="4">
        <v>46243</v>
      </c>
      <c r="K423" t="inlineStr">
        <is>
          <t>果酒哪个牌子好</t>
        </is>
      </c>
      <c r="L423">
        <v>1</v>
      </c>
      <c r="M423" t="inlineStr">
        <is>
          <t>XHS-U0329</t>
        </is>
      </c>
      <c r="N423" t="inlineStr">
        <is>
          <t>公开评论</t>
        </is>
      </c>
      <c r="O423"/>
      <c r="P423" t="inlineStr">
        <is>
          <t>原始:03-21;年份推定·安徽；当前为搜索结果页链接，正式入库前需补原笔记链接</t>
        </is>
      </c>
      <c r="Q423" t="inlineStr">
        <is>
          <t>目标品牌</t>
        </is>
      </c>
      <c r="R423"/>
      <c r="S423" t="inlineStr">
        <is>
          <t>XHS-SOC-0217_ANALYSIS_BASELINE_formal-attempt-0001_AI</t>
        </is>
      </c>
      <c r="T423" t="inlineStr">
        <is>
          <t>场景需求</t>
        </is>
      </c>
      <c r="U423" t="inlineStr">
        <is>
          <t>KEEP</t>
        </is>
      </c>
      <c r="V423" t="inlineStr">
        <is>
          <t>ANALYSIS_BASELINE</t>
        </is>
      </c>
      <c r="W423" t="inlineStr">
        <is>
          <t>可用</t>
        </is>
      </c>
      <c r="X423" t="inlineStr">
        <is>
          <t>品牌语料分析与洞察体系.xlsx#表1：原始语料库!423</t>
        </is>
      </c>
      <c r="Y423" t="inlineStr">
        <is>
          <t>FROZEN_419_V2</t>
        </is>
      </c>
    </row>
    <row r="424" ht="25.5" customHeight="1">
      <c r="A424" t="inlineStr">
        <is>
          <t>XHS-SOC-0243</t>
        </is>
      </c>
      <c r="B424" t="inlineStr">
        <is>
          <t>购买决策与价格反馈</t>
        </is>
      </c>
      <c r="C424" t="inlineStr">
        <is>
          <t>PRJ001</t>
        </is>
      </c>
      <c r="D424" t="inlineStr">
        <is>
          <t>梅见</t>
        </is>
      </c>
      <c r="E424" t="inlineStr">
        <is>
          <t>昆竹，里面最贵的那个青梅酒的品，最柔和</t>
        </is>
      </c>
      <c r="F424" t="inlineStr">
        <is>
          <t>最近喜欢喝酒-RIO和梅见-求推荐女性酒｜2025-06-10｜小红书</t>
        </is>
      </c>
      <c r="G424" t="inlineStr">
        <is>
          <t>小红书</t>
        </is>
      </c>
      <c r="H424" s="2" t="str">
        <f>=HYPERLINK("https://www.xiaohongshu.com/search_result/梅见和rio", "https://www.xiaohongshu.com/search_result/梅见和rio")</f>
        <v>https://www.xiaohongshu.com/search_result/梅见和rio</v>
      </c>
      <c r="I424" s="3">
        <v>46242</v>
      </c>
      <c r="J424" s="4">
        <v>46243</v>
      </c>
      <c r="K424" t="inlineStr">
        <is>
          <t>梅见和RIO</t>
        </is>
      </c>
      <c r="L424">
        <v>0</v>
      </c>
      <c r="M424" t="inlineStr">
        <is>
          <t>XHS-U0232</t>
        </is>
      </c>
      <c r="N424" t="inlineStr">
        <is>
          <t>公开评论</t>
        </is>
      </c>
      <c r="O424"/>
      <c r="P424" t="inlineStr">
        <is>
          <t>原始:昨天;昨天·河北；当前为搜索结果页链接，正式入库前需补原笔记链接</t>
        </is>
      </c>
      <c r="Q424" t="inlineStr">
        <is>
          <t>目标品牌</t>
        </is>
      </c>
      <c r="R424"/>
      <c r="S424" t="inlineStr">
        <is>
          <t>XHS-SOC-0243_GOLD_人工标注_人工,XHS-SOC-0243_GOLD_attempt-0002_AI_矫正前,XHS-SOC-0243_GOLD_attempt-0006_AI_矫正后</t>
        </is>
      </c>
      <c r="T424" t="inlineStr">
        <is>
          <t>场景需求</t>
        </is>
      </c>
      <c r="U424" t="inlineStr">
        <is>
          <t>KEEP</t>
        </is>
      </c>
      <c r="V424" t="inlineStr">
        <is>
          <t>GOLD</t>
        </is>
      </c>
      <c r="W424" t="inlineStr">
        <is>
          <t>不可用</t>
        </is>
      </c>
      <c r="X424" t="inlineStr">
        <is>
          <t>原始母表#raw_id=XHS-SOC-0243</t>
        </is>
      </c>
      <c r="Y424" t="inlineStr">
        <is>
          <t>FROZEN_419_V2</t>
        </is>
      </c>
    </row>
    <row r="425" ht="25.5" customHeight="1">
      <c r="A425" t="inlineStr">
        <is>
          <t>JD-20260809-003</t>
        </is>
      </c>
      <c r="B425" t="inlineStr">
        <is>
          <t>购买决策与价格反馈</t>
        </is>
      </c>
      <c r="C425" t="inlineStr">
        <is>
          <t>PRJ001</t>
        </is>
      </c>
      <c r="D425" t="inlineStr">
        <is>
          <t>CHOYA俏雅｜紫苏3年熟本格梅酒700ml</t>
        </is>
      </c>
      <c r="E425" t="inlineStr">
        <is>
          <t>俏雅梅子酒收到了，包装完整，质量没问题，生产日期新鲜，配料表干净，价格合适，发货快，好喝，送货到家，满意</t>
        </is>
      </c>
      <c r="F425" t="inlineStr">
        <is>
          <t>品牌：CHOYA俏雅｜商品/规格：紫苏3年熟本格梅酒700ml｜SKU：100015875653</t>
        </is>
      </c>
      <c r="G425" t="inlineStr">
        <is>
          <t>京东</t>
        </is>
      </c>
      <c r="H425" s="2" t="str">
        <f>=HYPERLINK("https://item.jd.com/100015875653.html", "https://item.jd.com/100015875653.html")</f>
        <v>https://item.jd.com/100015875653.html</v>
      </c>
      <c r="I425" s="3">
        <v>46011</v>
      </c>
      <c r="J425" s="4">
        <v>46243</v>
      </c>
      <c r="K425" t="inlineStr">
        <is>
          <t>CHOYA 俏雅 梅酒 商品评价</t>
        </is>
      </c>
      <c r="L425"/>
      <c r="M425" t="inlineStr">
        <is>
          <t>JD-U-20260809-003</t>
        </is>
      </c>
      <c r="N425" t="inlineStr">
        <is>
          <t>公开评论</t>
        </is>
      </c>
      <c r="O425"/>
      <c r="P425" t="inlineStr">
        <is>
          <t>情绪粗标：正面；主题粗标：价格；包装；配料；京东商品评价弹层核验；未记录用户名；评价页未展示评论点赞/有用数，点赞数留空</t>
        </is>
      </c>
      <c r="Q425" t="inlineStr">
        <is>
          <t>竞品</t>
        </is>
      </c>
      <c r="R425"/>
      <c r="S425" t="inlineStr">
        <is>
          <t>JD-20260809-003_HOLDOUT_formal-attempt-0001_AI</t>
        </is>
      </c>
      <c r="T425" t="inlineStr">
        <is>
          <t>场景需求</t>
        </is>
      </c>
      <c r="U425" t="inlineStr">
        <is>
          <t>KEEP</t>
        </is>
      </c>
      <c r="V425" t="inlineStr">
        <is>
          <t>HOLDOUT</t>
        </is>
      </c>
      <c r="W425" t="inlineStr">
        <is>
          <t>可用</t>
        </is>
      </c>
      <c r="X425" t="inlineStr">
        <is>
          <t>品牌语料分析与洞察体系.xlsx#表1：原始语料库!425</t>
        </is>
      </c>
      <c r="Y425" t="inlineStr">
        <is>
          <t>FROZEN_419_V2</t>
        </is>
      </c>
    </row>
    <row r="426" ht="25.5" customHeight="1">
      <c r="A426" t="inlineStr">
        <is>
          <t>JD-20260809-004</t>
        </is>
      </c>
      <c r="B426" t="inlineStr">
        <is>
          <t>购买决策与价格反馈</t>
        </is>
      </c>
      <c r="C426" t="inlineStr">
        <is>
          <t>PRJ001</t>
        </is>
      </c>
      <c r="D426" t="inlineStr">
        <is>
          <t>CHOYA俏雅｜纪州Kishu本格梅酒720ml</t>
        </is>
      </c>
      <c r="E426" t="inlineStr">
        <is>
          <t>此款本格俏雅梅酒，第一次喝到朋友送的这款酒，一下子就喜欢上了，酸甜平衡，酒精度刚刚好，入口顺滑，梅香馥郁不上头。已多次回购。</t>
        </is>
      </c>
      <c r="F426" t="inlineStr">
        <is>
          <t>品牌：CHOYA俏雅｜商品/规格：纪州Kishu本格梅酒720ml｜SKU：100049386783</t>
        </is>
      </c>
      <c r="G426" t="inlineStr">
        <is>
          <t>京东</t>
        </is>
      </c>
      <c r="H426" s="2" t="str">
        <f>=HYPERLINK("https://item.jd.com/100049386783.html", "https://item.jd.com/100049386783.html")</f>
        <v>https://item.jd.com/100049386783.html</v>
      </c>
      <c r="I426" s="3">
        <v>46100</v>
      </c>
      <c r="J426" s="4">
        <v>46243</v>
      </c>
      <c r="K426" t="inlineStr">
        <is>
          <t>CHOYA 俏雅 梅酒 商品评价</t>
        </is>
      </c>
      <c r="L426"/>
      <c r="M426" t="inlineStr">
        <is>
          <t>JD-U-20260809-004</t>
        </is>
      </c>
      <c r="N426" t="inlineStr">
        <is>
          <t>公开评论</t>
        </is>
      </c>
      <c r="O426"/>
      <c r="P426" t="inlineStr">
        <is>
          <t>情绪粗标：正面；主题粗标：酸甜度；酒精感；入口感；香气；不上头；回购；京东商品评价弹层核验；未记录用户名；评价页未展示评论点赞/有用数，点赞数留空</t>
        </is>
      </c>
      <c r="Q426" t="inlineStr">
        <is>
          <t>竞品</t>
        </is>
      </c>
      <c r="R426"/>
      <c r="S426" t="inlineStr">
        <is>
          <t>JD-20260809-004_ANALYSIS_DEMO_DELTA_formal-attempt-0001_AI</t>
        </is>
      </c>
      <c r="T426" t="inlineStr">
        <is>
          <t>场景需求</t>
        </is>
      </c>
      <c r="U426" t="inlineStr">
        <is>
          <t>KEEP</t>
        </is>
      </c>
      <c r="V426" t="inlineStr">
        <is>
          <t>CURATED_DEMO_DELTA</t>
        </is>
      </c>
      <c r="W426" t="inlineStr">
        <is>
          <t>可用</t>
        </is>
      </c>
      <c r="X426" t="inlineStr">
        <is>
          <t>品牌语料分析与洞察体系.xlsx#表1：原始语料库!426</t>
        </is>
      </c>
      <c r="Y426" t="inlineStr">
        <is>
          <t>FROZEN_419_V2</t>
        </is>
      </c>
    </row>
    <row r="427" ht="25.5" customHeight="1">
      <c r="A427" t="inlineStr">
        <is>
          <t>JD-20260809-007</t>
        </is>
      </c>
      <c r="B427" t="inlineStr">
        <is>
          <t>购买决策与价格反馈</t>
        </is>
      </c>
      <c r="C427" t="inlineStr">
        <is>
          <t>PRJ001</t>
        </is>
      </c>
      <c r="D427" t="inlineStr">
        <is>
          <t>CHOYA俏雅｜纪州Kishu本格梅酒160ml*5</t>
        </is>
      </c>
      <c r="E427" t="inlineStr">
        <is>
          <t>非常好喝，之前在日本喝过，国内还不好买。</t>
        </is>
      </c>
      <c r="F427" t="inlineStr">
        <is>
          <t>品牌：CHOYA俏雅｜商品/规格：纪州Kishu本格梅酒160ml*5｜SKU：100049386783</t>
        </is>
      </c>
      <c r="G427" t="inlineStr">
        <is>
          <t>京东</t>
        </is>
      </c>
      <c r="H427" s="2" t="str">
        <f>=HYPERLINK("https://item.jd.com/100049386783.html", "https://item.jd.com/100049386783.html")</f>
        <v>https://item.jd.com/100049386783.html</v>
      </c>
      <c r="I427" s="3">
        <v>46092</v>
      </c>
      <c r="J427" s="4">
        <v>46243</v>
      </c>
      <c r="K427" t="inlineStr">
        <is>
          <t>CHOYA 俏雅 梅酒 商品评价</t>
        </is>
      </c>
      <c r="L427"/>
      <c r="M427" t="inlineStr">
        <is>
          <t>JD-U-20260809-007</t>
        </is>
      </c>
      <c r="N427" t="inlineStr">
        <is>
          <t>公开评论</t>
        </is>
      </c>
      <c r="O427"/>
      <c r="P427" t="inlineStr">
        <is>
          <t>情绪粗标：正面；主题粗标：购买渠道；对比经历；京东商品评价弹层核验；未记录用户名；评价页未展示评论点赞/有用数，点赞数留空</t>
        </is>
      </c>
      <c r="Q427" t="inlineStr">
        <is>
          <t>竞品</t>
        </is>
      </c>
      <c r="R427"/>
      <c r="S427" t="inlineStr">
        <is>
          <t>JD-20260809-007_ANALYSIS_BASELINE_formal-attempt-0001_AI</t>
        </is>
      </c>
      <c r="T427" t="inlineStr">
        <is>
          <t>场景需求</t>
        </is>
      </c>
      <c r="U427" t="inlineStr">
        <is>
          <t>KEEP</t>
        </is>
      </c>
      <c r="V427" t="inlineStr">
        <is>
          <t>ANALYSIS_BASELINE</t>
        </is>
      </c>
      <c r="W427" t="inlineStr">
        <is>
          <t>可用</t>
        </is>
      </c>
      <c r="X427" t="inlineStr">
        <is>
          <t>品牌语料分析与洞察体系.xlsx#表1：原始语料库!427</t>
        </is>
      </c>
      <c r="Y427" t="inlineStr">
        <is>
          <t>FROZEN_419_V2</t>
        </is>
      </c>
    </row>
    <row r="428" ht="25.5" customHeight="1">
      <c r="A428" t="inlineStr">
        <is>
          <t>JD-20260809-015</t>
        </is>
      </c>
      <c r="B428" t="inlineStr">
        <is>
          <t>购买决策与价格反馈</t>
        </is>
      </c>
      <c r="C428" t="inlineStr">
        <is>
          <t>PRJ001</t>
        </is>
      </c>
      <c r="D428" t="inlineStr">
        <is>
          <t>CHOYA俏雅｜黑金本格梅酒14度1800mL</t>
        </is>
      </c>
      <c r="E428" t="inlineStr">
        <is>
          <t>夏天的时候经常喝，直接加冰块，等冰块融化一点之后再喝才不会很甜，之前一直买小瓶的，后来发现这种大瓶的更划算，就换成大瓶的了。性价比更高</t>
        </is>
      </c>
      <c r="F428" t="inlineStr">
        <is>
          <t>品牌：CHOYA俏雅｜商品/规格：黑金本格梅酒14度1800mL｜SKU：100049386775</t>
        </is>
      </c>
      <c r="G428" t="inlineStr">
        <is>
          <t>京东</t>
        </is>
      </c>
      <c r="H428" s="2" t="str">
        <f>=HYPERLINK("https://item.jd.com/100049386775.html", "https://item.jd.com/100049386775.html")</f>
        <v>https://item.jd.com/100049386775.html</v>
      </c>
      <c r="I428" s="3">
        <v>46004</v>
      </c>
      <c r="J428" s="4">
        <v>46243</v>
      </c>
      <c r="K428" t="inlineStr">
        <is>
          <t>CHOYA 俏雅 梅酒 商品评价</t>
        </is>
      </c>
      <c r="L428"/>
      <c r="M428" t="inlineStr">
        <is>
          <t>JD-U-20260809-015</t>
        </is>
      </c>
      <c r="N428" t="inlineStr">
        <is>
          <t>公开评论</t>
        </is>
      </c>
      <c r="O428"/>
      <c r="P428" t="inlineStr">
        <is>
          <t>情绪粗标：正面；主题粗标：加冰；甜度；规格选择；性价比；复购；京东商品评价弹层核验；未记录用户名；评价页未展示评论点赞/有用数，点赞数留空</t>
        </is>
      </c>
      <c r="Q428" t="inlineStr">
        <is>
          <t>竞品</t>
        </is>
      </c>
      <c r="R428"/>
      <c r="S428" t="inlineStr">
        <is>
          <t>JD-20260809-015_ANALYSIS_BASELINE_formal-attempt-0001_AI</t>
        </is>
      </c>
      <c r="T428" t="inlineStr">
        <is>
          <t>场景需求</t>
        </is>
      </c>
      <c r="U428" t="inlineStr">
        <is>
          <t>KEEP</t>
        </is>
      </c>
      <c r="V428" t="inlineStr">
        <is>
          <t>ANALYSIS_BASELINE</t>
        </is>
      </c>
      <c r="W428" t="inlineStr">
        <is>
          <t>可用</t>
        </is>
      </c>
      <c r="X428" t="inlineStr">
        <is>
          <t>品牌语料分析与洞察体系.xlsx#表1：原始语料库!428</t>
        </is>
      </c>
      <c r="Y428" t="inlineStr">
        <is>
          <t>FROZEN_419_V2</t>
        </is>
      </c>
    </row>
    <row r="429" ht="25.5" customHeight="1">
      <c r="A429" t="inlineStr">
        <is>
          <t>JD-20260809-021</t>
        </is>
      </c>
      <c r="B429" t="inlineStr">
        <is>
          <t>购买决策与价格反馈</t>
        </is>
      </c>
      <c r="C429" t="inlineStr">
        <is>
          <t>PRJ001</t>
        </is>
      </c>
      <c r="D429" t="inlineStr">
        <is>
          <t>RIO锐澳｜共6罐 葡萄白兰地*5罐+赠饮料1罐</t>
        </is>
      </c>
      <c r="E429" t="inlineStr">
        <is>
          <t>家人特别喜欢，所以回购的，说酸甜平衡度不错，酒精度数刚刚好，解腻效果不错，果香味道浓郁，，不错，推荐购买</t>
        </is>
      </c>
      <c r="F429" t="inlineStr">
        <is>
          <t>品牌：RIO锐澳｜商品/规格：共6罐 葡萄白兰地*5罐+赠饮料1罐｜SKU：10109256829732</t>
        </is>
      </c>
      <c r="G429" t="inlineStr">
        <is>
          <t>京东</t>
        </is>
      </c>
      <c r="H429" s="2" t="str">
        <f>=HYPERLINK("https://item.jd.com/10109256829732.html", "https://item.jd.com/10109256829732.html")</f>
        <v>https://item.jd.com/10109256829732.html</v>
      </c>
      <c r="I429" s="3">
        <v>45945</v>
      </c>
      <c r="J429" s="4">
        <v>46243</v>
      </c>
      <c r="K429" t="inlineStr">
        <is>
          <t>RIO 锐澳 鸡尾酒 商品评价</t>
        </is>
      </c>
      <c r="L429"/>
      <c r="M429" t="inlineStr">
        <is>
          <t>JD-U-20260809-021</t>
        </is>
      </c>
      <c r="N429" t="inlineStr">
        <is>
          <t>公开评论</t>
        </is>
      </c>
      <c r="O429"/>
      <c r="P429" t="inlineStr">
        <is>
          <t>情绪粗标：正面；主题粗标：回购；酸甜度；酒精感；解腻；果香；京东商品评价弹层核验；未记录用户名；评价页未展示评论点赞/有用数，点赞数留空</t>
        </is>
      </c>
      <c r="Q429" t="inlineStr">
        <is>
          <t>竞品</t>
        </is>
      </c>
      <c r="R429"/>
      <c r="S429" t="inlineStr">
        <is>
          <t>JD-20260809-021_ANALYSIS_BASELINE_formal-attempt-0001_AI</t>
        </is>
      </c>
      <c r="T429" t="inlineStr">
        <is>
          <t>场景需求</t>
        </is>
      </c>
      <c r="U429" t="inlineStr">
        <is>
          <t>KEEP</t>
        </is>
      </c>
      <c r="V429" t="inlineStr">
        <is>
          <t>ANALYSIS_BASELINE</t>
        </is>
      </c>
      <c r="W429" t="inlineStr">
        <is>
          <t>可用</t>
        </is>
      </c>
      <c r="X429" t="inlineStr">
        <is>
          <t>品牌语料分析与洞察体系.xlsx#表1：原始语料库!429</t>
        </is>
      </c>
      <c r="Y429" t="inlineStr">
        <is>
          <t>FROZEN_419_V2</t>
        </is>
      </c>
    </row>
    <row r="430" ht="25.5" customHeight="1">
      <c r="A430" t="inlineStr">
        <is>
          <t>JD-20260809-024</t>
        </is>
      </c>
      <c r="B430" t="inlineStr">
        <is>
          <t>购买决策与价格反馈</t>
        </is>
      </c>
      <c r="C430" t="inlineStr">
        <is>
          <t>PRJ001</t>
        </is>
      </c>
      <c r="D430" t="inlineStr">
        <is>
          <t>RIO锐澳｜共6罐 乳酸菌伏特加*5罐+饮料1罐</t>
        </is>
      </c>
      <c r="E430" t="inlineStr">
        <is>
          <t>很喜欢这个口味的，一直购买这个味道的，价格也还行吧。</t>
        </is>
      </c>
      <c r="F430" t="inlineStr">
        <is>
          <t>品牌：RIO锐澳｜商品/规格：共6罐 乳酸菌伏特加*5罐+饮料1罐｜SKU：10109256829732</t>
        </is>
      </c>
      <c r="G430" t="inlineStr">
        <is>
          <t>京东</t>
        </is>
      </c>
      <c r="H430" s="2" t="str">
        <f>=HYPERLINK("https://item.jd.com/10109256829732.html", "https://item.jd.com/10109256829732.html")</f>
        <v>https://item.jd.com/10109256829732.html</v>
      </c>
      <c r="I430" s="3">
        <v>45927</v>
      </c>
      <c r="J430" s="4">
        <v>46243</v>
      </c>
      <c r="K430" t="inlineStr">
        <is>
          <t>RIO 锐澳 鸡尾酒 商品评价</t>
        </is>
      </c>
      <c r="L430"/>
      <c r="M430" t="inlineStr">
        <is>
          <t>JD-U-20260809-024</t>
        </is>
      </c>
      <c r="N430" t="inlineStr">
        <is>
          <t>公开评论</t>
        </is>
      </c>
      <c r="O430"/>
      <c r="P430" t="inlineStr">
        <is>
          <t>情绪粗标：中性；主题粗标：复购；口味；价格；京东商品评价弹层核验；未记录用户名；评价页未展示评论点赞/有用数，点赞数留空</t>
        </is>
      </c>
      <c r="Q430" t="inlineStr">
        <is>
          <t>竞品</t>
        </is>
      </c>
      <c r="R430"/>
      <c r="S430" t="inlineStr">
        <is>
          <t>JD-20260809-024_ANALYSIS_BASELINE_formal-attempt-0001_AI</t>
        </is>
      </c>
      <c r="T430" t="inlineStr">
        <is>
          <t>场景需求</t>
        </is>
      </c>
      <c r="U430" t="inlineStr">
        <is>
          <t>KEEP</t>
        </is>
      </c>
      <c r="V430" t="inlineStr">
        <is>
          <t>ANALYSIS_BASELINE</t>
        </is>
      </c>
      <c r="W430" t="inlineStr">
        <is>
          <t>可用</t>
        </is>
      </c>
      <c r="X430" t="inlineStr">
        <is>
          <t>品牌语料分析与洞察体系.xlsx#表1：原始语料库!430</t>
        </is>
      </c>
      <c r="Y430" t="inlineStr">
        <is>
          <t>FROZEN_419_V2</t>
        </is>
      </c>
    </row>
    <row r="431" ht="25.5" customHeight="1">
      <c r="A431" t="inlineStr">
        <is>
          <t>JD-20260809-029</t>
        </is>
      </c>
      <c r="B431" t="inlineStr">
        <is>
          <t>购买决策与价格反馈</t>
        </is>
      </c>
      <c r="C431" t="inlineStr">
        <is>
          <t>PRJ001</t>
        </is>
      </c>
      <c r="D431" t="inlineStr">
        <is>
          <t>RIO锐澳｜微醺随机口味8罐</t>
        </is>
      </c>
      <c r="E431" t="inlineStr">
        <is>
          <t>包装严实，没磕碰到，价格比自营的便宜些，而且口味还多，八罐有七种口味。度数低，聚餐喝很合适，解腻效果佳。物流也挺快，体验佳。</t>
        </is>
      </c>
      <c r="F431" t="inlineStr">
        <is>
          <t>品牌：RIO锐澳｜商品/规格：微醺随机口味8罐｜SKU：10112125621688</t>
        </is>
      </c>
      <c r="G431" t="inlineStr">
        <is>
          <t>京东</t>
        </is>
      </c>
      <c r="H431" s="2" t="str">
        <f>=HYPERLINK("https://item.jd.com/10112125621688.html", "https://item.jd.com/10112125621688.html")</f>
        <v>https://item.jd.com/10112125621688.html</v>
      </c>
      <c r="I431" s="3">
        <v>46068</v>
      </c>
      <c r="J431" s="4">
        <v>46243</v>
      </c>
      <c r="K431" t="inlineStr">
        <is>
          <t>RIO 锐澳 鸡尾酒 商品评价</t>
        </is>
      </c>
      <c r="L431"/>
      <c r="M431" t="inlineStr">
        <is>
          <t>JD-U-20260809-029</t>
        </is>
      </c>
      <c r="N431" t="inlineStr">
        <is>
          <t>公开评论</t>
        </is>
      </c>
      <c r="O431"/>
      <c r="P431" t="inlineStr">
        <is>
          <t>情绪粗标：正面；主题粗标：包装；价格比较；多口味；酒精感；聚餐；解腻；京东商品评价弹层核验；已排除商家回复与用户名；评价页未展示评论点赞/有用数，点赞数留空</t>
        </is>
      </c>
      <c r="Q431" t="inlineStr">
        <is>
          <t>竞品</t>
        </is>
      </c>
      <c r="R431"/>
      <c r="S431" t="inlineStr">
        <is>
          <t>JD-20260809-029_ANALYSIS_BASELINE_formal-attempt-0001_AI</t>
        </is>
      </c>
      <c r="T431" t="inlineStr">
        <is>
          <t>场景需求</t>
        </is>
      </c>
      <c r="U431" t="inlineStr">
        <is>
          <t>KEEP</t>
        </is>
      </c>
      <c r="V431" t="inlineStr">
        <is>
          <t>ANALYSIS_BASELINE</t>
        </is>
      </c>
      <c r="W431" t="inlineStr">
        <is>
          <t>可用</t>
        </is>
      </c>
      <c r="X431" t="inlineStr">
        <is>
          <t>品牌语料分析与洞察体系.xlsx#表1：原始语料库!431</t>
        </is>
      </c>
      <c r="Y431" t="inlineStr">
        <is>
          <t>FROZEN_419_V2</t>
        </is>
      </c>
    </row>
    <row r="432" ht="25.5" customHeight="1">
      <c r="A432" t="inlineStr">
        <is>
          <t>JD-20260809-033</t>
        </is>
      </c>
      <c r="B432" t="inlineStr">
        <is>
          <t>购买决策与价格反馈</t>
        </is>
      </c>
      <c r="C432" t="inlineStr">
        <is>
          <t>PRJ001</t>
        </is>
      </c>
      <c r="D432" t="inlineStr">
        <is>
          <t>RIO锐澳｜微醺268ml*12罐1</t>
        </is>
      </c>
      <c r="E432" t="inlineStr">
        <is>
          <t>收到后12瓶只有两个口味，可能我备注的话是会多点的，但是还是有点失望</t>
        </is>
      </c>
      <c r="F432" t="inlineStr">
        <is>
          <t>品牌：RIO锐澳｜商品/规格：微醺268ml*12罐1｜SKU：10112125621688</t>
        </is>
      </c>
      <c r="G432" t="inlineStr">
        <is>
          <t>京东</t>
        </is>
      </c>
      <c r="H432" s="2" t="str">
        <f>=HYPERLINK("https://item.jd.com/10112125621688.html", "https://item.jd.com/10112125621688.html")</f>
        <v>https://item.jd.com/10112125621688.html</v>
      </c>
      <c r="I432" s="3">
        <v>46169</v>
      </c>
      <c r="J432" s="4">
        <v>46243</v>
      </c>
      <c r="K432" t="inlineStr">
        <is>
          <t>RIO 锐澳 鸡尾酒 商品评价</t>
        </is>
      </c>
      <c r="L432"/>
      <c r="M432" t="inlineStr">
        <is>
          <t>JD-U-20260809-033</t>
        </is>
      </c>
      <c r="N432" t="inlineStr">
        <is>
          <t>公开评论</t>
        </is>
      </c>
      <c r="O432"/>
      <c r="P432" t="inlineStr">
        <is>
          <t>情绪粗标：负面；主题粗标：随机口味；期望落差；不满意；京东中评弹层核验；已排除商家回复与用户名；评价页未展示评论点赞/有用数，点赞数留空</t>
        </is>
      </c>
      <c r="Q432" t="inlineStr">
        <is>
          <t>竞品</t>
        </is>
      </c>
      <c r="R432"/>
      <c r="S432" t="inlineStr">
        <is>
          <t>JD-20260809-033_ANALYSIS_BASELINE_formal-attempt-0001_AI</t>
        </is>
      </c>
      <c r="T432" t="inlineStr">
        <is>
          <t>场景需求</t>
        </is>
      </c>
      <c r="U432" t="inlineStr">
        <is>
          <t>KEEP</t>
        </is>
      </c>
      <c r="V432" t="inlineStr">
        <is>
          <t>ANALYSIS_BASELINE</t>
        </is>
      </c>
      <c r="W432" t="inlineStr">
        <is>
          <t>可用</t>
        </is>
      </c>
      <c r="X432" t="inlineStr">
        <is>
          <t>品牌语料分析与洞察体系.xlsx#表1：原始语料库!432</t>
        </is>
      </c>
      <c r="Y432" t="inlineStr">
        <is>
          <t>FROZEN_419_V2</t>
        </is>
      </c>
    </row>
    <row r="433" ht="25.5" customHeight="1">
      <c r="A433" t="inlineStr">
        <is>
          <t>JD-20260809-035</t>
        </is>
      </c>
      <c r="B433" t="inlineStr">
        <is>
          <t>购买决策与价格反馈</t>
        </is>
      </c>
      <c r="C433" t="inlineStr">
        <is>
          <t>PRJ001</t>
        </is>
      </c>
      <c r="D433" t="inlineStr">
        <is>
          <t>昆竹牌｜青梅酒450ml*6瓶</t>
        </is>
      </c>
      <c r="E433" t="inlineStr">
        <is>
          <t>这款梅酒酸甜平衡，梅香清新自然，入口柔和顺滑，余味有淡淡果香回甘。酒精度适中，冰镇后口感更清爽，加气泡水或冰块都很适合。包装精致，适合朋友聚会，性价比不错，会回购。</t>
        </is>
      </c>
      <c r="F433" t="inlineStr">
        <is>
          <t>品牌：昆竹牌｜商品/规格：青梅酒450ml*6瓶｜SKU：100348071270</t>
        </is>
      </c>
      <c r="G433" t="inlineStr">
        <is>
          <t>京东</t>
        </is>
      </c>
      <c r="H433" s="2" t="str">
        <f>=HYPERLINK("https://item.jd.com/100348071270.html", "https://item.jd.com/100348071270.html")</f>
        <v>https://item.jd.com/100348071270.html</v>
      </c>
      <c r="I433" s="3">
        <v>46150</v>
      </c>
      <c r="J433" s="4">
        <v>46243</v>
      </c>
      <c r="K433" t="inlineStr">
        <is>
          <t>昆竹 青梅酒 商品评价</t>
        </is>
      </c>
      <c r="L433"/>
      <c r="M433" t="inlineStr">
        <is>
          <t>JD-U-20260809-035</t>
        </is>
      </c>
      <c r="N433" t="inlineStr">
        <is>
          <t>公开评论</t>
        </is>
      </c>
      <c r="O433"/>
      <c r="P433" t="inlineStr">
        <is>
          <t>情绪粗标：正面；主题粗标：酸甜度；香气；入口感；回甘；酒精感；冰镇；调配；包装；性价比；回购；京东商品评价弹层核验；已排除商家回复与用户名；评价页未展示评论点赞/有用数，点赞数留空</t>
        </is>
      </c>
      <c r="Q433" t="inlineStr">
        <is>
          <t>竞品</t>
        </is>
      </c>
      <c r="R433"/>
      <c r="S433" t="inlineStr">
        <is>
          <t>JD-20260809-035_ANALYSIS_BASELINE_formal-attempt-0001_AI</t>
        </is>
      </c>
      <c r="T433" t="inlineStr">
        <is>
          <t>场景需求</t>
        </is>
      </c>
      <c r="U433" t="inlineStr">
        <is>
          <t>KEEP</t>
        </is>
      </c>
      <c r="V433" t="inlineStr">
        <is>
          <t>ANALYSIS_BASELINE</t>
        </is>
      </c>
      <c r="W433" t="inlineStr">
        <is>
          <t>可用</t>
        </is>
      </c>
      <c r="X433" t="inlineStr">
        <is>
          <t>品牌语料分析与洞察体系.xlsx#表1：原始语料库!433</t>
        </is>
      </c>
      <c r="Y433" t="inlineStr">
        <is>
          <t>FROZEN_419_V2</t>
        </is>
      </c>
    </row>
    <row r="434" ht="25.5" customHeight="1">
      <c r="A434" t="inlineStr">
        <is>
          <t>JD-20260809-038</t>
        </is>
      </c>
      <c r="B434" t="inlineStr">
        <is>
          <t>购买决策与价格反馈</t>
        </is>
      </c>
      <c r="C434" t="inlineStr">
        <is>
          <t>PRJ001</t>
        </is>
      </c>
      <c r="D434" t="inlineStr">
        <is>
          <t>昆竹牌｜青梅酒450ml*6瓶</t>
        </is>
      </c>
      <c r="E434" t="inlineStr">
        <is>
          <t>在广东喝过这一款酒，适合女士们饮用。口感酸甜爽口，度数低，招待客人尝尝味道，也不错。京东上也可以下单，买的多与广东当地价位相差不大。</t>
        </is>
      </c>
      <c r="F434" t="inlineStr">
        <is>
          <t>品牌：昆竹牌｜商品/规格：青梅酒450ml*6瓶｜SKU：100348071270</t>
        </is>
      </c>
      <c r="G434" t="inlineStr">
        <is>
          <t>京东</t>
        </is>
      </c>
      <c r="H434" s="2" t="str">
        <f>=HYPERLINK("https://item.jd.com/100348071270.html", "https://item.jd.com/100348071270.html")</f>
        <v>https://item.jd.com/100348071270.html</v>
      </c>
      <c r="I434" s="3">
        <v>46155</v>
      </c>
      <c r="J434" s="4">
        <v>46243</v>
      </c>
      <c r="K434" t="inlineStr">
        <is>
          <t>昆竹 青梅酒 商品评价</t>
        </is>
      </c>
      <c r="L434"/>
      <c r="M434" t="inlineStr">
        <is>
          <t>JD-U-20260809-038</t>
        </is>
      </c>
      <c r="N434" t="inlineStr">
        <is>
          <t>公开评论</t>
        </is>
      </c>
      <c r="O434"/>
      <c r="P434" t="inlineStr">
        <is>
          <t>情绪粗标：正面；主题粗标：酸甜度；酒精感；待客；价格比较；京东商品评价弹层核验；已排除商家回复与用户名；评价页未展示评论点赞/有用数，点赞数留空</t>
        </is>
      </c>
      <c r="Q434" t="inlineStr">
        <is>
          <t>竞品</t>
        </is>
      </c>
      <c r="R434"/>
      <c r="S434" t="inlineStr">
        <is>
          <t>JD-20260809-038_ANALYSIS_BASELINE_formal-attempt-0001_AI</t>
        </is>
      </c>
      <c r="T434" t="inlineStr">
        <is>
          <t>场景需求</t>
        </is>
      </c>
      <c r="U434" t="inlineStr">
        <is>
          <t>KEEP</t>
        </is>
      </c>
      <c r="V434" t="inlineStr">
        <is>
          <t>ANALYSIS_BASELINE</t>
        </is>
      </c>
      <c r="W434" t="inlineStr">
        <is>
          <t>可用</t>
        </is>
      </c>
      <c r="X434" t="inlineStr">
        <is>
          <t>品牌语料分析与洞察体系.xlsx#表1：原始语料库!434</t>
        </is>
      </c>
      <c r="Y434" t="inlineStr">
        <is>
          <t>FROZEN_419_V2</t>
        </is>
      </c>
    </row>
    <row r="435" ht="25.5" customHeight="1">
      <c r="A435" t="inlineStr">
        <is>
          <t>JD-20260809-040</t>
        </is>
      </c>
      <c r="B435" t="inlineStr">
        <is>
          <t>购买决策与价格反馈</t>
        </is>
      </c>
      <c r="C435" t="inlineStr">
        <is>
          <t>PRJ001</t>
        </is>
      </c>
      <c r="D435" t="inlineStr">
        <is>
          <t>昆竹牌｜青梅酒白金版 375ml 单瓶</t>
        </is>
      </c>
      <c r="E435" t="inlineStr">
        <is>
          <t>昆竹青梅酒白金版太绝了！精选老树大青梅，梅香浓郁高扬，酸甜平衡超舒服。12度柔和不辣喉，纯饮/加冰都绝，配料干净无添加，微醺不上头，无限回购！</t>
        </is>
      </c>
      <c r="F435" t="inlineStr">
        <is>
          <t>品牌：昆竹牌｜商品/规格：青梅酒白金版 375ml 单瓶｜SKU：100348071270</t>
        </is>
      </c>
      <c r="G435" t="inlineStr">
        <is>
          <t>京东</t>
        </is>
      </c>
      <c r="H435" s="2" t="str">
        <f>=HYPERLINK("https://item.jd.com/100348071270.html", "https://item.jd.com/100348071270.html")</f>
        <v>https://item.jd.com/100348071270.html</v>
      </c>
      <c r="I435" s="3">
        <v>46086</v>
      </c>
      <c r="J435" s="4">
        <v>46243</v>
      </c>
      <c r="K435" t="inlineStr">
        <is>
          <t>昆竹 青梅酒 商品评价</t>
        </is>
      </c>
      <c r="L435"/>
      <c r="M435" t="inlineStr">
        <is>
          <t>JD-U-20260809-040</t>
        </is>
      </c>
      <c r="N435" t="inlineStr">
        <is>
          <t>公开评论</t>
        </is>
      </c>
      <c r="O435"/>
      <c r="P435" t="inlineStr">
        <is>
          <t>情绪粗标：正面；主题粗标：香气；酸甜度；酒精感；加冰；配料；不上头；回购；京东商品评价弹层核验；已排除商家回复与用户名；评价页未展示评论点赞/有用数，点赞数留空；疑似模板化表达，仅作为原始语料导入，表2需人工复核</t>
        </is>
      </c>
      <c r="Q435" t="inlineStr">
        <is>
          <t>竞品</t>
        </is>
      </c>
      <c r="R435"/>
      <c r="S435" t="inlineStr">
        <is>
          <t>JD-20260809-040_HOLDOUT_formal-attempt-0001_AI</t>
        </is>
      </c>
      <c r="T435" t="inlineStr">
        <is>
          <t>场景需求</t>
        </is>
      </c>
      <c r="U435" t="inlineStr">
        <is>
          <t>KEEP</t>
        </is>
      </c>
      <c r="V435" t="inlineStr">
        <is>
          <t>HOLDOUT</t>
        </is>
      </c>
      <c r="W435" t="inlineStr">
        <is>
          <t>可用</t>
        </is>
      </c>
      <c r="X435" t="inlineStr">
        <is>
          <t>品牌语料分析与洞察体系.xlsx#表1：原始语料库!435</t>
        </is>
      </c>
      <c r="Y435" t="inlineStr">
        <is>
          <t>FROZEN_419_V2</t>
        </is>
      </c>
    </row>
    <row r="436" ht="25.5" customHeight="1">
      <c r="A436" t="inlineStr">
        <is>
          <t>JD-20260809-043</t>
        </is>
      </c>
      <c r="B436" t="inlineStr">
        <is>
          <t>购买决策与价格反馈</t>
        </is>
      </c>
      <c r="C436" t="inlineStr">
        <is>
          <t>PRJ001</t>
        </is>
      </c>
      <c r="D436" t="inlineStr">
        <is>
          <t>RIO锐澳｜强爽500ML*12罐 随机（含0糖）</t>
        </is>
      </c>
      <c r="E436" t="inlineStr">
        <is>
          <t>这款强爽气泡水真的太惊艳了！🥤🍇果香浓郁，口感甘甜顺滑，冰镇后清爽解腻，聚会必备～包装精致，颜值在线✨，朋友都说好喝！会回购👍，性价比超高🌟，强烈推荐给喜欢微醺感的朋友🎉👏💖💖</t>
        </is>
      </c>
      <c r="F436" t="inlineStr">
        <is>
          <t>品牌：RIO锐澳｜商品/规格：强爽500ML*12罐 随机（含0糖）｜SKU：10115466070314</t>
        </is>
      </c>
      <c r="G436" t="inlineStr">
        <is>
          <t>京东</t>
        </is>
      </c>
      <c r="H436" s="2" t="str">
        <f>=HYPERLINK("https://item.jd.com/10115466070314.html", "https://item.jd.com/10115466070314.html")</f>
        <v>https://item.jd.com/10115466070314.html</v>
      </c>
      <c r="I436" s="3">
        <v>46093</v>
      </c>
      <c r="J436" s="4">
        <v>46243</v>
      </c>
      <c r="K436" t="inlineStr">
        <is>
          <t>RIO 锐澳 鸡尾酒 商品评价</t>
        </is>
      </c>
      <c r="L436"/>
      <c r="M436" t="inlineStr">
        <is>
          <t>JD-U-20260809-043</t>
        </is>
      </c>
      <c r="N436" t="inlineStr">
        <is>
          <t>公开评论</t>
        </is>
      </c>
      <c r="O436"/>
      <c r="P436" t="inlineStr">
        <is>
          <t>情绪粗标：正面；主题粗标：果香；甜度；入口感；冰镇；解腻；聚会；包装；回购；性价比；京东商品评价弹层核验；已排除商家回复与用户名；评价页未展示评论点赞/有用数，点赞数留空；疑似模板化表达，仅作为原始语料导入，表2需人工复核</t>
        </is>
      </c>
      <c r="Q436" t="inlineStr">
        <is>
          <t>竞品</t>
        </is>
      </c>
      <c r="R436"/>
      <c r="S436" t="inlineStr">
        <is>
          <t>JD-20260809-043_ANALYSIS_BASELINE_formal-attempt-0001_AI</t>
        </is>
      </c>
      <c r="T436" t="inlineStr">
        <is>
          <t>场景需求</t>
        </is>
      </c>
      <c r="U436" t="inlineStr">
        <is>
          <t>KEEP</t>
        </is>
      </c>
      <c r="V436" t="inlineStr">
        <is>
          <t>ANALYSIS_BASELINE</t>
        </is>
      </c>
      <c r="W436" t="inlineStr">
        <is>
          <t>可用</t>
        </is>
      </c>
      <c r="X436" t="inlineStr">
        <is>
          <t>品牌语料分析与洞察体系.xlsx#表1：原始语料库!436</t>
        </is>
      </c>
      <c r="Y436" t="inlineStr">
        <is>
          <t>FROZEN_419_V2</t>
        </is>
      </c>
    </row>
    <row r="437" ht="25.5" customHeight="1">
      <c r="A437" t="inlineStr">
        <is>
          <t>JD-20260809-046</t>
        </is>
      </c>
      <c r="B437" t="inlineStr">
        <is>
          <t>购买决策与价格反馈</t>
        </is>
      </c>
      <c r="C437" t="inlineStr">
        <is>
          <t>PRJ001</t>
        </is>
      </c>
      <c r="D437" t="inlineStr">
        <is>
          <t>RIO锐澳｜强爽500ml*6罐 单白桃口味</t>
        </is>
      </c>
      <c r="E437" t="inlineStr">
        <is>
          <t>发货很快 包装结实 泡沫塑料保护的很好防止磕碰 味道挺不错的 最近一直买这个 感觉桃子的口味是最喜欢的 喝完的感觉也刚好</t>
        </is>
      </c>
      <c r="F437" t="inlineStr">
        <is>
          <t>品牌：RIO锐澳｜商品/规格：强爽500ml*6罐 单白桃口味｜SKU：10115466070314</t>
        </is>
      </c>
      <c r="G437" t="inlineStr">
        <is>
          <t>京东</t>
        </is>
      </c>
      <c r="H437" s="2" t="str">
        <f>=HYPERLINK("https://item.jd.com/10115466070314.html", "https://item.jd.com/10115466070314.html")</f>
        <v>https://item.jd.com/10115466070314.html</v>
      </c>
      <c r="I437" s="3">
        <v>46045</v>
      </c>
      <c r="J437" s="4">
        <v>46243</v>
      </c>
      <c r="K437" t="inlineStr">
        <is>
          <t>RIO 锐澳 鸡尾酒 商品评价</t>
        </is>
      </c>
      <c r="L437"/>
      <c r="M437" t="inlineStr">
        <is>
          <t>JD-U-20260809-046</t>
        </is>
      </c>
      <c r="N437" t="inlineStr">
        <is>
          <t>公开评论</t>
        </is>
      </c>
      <c r="O437"/>
      <c r="P437" t="inlineStr">
        <is>
          <t>情绪粗标：正面；主题粗标：包装；复购；白桃口味；饮后感；京东商品评价弹层核验；已排除商家回复与用户名；评价页未展示评论点赞/有用数，点赞数留空</t>
        </is>
      </c>
      <c r="Q437" t="inlineStr">
        <is>
          <t>竞品</t>
        </is>
      </c>
      <c r="R437"/>
      <c r="S437" t="inlineStr">
        <is>
          <t>JD-20260809-046_HOLDOUT_formal-attempt-0001_AI</t>
        </is>
      </c>
      <c r="T437" t="inlineStr">
        <is>
          <t>场景需求</t>
        </is>
      </c>
      <c r="U437" t="inlineStr">
        <is>
          <t>KEEP</t>
        </is>
      </c>
      <c r="V437" t="inlineStr">
        <is>
          <t>HOLDOUT</t>
        </is>
      </c>
      <c r="W437" t="inlineStr">
        <is>
          <t>可用</t>
        </is>
      </c>
      <c r="X437" t="inlineStr">
        <is>
          <t>品牌语料分析与洞察体系.xlsx#表1：原始语料库!437</t>
        </is>
      </c>
      <c r="Y437" t="inlineStr">
        <is>
          <t>FROZEN_419_V2</t>
        </is>
      </c>
    </row>
    <row r="438" ht="25.5" customHeight="1">
      <c r="A438" t="inlineStr">
        <is>
          <t>JD-20260809-047</t>
        </is>
      </c>
      <c r="B438" t="inlineStr">
        <is>
          <t>购买决策与价格反馈</t>
        </is>
      </c>
      <c r="C438" t="inlineStr">
        <is>
          <t>PRJ001</t>
        </is>
      </c>
      <c r="D438" t="inlineStr">
        <is>
          <t>RIO锐澳｜强爽500*6罐 青提茉莉</t>
        </is>
      </c>
      <c r="E438" t="inlineStr">
        <is>
          <t>这款强爽青提味饮料真是让人爱不释手！口感清爽，果香浓郁，聚会必备饮品🥤🍻 朋友都说好喝，性价比超高，值得回购👍。</t>
        </is>
      </c>
      <c r="F438" t="inlineStr">
        <is>
          <t>品牌：RIO锐澳｜商品/规格：强爽500*6罐 青提茉莉｜SKU：10115466070314</t>
        </is>
      </c>
      <c r="G438" t="inlineStr">
        <is>
          <t>京东</t>
        </is>
      </c>
      <c r="H438" s="2" t="str">
        <f>=HYPERLINK("https://item.jd.com/10115466070314.html", "https://item.jd.com/10115466070314.html")</f>
        <v>https://item.jd.com/10115466070314.html</v>
      </c>
      <c r="I438" s="3">
        <v>45975</v>
      </c>
      <c r="J438" s="4">
        <v>46243</v>
      </c>
      <c r="K438" t="inlineStr">
        <is>
          <t>RIO 锐澳 鸡尾酒 商品评价</t>
        </is>
      </c>
      <c r="L438"/>
      <c r="M438" t="inlineStr">
        <is>
          <t>JD-U-20260809-047</t>
        </is>
      </c>
      <c r="N438" t="inlineStr">
        <is>
          <t>公开评论</t>
        </is>
      </c>
      <c r="O438"/>
      <c r="P438" t="inlineStr">
        <is>
          <t>情绪粗标：正面；主题粗标：清爽；果香；聚会；性价比；回购；京东商品评价弹层核验；已排除商家回复与用户名；评价页未展示评论点赞/有用数，点赞数留空</t>
        </is>
      </c>
      <c r="Q438" t="inlineStr">
        <is>
          <t>竞品</t>
        </is>
      </c>
      <c r="R438"/>
      <c r="S438" t="inlineStr">
        <is>
          <t>JD-20260809-047_HOLDOUT_formal-attempt-0001_AI</t>
        </is>
      </c>
      <c r="T438" t="inlineStr">
        <is>
          <t>场景需求</t>
        </is>
      </c>
      <c r="U438" t="inlineStr">
        <is>
          <t>KEEP</t>
        </is>
      </c>
      <c r="V438" t="inlineStr">
        <is>
          <t>HOLDOUT</t>
        </is>
      </c>
      <c r="W438" t="inlineStr">
        <is>
          <t>可用</t>
        </is>
      </c>
      <c r="X438" t="inlineStr">
        <is>
          <t>品牌语料分析与洞察体系.xlsx#表1：原始语料库!438</t>
        </is>
      </c>
      <c r="Y438" t="inlineStr">
        <is>
          <t>FROZEN_419_V2</t>
        </is>
      </c>
    </row>
    <row r="439" ht="25.5" customHeight="1">
      <c r="A439" t="inlineStr">
        <is>
          <t>JD-20260809-049</t>
        </is>
      </c>
      <c r="B439" t="inlineStr">
        <is>
          <t>购买决策与价格反馈</t>
        </is>
      </c>
      <c r="C439" t="inlineStr">
        <is>
          <t>PRJ001</t>
        </is>
      </c>
      <c r="D439" t="inlineStr">
        <is>
          <t>RIO锐澳｜强爽500ml0糖多口味组合12罐装</t>
        </is>
      </c>
      <c r="E439" t="inlineStr">
        <is>
          <t>小同学推荐，今年过年就喝他了，早年前玻璃瓶的基本都喝过，对比了几个平台，价格合适的时候囤几箱，过节聚会少不了喝点儿，不过口味还没买全，继续～</t>
        </is>
      </c>
      <c r="F439" t="inlineStr">
        <is>
          <t>品牌：RIO锐澳｜商品/规格：强爽500ml0糖多口味组合12罐装｜SKU：10115466070314</t>
        </is>
      </c>
      <c r="G439" t="inlineStr">
        <is>
          <t>京东</t>
        </is>
      </c>
      <c r="H439" s="2" t="str">
        <f>=HYPERLINK("https://item.jd.com/10115466070314.html", "https://item.jd.com/10115466070314.html")</f>
        <v>https://item.jd.com/10115466070314.html</v>
      </c>
      <c r="I439" s="3">
        <v>46052</v>
      </c>
      <c r="J439" s="4">
        <v>46243</v>
      </c>
      <c r="K439" t="inlineStr">
        <is>
          <t>RIO 锐澳 鸡尾酒 商品评价</t>
        </is>
      </c>
      <c r="L439"/>
      <c r="M439" t="inlineStr">
        <is>
          <t>JD-U-20260809-049</t>
        </is>
      </c>
      <c r="N439" t="inlineStr">
        <is>
          <t>公开评论</t>
        </is>
      </c>
      <c r="O439"/>
      <c r="P439" t="inlineStr">
        <is>
          <t>情绪粗标：正面；主题粗标：推荐；与玻璃瓶比较；平台比价；囤货；聚会；京东商品评价弹层核验；已排除商家回复与用户名；评价页未展示评论点赞/有用数，点赞数留空</t>
        </is>
      </c>
      <c r="Q439" t="inlineStr">
        <is>
          <t>竞品</t>
        </is>
      </c>
      <c r="R439"/>
      <c r="S439" t="inlineStr">
        <is>
          <t>JD-20260809-049_ANALYSIS_BASELINE_formal-attempt-0001_AI</t>
        </is>
      </c>
      <c r="T439" t="inlineStr">
        <is>
          <t>场景需求</t>
        </is>
      </c>
      <c r="U439" t="inlineStr">
        <is>
          <t>KEEP</t>
        </is>
      </c>
      <c r="V439" t="inlineStr">
        <is>
          <t>ANALYSIS_BASELINE</t>
        </is>
      </c>
      <c r="W439" t="inlineStr">
        <is>
          <t>可用</t>
        </is>
      </c>
      <c r="X439" t="inlineStr">
        <is>
          <t>品牌语料分析与洞察体系.xlsx#表1：原始语料库!439</t>
        </is>
      </c>
      <c r="Y439" t="inlineStr">
        <is>
          <t>FROZEN_419_V2</t>
        </is>
      </c>
    </row>
    <row r="440" ht="25.5" customHeight="1">
      <c r="A440" t="inlineStr">
        <is>
          <t>JD-20260809-054</t>
        </is>
      </c>
      <c r="B440" t="inlineStr">
        <is>
          <t>购买决策与价格反馈</t>
        </is>
      </c>
      <c r="C440" t="inlineStr">
        <is>
          <t>PRJ001</t>
        </is>
      </c>
      <c r="D440" t="inlineStr">
        <is>
          <t>梅见｜白梅见原味青梅酒750ml</t>
        </is>
      </c>
      <c r="E440" t="inlineStr">
        <is>
          <t>价格非常实惠，味道甜甜的挺好喝的，女孩子会比较喜欢，好入口，晚上睡前微醺一下加点冰很不错，香气浓郁，酸酸甜甜，酒精度数也比较低，可以试试。</t>
        </is>
      </c>
      <c r="F440" t="inlineStr">
        <is>
          <t>品牌：梅见｜商品/规格：白梅见原味青梅酒750ml｜SKU：100013267874</t>
        </is>
      </c>
      <c r="G440" t="inlineStr">
        <is>
          <t>京东</t>
        </is>
      </c>
      <c r="H440" s="2" t="str">
        <f>=HYPERLINK("https://item.jd.com/100013267874.html", "https://item.jd.com/100013267874.html")</f>
        <v>https://item.jd.com/100013267874.html</v>
      </c>
      <c r="I440" s="3">
        <v>46160</v>
      </c>
      <c r="J440" s="4">
        <v>46243</v>
      </c>
      <c r="K440" t="inlineStr">
        <is>
          <t>梅见 青梅酒 商品评价</t>
        </is>
      </c>
      <c r="L440"/>
      <c r="M440" t="inlineStr">
        <is>
          <t>JD-U-20260809-054</t>
        </is>
      </c>
      <c r="N440" t="inlineStr">
        <is>
          <t>公开评论</t>
        </is>
      </c>
      <c r="O440"/>
      <c r="P440" t="inlineStr">
        <is>
          <t>情绪粗标：正面；主题粗标：价格；甜度；入口感；睡前小酌；加冰；香气；酸甜度；酒精感；京东商品评价弹层核验；已排除商家回复与用户名；评价页未展示评论点赞/有用数，点赞数留空</t>
        </is>
      </c>
      <c r="Q440" t="inlineStr">
        <is>
          <t>目标品牌</t>
        </is>
      </c>
      <c r="R440"/>
      <c r="S440" t="inlineStr">
        <is>
          <t>JD-20260809-054_ANALYSIS_BASELINE_formal-attempt-0001_AI</t>
        </is>
      </c>
      <c r="T440" t="inlineStr">
        <is>
          <t>场景需求</t>
        </is>
      </c>
      <c r="U440" t="inlineStr">
        <is>
          <t>KEEP</t>
        </is>
      </c>
      <c r="V440" t="inlineStr">
        <is>
          <t>ANALYSIS_BASELINE</t>
        </is>
      </c>
      <c r="W440" t="inlineStr">
        <is>
          <t>可用</t>
        </is>
      </c>
      <c r="X440" t="inlineStr">
        <is>
          <t>品牌语料分析与洞察体系.xlsx#表1：原始语料库!440</t>
        </is>
      </c>
      <c r="Y440" t="inlineStr">
        <is>
          <t>FROZEN_419_V2</t>
        </is>
      </c>
    </row>
    <row r="441" ht="25.5" customHeight="1">
      <c r="A441" t="inlineStr">
        <is>
          <t>JD-20260809-055</t>
        </is>
      </c>
      <c r="B441" t="inlineStr">
        <is>
          <t>购买决策与价格反馈</t>
        </is>
      </c>
      <c r="C441" t="inlineStr">
        <is>
          <t>PRJ001</t>
        </is>
      </c>
      <c r="D441" t="inlineStr">
        <is>
          <t>梅见｜白梅见750ml*1瓶</t>
        </is>
      </c>
      <c r="E441" t="inlineStr">
        <is>
          <t>又够买了，这一次回够的很快。就几天功夫又回购了。上一次买的一支一个晚上就没有了。味道很不错的青梅酒。因为不喝啤酒，每一日晚上喝一点梅见酒，好入睡。值得推荐的梅酒。👍👍👍</t>
        </is>
      </c>
      <c r="F441" t="inlineStr">
        <is>
          <t>品牌：梅见｜商品/规格：白梅见750ml*1瓶｜SKU：100013267874</t>
        </is>
      </c>
      <c r="G441" t="inlineStr">
        <is>
          <t>京东</t>
        </is>
      </c>
      <c r="H441" s="2" t="str">
        <f>=HYPERLINK("https://item.jd.com/100013267874.html", "https://item.jd.com/100013267874.html")</f>
        <v>https://item.jd.com/100013267874.html</v>
      </c>
      <c r="I441" s="3">
        <v>45949</v>
      </c>
      <c r="J441" s="4">
        <v>46243</v>
      </c>
      <c r="K441" t="inlineStr">
        <is>
          <t>梅见 青梅酒 商品评价</t>
        </is>
      </c>
      <c r="L441"/>
      <c r="M441" t="inlineStr">
        <is>
          <t>JD-U-20260809-055</t>
        </is>
      </c>
      <c r="N441" t="inlineStr">
        <is>
          <t>公开评论</t>
        </is>
      </c>
      <c r="O441"/>
      <c r="P441" t="inlineStr">
        <is>
          <t>情绪粗标：正面；主题粗标：快速回购；替代啤酒；睡前饮用；京东商品评价弹层核验；已排除商家回复与用户名；评价页未展示评论点赞/有用数，点赞数留空</t>
        </is>
      </c>
      <c r="Q441" t="inlineStr">
        <is>
          <t>目标品牌</t>
        </is>
      </c>
      <c r="R441"/>
      <c r="S441" t="inlineStr">
        <is>
          <t>JD-20260809-055_ANALYSIS_BASELINE_formal-attempt-0001_AI</t>
        </is>
      </c>
      <c r="T441" t="inlineStr">
        <is>
          <t>场景需求</t>
        </is>
      </c>
      <c r="U441" t="inlineStr">
        <is>
          <t>KEEP</t>
        </is>
      </c>
      <c r="V441" t="inlineStr">
        <is>
          <t>ANALYSIS_BASELINE</t>
        </is>
      </c>
      <c r="W441" t="inlineStr">
        <is>
          <t>可用</t>
        </is>
      </c>
      <c r="X441" t="inlineStr">
        <is>
          <t>品牌语料分析与洞察体系.xlsx#表1：原始语料库!441</t>
        </is>
      </c>
      <c r="Y441" t="inlineStr">
        <is>
          <t>FROZEN_419_V2</t>
        </is>
      </c>
    </row>
    <row r="442" ht="25.5" customHeight="1">
      <c r="A442" t="inlineStr">
        <is>
          <t>JD-20260809-057</t>
        </is>
      </c>
      <c r="B442" t="inlineStr">
        <is>
          <t>购买决策与价格反馈</t>
        </is>
      </c>
      <c r="C442" t="inlineStr">
        <is>
          <t>PRJ001</t>
        </is>
      </c>
      <c r="D442" t="inlineStr">
        <is>
          <t>梅见｜白梅见330ml*6瓶</t>
        </is>
      </c>
      <c r="E442" t="inlineStr">
        <is>
          <t>总体来说还是一款不错的酒水，小甜水，有酒劲儿，酸甜度都有，酒精度数也有，香气都有，但是感觉不是酒是的，价格也不便宜，现在女士喜欢，可能就赚这个出发点吧！</t>
        </is>
      </c>
      <c r="F442" t="inlineStr">
        <is>
          <t>品牌：梅见｜商品/规格：白梅见330ml*6瓶｜SKU：100013267874</t>
        </is>
      </c>
      <c r="G442" t="inlineStr">
        <is>
          <t>京东</t>
        </is>
      </c>
      <c r="H442" s="2" t="str">
        <f>=HYPERLINK("https://item.jd.com/100013267874.html", "https://item.jd.com/100013267874.html")</f>
        <v>https://item.jd.com/100013267874.html</v>
      </c>
      <c r="I442" s="3">
        <v>45982</v>
      </c>
      <c r="J442" s="4">
        <v>46243</v>
      </c>
      <c r="K442" t="inlineStr">
        <is>
          <t>梅见 青梅酒 商品评价</t>
        </is>
      </c>
      <c r="L442"/>
      <c r="M442" t="inlineStr">
        <is>
          <t>JD-U-20260809-057</t>
        </is>
      </c>
      <c r="N442" t="inlineStr">
        <is>
          <t>公开评论</t>
        </is>
      </c>
      <c r="O442"/>
      <c r="P442" t="inlineStr">
        <is>
          <t>情绪粗标：中性；主题粗标：小甜水；酒精感；酸甜度；香气；价格偏高；女性定位；京东商品评价弹层核验；已排除商家回复与用户名；评价页未展示评论点赞/有用数，点赞数留空</t>
        </is>
      </c>
      <c r="Q442" t="inlineStr">
        <is>
          <t>目标品牌</t>
        </is>
      </c>
      <c r="R442"/>
      <c r="S442" t="inlineStr">
        <is>
          <t>JD-20260809-057_ANALYSIS_BASELINE_formal-attempt-0001_AI</t>
        </is>
      </c>
      <c r="T442" t="inlineStr">
        <is>
          <t>场景需求</t>
        </is>
      </c>
      <c r="U442" t="inlineStr">
        <is>
          <t>KEEP</t>
        </is>
      </c>
      <c r="V442" t="inlineStr">
        <is>
          <t>ANALYSIS_BASELINE</t>
        </is>
      </c>
      <c r="W442" t="inlineStr">
        <is>
          <t>可用</t>
        </is>
      </c>
      <c r="X442" t="inlineStr">
        <is>
          <t>品牌语料分析与洞察体系.xlsx#表1：原始语料库!442</t>
        </is>
      </c>
      <c r="Y442" t="inlineStr">
        <is>
          <t>FROZEN_419_V2</t>
        </is>
      </c>
    </row>
    <row r="443" ht="25.5" customHeight="1">
      <c r="A443" t="inlineStr">
        <is>
          <t>JD-20260809-058</t>
        </is>
      </c>
      <c r="B443" t="inlineStr">
        <is>
          <t>购买决策与价格反馈</t>
        </is>
      </c>
      <c r="C443" t="inlineStr">
        <is>
          <t>PRJ001</t>
        </is>
      </c>
      <c r="D443" t="inlineStr">
        <is>
          <t>梅见｜白梅见原味青梅酒750ml</t>
        </is>
      </c>
      <c r="E443" t="inlineStr">
        <is>
          <t>这次送的酒是青梅味，还行吧！买的散装六瓶比一箱六瓶还便宜些，这个味道的酒还可以，家里老人愿意喝，度数也不大，喝点也没事。</t>
        </is>
      </c>
      <c r="F443" t="inlineStr">
        <is>
          <t>品牌：梅见｜商品/规格：白梅见原味青梅酒750ml｜SKU：100013267874</t>
        </is>
      </c>
      <c r="G443" t="inlineStr">
        <is>
          <t>京东</t>
        </is>
      </c>
      <c r="H443" s="2" t="str">
        <f>=HYPERLINK("https://item.jd.com/100013267874.html", "https://item.jd.com/100013267874.html")</f>
        <v>https://item.jd.com/100013267874.html</v>
      </c>
      <c r="I443" s="3">
        <v>46163</v>
      </c>
      <c r="J443" s="4">
        <v>46243</v>
      </c>
      <c r="K443" t="inlineStr">
        <is>
          <t>梅见 青梅酒 商品评价</t>
        </is>
      </c>
      <c r="L443"/>
      <c r="M443" t="inlineStr">
        <is>
          <t>JD-U-20260809-058</t>
        </is>
      </c>
      <c r="N443" t="inlineStr">
        <is>
          <t>公开评论</t>
        </is>
      </c>
      <c r="O443"/>
      <c r="P443" t="inlineStr">
        <is>
          <t>情绪粗标：中性；主题粗标：赠品口味；规格比价；老人适饮；酒精感；京东商品评价弹层核验；已排除商家回复与用户名；评价页未展示评论点赞/有用数，点赞数留空</t>
        </is>
      </c>
      <c r="Q443" t="inlineStr">
        <is>
          <t>目标品牌</t>
        </is>
      </c>
      <c r="R443"/>
      <c r="S443" t="inlineStr">
        <is>
          <t>JD-20260809-058_ANALYSIS_BASELINE_formal-attempt-0001_AI</t>
        </is>
      </c>
      <c r="T443" t="inlineStr">
        <is>
          <t>场景需求</t>
        </is>
      </c>
      <c r="U443" t="inlineStr">
        <is>
          <t>KEEP</t>
        </is>
      </c>
      <c r="V443" t="inlineStr">
        <is>
          <t>ANALYSIS_BASELINE</t>
        </is>
      </c>
      <c r="W443" t="inlineStr">
        <is>
          <t>可用</t>
        </is>
      </c>
      <c r="X443" t="inlineStr">
        <is>
          <t>品牌语料分析与洞察体系.xlsx#表1：原始语料库!443</t>
        </is>
      </c>
      <c r="Y443" t="inlineStr">
        <is>
          <t>FROZEN_419_V2</t>
        </is>
      </c>
    </row>
    <row r="444" ht="25.5" customHeight="1">
      <c r="A444" t="inlineStr">
        <is>
          <t>JD-20260809-065</t>
        </is>
      </c>
      <c r="B444" t="inlineStr">
        <is>
          <t>购买决策与价格反馈</t>
        </is>
      </c>
      <c r="C444" t="inlineStr">
        <is>
          <t>PRJ001</t>
        </is>
      </c>
      <c r="D444" t="inlineStr">
        <is>
          <t>梅见｜750ml*6瓶</t>
        </is>
      </c>
      <c r="E444" t="inlineStr">
        <is>
          <t>买了多次，350/320/290/270都买过，感觉价格太不稳了，哈哈，各种促销活动，有时接不上了就直接买了，不过很好喝，家人都喜欢喝这个饮料酒</t>
        </is>
      </c>
      <c r="F444" t="inlineStr">
        <is>
          <t>品牌：梅见｜商品/规格：750ml*6瓶｜SKU：100034280635</t>
        </is>
      </c>
      <c r="G444" t="inlineStr">
        <is>
          <t>京东</t>
        </is>
      </c>
      <c r="H444" s="2" t="str">
        <f>=HYPERLINK("https://item.jd.com/100034280635.html", "https://item.jd.com/100034280635.html")</f>
        <v>https://item.jd.com/100034280635.html</v>
      </c>
      <c r="I444" s="3">
        <v>46161</v>
      </c>
      <c r="J444" s="4">
        <v>46243</v>
      </c>
      <c r="K444" t="inlineStr">
        <is>
          <t>梅见 青梅酒 商品评价</t>
        </is>
      </c>
      <c r="L444"/>
      <c r="M444" t="inlineStr">
        <is>
          <t>JD-U-20260809-065</t>
        </is>
      </c>
      <c r="N444" t="inlineStr">
        <is>
          <t>公开评论</t>
        </is>
      </c>
      <c r="O444"/>
      <c r="P444" t="inlineStr">
        <is>
          <t>情绪粗标：中性；主题粗标：多次购买；价格波动；促销；家人喜好；饮料酒认知；京东商品评价弹层核验；已排除商家回复与用户名；评价页未展示评论点赞/有用数，点赞数留空</t>
        </is>
      </c>
      <c r="Q444" t="inlineStr">
        <is>
          <t>目标品牌</t>
        </is>
      </c>
      <c r="R444"/>
      <c r="S444" t="inlineStr">
        <is>
          <t>JD-20260809-065_ANALYSIS_BASELINE_formal-attempt-0001_AI</t>
        </is>
      </c>
      <c r="T444" t="inlineStr">
        <is>
          <t>场景需求</t>
        </is>
      </c>
      <c r="U444" t="inlineStr">
        <is>
          <t>KEEP</t>
        </is>
      </c>
      <c r="V444" t="inlineStr">
        <is>
          <t>ANALYSIS_BASELINE</t>
        </is>
      </c>
      <c r="W444" t="inlineStr">
        <is>
          <t>可用</t>
        </is>
      </c>
      <c r="X444" t="inlineStr">
        <is>
          <t>品牌语料分析与洞察体系.xlsx#表1：原始语料库!444</t>
        </is>
      </c>
      <c r="Y444" t="inlineStr">
        <is>
          <t>FROZEN_419_V2</t>
        </is>
      </c>
    </row>
    <row r="445" ht="25.5" customHeight="1">
      <c r="A445" t="inlineStr">
        <is>
          <t>JD-20260809-066</t>
        </is>
      </c>
      <c r="B445" t="inlineStr">
        <is>
          <t>购买决策与价格反馈</t>
        </is>
      </c>
      <c r="C445" t="inlineStr">
        <is>
          <t>PRJ001</t>
        </is>
      </c>
      <c r="D445" t="inlineStr">
        <is>
          <t>梅见｜750ml*1瓶</t>
        </is>
      </c>
      <c r="E445" t="inlineStr">
        <is>
          <t>买了又买。是我喜欢的味道。价格可以接受。有时碰到东爸搞活动时，划算。👍
购后3天追评这款梅酒的可感极佳，可能是因为自己喜欢的味道，很不错。👍包装可以更加精美些，就更好。😘😘</t>
        </is>
      </c>
      <c r="F445" t="inlineStr">
        <is>
          <t>品牌：梅见｜商品/规格：750ml*1瓶｜SKU：100034280635</t>
        </is>
      </c>
      <c r="G445" t="inlineStr">
        <is>
          <t>京东</t>
        </is>
      </c>
      <c r="H445" s="2" t="str">
        <f>=HYPERLINK("https://item.jd.com/100034280635.html", "https://item.jd.com/100034280635.html")</f>
        <v>https://item.jd.com/100034280635.html</v>
      </c>
      <c r="I445" s="3">
        <v>45928</v>
      </c>
      <c r="J445" s="4">
        <v>46243</v>
      </c>
      <c r="K445" t="inlineStr">
        <is>
          <t>梅见 青梅酒 商品评价</t>
        </is>
      </c>
      <c r="L445"/>
      <c r="M445" t="inlineStr">
        <is>
          <t>JD-U-20260809-066</t>
        </is>
      </c>
      <c r="N445" t="inlineStr">
        <is>
          <t>公开评论</t>
        </is>
      </c>
      <c r="O445"/>
      <c r="P445" t="inlineStr">
        <is>
          <t>情绪粗标：中性；主题粗标：回购；活动价；口感；包装改进；京东商品评价弹层核验；已排除商家回复与用户名；评价页未展示评论点赞/有用数，点赞数留空；疑似模板化表达，仅作为原始语料导入，表2需人工复核</t>
        </is>
      </c>
      <c r="Q445" t="inlineStr">
        <is>
          <t>目标品牌</t>
        </is>
      </c>
      <c r="R445"/>
      <c r="S445" t="inlineStr">
        <is>
          <t>JD-20260809-066_ANALYSIS_BASELINE_formal-attempt-0001_AI</t>
        </is>
      </c>
      <c r="T445" t="inlineStr">
        <is>
          <t>场景需求</t>
        </is>
      </c>
      <c r="U445" t="inlineStr">
        <is>
          <t>KEEP</t>
        </is>
      </c>
      <c r="V445" t="inlineStr">
        <is>
          <t>ANALYSIS_BASELINE</t>
        </is>
      </c>
      <c r="W445" t="inlineStr">
        <is>
          <t>可用</t>
        </is>
      </c>
      <c r="X445" t="inlineStr">
        <is>
          <t>品牌语料分析与洞察体系.xlsx#表1：原始语料库!445</t>
        </is>
      </c>
      <c r="Y445" t="inlineStr">
        <is>
          <t>FROZEN_419_V2</t>
        </is>
      </c>
    </row>
    <row r="446" ht="25.5" customHeight="1">
      <c r="A446" t="inlineStr">
        <is>
          <t>JD-20260809-067</t>
        </is>
      </c>
      <c r="B446" t="inlineStr">
        <is>
          <t>购买决策与价格反馈</t>
        </is>
      </c>
      <c r="C446" t="inlineStr">
        <is>
          <t>PRJ001</t>
        </is>
      </c>
      <c r="D446" t="inlineStr">
        <is>
          <t>梅见｜梅见金桂花750ml</t>
        </is>
      </c>
      <c r="E446" t="inlineStr">
        <is>
          <t>很喜欢这个牌子，然后上一次买的是青梅和杨梅的，这一次试试看。青梅和桂花的当时在超市买过小瓶装的，感觉挺好喝。这一次直接买一瓶大的。</t>
        </is>
      </c>
      <c r="F446" t="inlineStr">
        <is>
          <t>品牌：梅见｜商品/规格：梅见金桂花750ml｜SKU：100064573496</t>
        </is>
      </c>
      <c r="G446" t="inlineStr">
        <is>
          <t>京东</t>
        </is>
      </c>
      <c r="H446" s="2" t="str">
        <f>=HYPERLINK("https://item.jd.com/100064573496.html", "https://item.jd.com/100064573496.html")</f>
        <v>https://item.jd.com/100064573496.html</v>
      </c>
      <c r="I446" s="3">
        <v>46067</v>
      </c>
      <c r="J446" s="4">
        <v>46243</v>
      </c>
      <c r="K446" t="inlineStr">
        <is>
          <t>梅见 青梅酒 商品评价</t>
        </is>
      </c>
      <c r="L446"/>
      <c r="M446" t="inlineStr">
        <is>
          <t>JD-U-20260809-067</t>
        </is>
      </c>
      <c r="N446" t="inlineStr">
        <is>
          <t>公开评论</t>
        </is>
      </c>
      <c r="O446"/>
      <c r="P446" t="inlineStr">
        <is>
          <t>情绪粗标：中性；主题粗标：品牌偏好；口味换购；超市体验；规格升级；京东中评弹层核验；已排除商家回复与用户名；评价页未展示评论点赞/有用数，点赞数留空</t>
        </is>
      </c>
      <c r="Q446" t="inlineStr">
        <is>
          <t>目标品牌</t>
        </is>
      </c>
      <c r="R446"/>
      <c r="S446" t="inlineStr">
        <is>
          <t>JD-20260809-067_ANALYSIS_BASELINE_formal-attempt-0001_AI</t>
        </is>
      </c>
      <c r="T446" t="inlineStr">
        <is>
          <t>场景需求</t>
        </is>
      </c>
      <c r="U446" t="inlineStr">
        <is>
          <t>KEEP</t>
        </is>
      </c>
      <c r="V446" t="inlineStr">
        <is>
          <t>ANALYSIS_BASELINE</t>
        </is>
      </c>
      <c r="W446" t="inlineStr">
        <is>
          <t>可用</t>
        </is>
      </c>
      <c r="X446" t="inlineStr">
        <is>
          <t>品牌语料分析与洞察体系.xlsx#表1：原始语料库!446</t>
        </is>
      </c>
      <c r="Y446" t="inlineStr">
        <is>
          <t>FROZEN_419_V2</t>
        </is>
      </c>
    </row>
    <row r="447" ht="25.5" customHeight="1">
      <c r="A447" t="inlineStr">
        <is>
          <t>JD-20260809-069</t>
        </is>
      </c>
      <c r="B447" t="inlineStr">
        <is>
          <t>购买决策与价格反馈</t>
        </is>
      </c>
      <c r="C447" t="inlineStr">
        <is>
          <t>PRJ001</t>
        </is>
      </c>
      <c r="D447" t="inlineStr">
        <is>
          <t>梅见｜750ml*1瓶</t>
        </is>
      </c>
      <c r="E447" t="inlineStr">
        <is>
          <t>小伙伴儿都喜欢喝，下次还买</t>
        </is>
      </c>
      <c r="F447" t="inlineStr">
        <is>
          <t>品牌：梅见｜商品/规格：750ml*1瓶｜SKU：100064573496</t>
        </is>
      </c>
      <c r="G447" t="inlineStr">
        <is>
          <t>京东</t>
        </is>
      </c>
      <c r="H447" s="2" t="str">
        <f>=HYPERLINK("https://item.jd.com/100064573496.html", "https://item.jd.com/100064573496.html")</f>
        <v>https://item.jd.com/100064573496.html</v>
      </c>
      <c r="I447" s="3">
        <v>45992</v>
      </c>
      <c r="J447" s="4">
        <v>46243</v>
      </c>
      <c r="K447" t="inlineStr">
        <is>
          <t>梅见 青梅酒 商品评价</t>
        </is>
      </c>
      <c r="L447"/>
      <c r="M447" t="inlineStr">
        <is>
          <t>JD-U-20260809-069</t>
        </is>
      </c>
      <c r="N447" t="inlineStr">
        <is>
          <t>公开评论</t>
        </is>
      </c>
      <c r="O447"/>
      <c r="P447" t="inlineStr">
        <is>
          <t>情绪粗标：中性；主题粗标：朋友喜好；复购意向；京东中评弹层核验；已排除商家回复与用户名；评价页未展示评论点赞/有用数，点赞数留空</t>
        </is>
      </c>
      <c r="Q447" t="inlineStr">
        <is>
          <t>目标品牌</t>
        </is>
      </c>
      <c r="R447"/>
      <c r="S447" t="inlineStr">
        <is>
          <t>JD-20260809-069_ANALYSIS_BASELINE_formal-attempt-0001_AI</t>
        </is>
      </c>
      <c r="T447" t="inlineStr">
        <is>
          <t>场景需求</t>
        </is>
      </c>
      <c r="U447" t="inlineStr">
        <is>
          <t>KEEP</t>
        </is>
      </c>
      <c r="V447" t="inlineStr">
        <is>
          <t>ANALYSIS_BASELINE</t>
        </is>
      </c>
      <c r="W447" t="inlineStr">
        <is>
          <t>可用</t>
        </is>
      </c>
      <c r="X447" t="inlineStr">
        <is>
          <t>品牌语料分析与洞察体系.xlsx#表1：原始语料库!447</t>
        </is>
      </c>
      <c r="Y447" t="inlineStr">
        <is>
          <t>FROZEN_419_V2</t>
        </is>
      </c>
    </row>
    <row r="448" ht="25.5" customHeight="1">
      <c r="A448" t="inlineStr">
        <is>
          <t>TB-20260809-003</t>
        </is>
      </c>
      <c r="B448" t="inlineStr">
        <is>
          <t>购买决策与价格反馈</t>
        </is>
      </c>
      <c r="C448" t="inlineStr">
        <is>
          <t>PRJ001</t>
        </is>
      </c>
      <c r="D448" t="inlineStr">
        <is>
          <t>CHOYA俏雅｜带梅子本格梅酒700ml+赠梅酒杯</t>
        </is>
      </c>
      <c r="E448" t="inlineStr">
        <is>
          <t>日期挺新鲜 六月份产的 就是没想到有张贴纸盒马限定 吓我一跳 幸好比盒马下单便宜几块钱</t>
        </is>
      </c>
      <c r="F448" t="inlineStr">
        <is>
          <t>品牌：CHOYA俏雅｜商品/规格：带梅子本格梅酒700ml+赠梅酒杯｜SKU：873823229086</t>
        </is>
      </c>
      <c r="G448" t="inlineStr">
        <is>
          <t>淘宝</t>
        </is>
      </c>
      <c r="H448" s="2" t="str">
        <f>=HYPERLINK("https://detail.tmall.com/item.htm?id=873823229086", "https://detail.tmall.com/item.htm?id=873823229086")</f>
        <v>https://detail.tmall.com/item.htm?id=873823229086</v>
      </c>
      <c r="I448" s="3">
        <v>46232</v>
      </c>
      <c r="J448" s="4">
        <v>46243</v>
      </c>
      <c r="K448" t="inlineStr">
        <is>
          <t>CHOYA 俏雅 梅酒 商品评价</t>
        </is>
      </c>
      <c r="L448"/>
      <c r="M448" t="inlineStr">
        <is>
          <t>TB-U-20260809-003</t>
        </is>
      </c>
      <c r="N448" t="inlineStr">
        <is>
          <t>公开评论</t>
        </is>
      </c>
      <c r="O448"/>
      <c r="P448" t="inlineStr">
        <is>
          <t>情绪粗标：中性；主题粗标：生产日期；盒马限定；渠道价格比较；天猫CHOYA旗舰店商品评价；未记录用户名；评价页未展示评论点赞/有用数，点赞数留空</t>
        </is>
      </c>
      <c r="Q448" t="inlineStr">
        <is>
          <t>竞品</t>
        </is>
      </c>
      <c r="R448"/>
      <c r="S448" t="inlineStr">
        <is>
          <t>TB-20260809-003_ANALYSIS_BASELINE_formal-attempt-0001_AI</t>
        </is>
      </c>
      <c r="T448" t="inlineStr">
        <is>
          <t>场景需求</t>
        </is>
      </c>
      <c r="U448" t="inlineStr">
        <is>
          <t>KEEP</t>
        </is>
      </c>
      <c r="V448" t="inlineStr">
        <is>
          <t>ANALYSIS_BASELINE</t>
        </is>
      </c>
      <c r="W448" t="inlineStr">
        <is>
          <t>可用</t>
        </is>
      </c>
      <c r="X448" t="inlineStr">
        <is>
          <t>品牌语料分析与洞察体系.xlsx#表1：原始语料库!448</t>
        </is>
      </c>
      <c r="Y448" t="inlineStr">
        <is>
          <t>FROZEN_419_V2</t>
        </is>
      </c>
    </row>
    <row r="449" ht="25.5" customHeight="1">
      <c r="A449" t="inlineStr">
        <is>
          <t>TB-20260809-016</t>
        </is>
      </c>
      <c r="B449" t="inlineStr">
        <is>
          <t>购买决策与价格反馈</t>
        </is>
      </c>
      <c r="C449" t="inlineStr">
        <is>
          <t>PRJ001</t>
        </is>
      </c>
      <c r="D449" t="inlineStr">
        <is>
          <t>RIO锐澳｜强爽系列多口味8度330ml*6罐</t>
        </is>
      </c>
      <c r="E449" t="inlineStr">
        <is>
          <t>跟线下超市买的一样，但价钱便宜很多。 我买了很多很多，各种口味，满足了我的味觉。 我感觉我的酒量变大了。 然后我这次发现冷藏之后风味更佳。 特别是最近夏天来临，温度越来越高，喝上这个冷藏的风味，别有一番滋味。</t>
        </is>
      </c>
      <c r="F449" t="inlineStr">
        <is>
          <t>品牌：RIO锐澳｜商品/规格：强爽系列多口味8度330ml*6罐｜SKU：678637031500</t>
        </is>
      </c>
      <c r="G449" t="inlineStr">
        <is>
          <t>淘宝</t>
        </is>
      </c>
      <c r="H449" s="2" t="str">
        <f>=HYPERLINK("https://chaoshi.detail.tmall.com/item.htm?id=678637031500", "https://chaoshi.detail.tmall.com/item.htm?id=678637031500")</f>
        <v>https://chaoshi.detail.tmall.com/item.htm?id=678637031500</v>
      </c>
      <c r="I449" s="3">
        <v>46178</v>
      </c>
      <c r="J449" s="4">
        <v>46243</v>
      </c>
      <c r="K449" t="inlineStr">
        <is>
          <t>RIO 锐澳 鸡尾酒 商品评价</t>
        </is>
      </c>
      <c r="L449"/>
      <c r="M449" t="inlineStr">
        <is>
          <t>TB-U-20260809-016</t>
        </is>
      </c>
      <c r="N449" t="inlineStr">
        <is>
          <t>公开评论</t>
        </is>
      </c>
      <c r="O449"/>
      <c r="P449" t="inlineStr">
        <is>
          <t>情绪粗标：中性；主题粗标：线下超市比价；多口味；酒量变化；冷藏；夏季饮用；天猫超市商品评价；未记录用户名；评价页未展示评论点赞/有用数，点赞数留空</t>
        </is>
      </c>
      <c r="Q449" t="inlineStr">
        <is>
          <t>竞品</t>
        </is>
      </c>
      <c r="R449"/>
      <c r="S449" t="inlineStr">
        <is>
          <t>TB-20260809-016_ANALYSIS_BASELINE_formal-attempt-0001_AI</t>
        </is>
      </c>
      <c r="T449" t="inlineStr">
        <is>
          <t>场景需求</t>
        </is>
      </c>
      <c r="U449" t="inlineStr">
        <is>
          <t>KEEP</t>
        </is>
      </c>
      <c r="V449" t="inlineStr">
        <is>
          <t>ANALYSIS_BASELINE</t>
        </is>
      </c>
      <c r="W449" t="inlineStr">
        <is>
          <t>可用</t>
        </is>
      </c>
      <c r="X449" t="inlineStr">
        <is>
          <t>品牌语料分析与洞察体系.xlsx#表1：原始语料库!449</t>
        </is>
      </c>
      <c r="Y449" t="inlineStr">
        <is>
          <t>FROZEN_419_V2</t>
        </is>
      </c>
    </row>
    <row r="450" ht="25.5" customHeight="1">
      <c r="A450" t="inlineStr">
        <is>
          <t>TB-20260809-018</t>
        </is>
      </c>
      <c r="B450" t="inlineStr">
        <is>
          <t>购买决策与价格反馈</t>
        </is>
      </c>
      <c r="C450" t="inlineStr">
        <is>
          <t>PRJ001</t>
        </is>
      </c>
      <c r="D450" t="inlineStr">
        <is>
          <t>RIO锐澳｜强爽系列多口味8度330ml*6罐</t>
        </is>
      </c>
      <c r="E450" t="inlineStr">
        <is>
          <t>好喝爱喝经常来买。喜欢茉莉新口味和荔枝味。这俩是最爱</t>
        </is>
      </c>
      <c r="F450" t="inlineStr">
        <is>
          <t>品牌：RIO锐澳｜商品/规格：强爽系列多口味8度330ml*6罐｜SKU：678637031500</t>
        </is>
      </c>
      <c r="G450" t="inlineStr">
        <is>
          <t>淘宝</t>
        </is>
      </c>
      <c r="H450" s="2" t="str">
        <f>=HYPERLINK("https://chaoshi.detail.tmall.com/item.htm?id=678637031500", "https://chaoshi.detail.tmall.com/item.htm?id=678637031500")</f>
        <v>https://chaoshi.detail.tmall.com/item.htm?id=678637031500</v>
      </c>
      <c r="I450" s="3">
        <v>46196</v>
      </c>
      <c r="J450" s="4">
        <v>46243</v>
      </c>
      <c r="K450" t="inlineStr">
        <is>
          <t>RIO 锐澳 鸡尾酒 商品评价</t>
        </is>
      </c>
      <c r="L450"/>
      <c r="M450" t="inlineStr">
        <is>
          <t>TB-U-20260809-018</t>
        </is>
      </c>
      <c r="N450" t="inlineStr">
        <is>
          <t>公开评论</t>
        </is>
      </c>
      <c r="O450"/>
      <c r="P450" t="inlineStr">
        <is>
          <t>情绪粗标：正面；主题粗标：经常购买；茉莉口味；荔枝口味；天猫超市商品评价；未记录用户名；评价页未展示评论点赞/有用数，点赞数留空</t>
        </is>
      </c>
      <c r="Q450" t="inlineStr">
        <is>
          <t>竞品</t>
        </is>
      </c>
      <c r="R450"/>
      <c r="S450" t="inlineStr">
        <is>
          <t>TB-20260809-018_GOLD_人工标注_人工,TB-20260809-018_GOLD_attempt-0002_AI_矫正前,TB-20260809-018_GOLD_attempt-0006_AI_矫正后</t>
        </is>
      </c>
      <c r="T450" t="inlineStr">
        <is>
          <t>场景需求</t>
        </is>
      </c>
      <c r="U450" t="inlineStr">
        <is>
          <t>KEEP</t>
        </is>
      </c>
      <c r="V450" t="inlineStr">
        <is>
          <t>GOLD</t>
        </is>
      </c>
      <c r="W450" t="inlineStr">
        <is>
          <t>不可用</t>
        </is>
      </c>
      <c r="X450" t="inlineStr">
        <is>
          <t>原始母表#raw_id=TB-20260809-018</t>
        </is>
      </c>
      <c r="Y450" t="inlineStr">
        <is>
          <t>FROZEN_419_V2</t>
        </is>
      </c>
    </row>
    <row r="451" ht="25.5" customHeight="1">
      <c r="A451" t="inlineStr">
        <is>
          <t>TB-20260809-023</t>
        </is>
      </c>
      <c r="B451" t="inlineStr">
        <is>
          <t>购买决策与价格反馈</t>
        </is>
      </c>
      <c r="C451" t="inlineStr">
        <is>
          <t>PRJ001</t>
        </is>
      </c>
      <c r="D451" t="inlineStr">
        <is>
          <t>昆竹牌｜经典青梅酒450ml*6（赠小酒+杯）</t>
        </is>
      </c>
      <c r="E451" t="inlineStr">
        <is>
          <t>这款经典青梅酒真心值得推荐！450ml*6的规格刚好适配日常饮用需求，还附赠小酒与杯子，性价比拉满。它入口清爽，果味浓郁酒香醇厚，独酌或好友小聚都很合适。附赠的100ml昆竹青梅酒口感偏酸一点，我更爱经典款酸甜适中的风味，强烈安利！</t>
        </is>
      </c>
      <c r="F451" t="inlineStr">
        <is>
          <t>品牌：昆竹牌｜商品/规格：经典青梅酒450ml*6（赠小酒+杯）｜SKU：621878412430</t>
        </is>
      </c>
      <c r="G451" t="inlineStr">
        <is>
          <t>淘宝</t>
        </is>
      </c>
      <c r="H451" s="2" t="str">
        <f>=HYPERLINK("https://detail.tmall.com/item.htm?id=621878412430", "https://detail.tmall.com/item.htm?id=621878412430")</f>
        <v>https://detail.tmall.com/item.htm?id=621878412430</v>
      </c>
      <c r="I451" s="3">
        <v>46214</v>
      </c>
      <c r="J451" s="4">
        <v>46243</v>
      </c>
      <c r="K451" t="inlineStr">
        <is>
          <t>昆竹 青梅酒 商品评价</t>
        </is>
      </c>
      <c r="L451"/>
      <c r="M451" t="inlineStr">
        <is>
          <t>TB-U-20260809-023</t>
        </is>
      </c>
      <c r="N451" t="inlineStr">
        <is>
          <t>公开评论</t>
        </is>
      </c>
      <c r="O451"/>
      <c r="P451" t="inlineStr">
        <is>
          <t>情绪粗标：正面；主题粗标：性价比；包装礼赠；入口感；香气；酸甜度；规格比较；昆竹牌旗舰店商品评价；未记录用户名；评价页未展示评论点赞/有用数，点赞数留空</t>
        </is>
      </c>
      <c r="Q451" t="inlineStr">
        <is>
          <t>竞品</t>
        </is>
      </c>
      <c r="R451"/>
      <c r="S451" t="inlineStr">
        <is>
          <t>TB-20260809-023_ANALYSIS_BASELINE_formal-attempt-0001_AI</t>
        </is>
      </c>
      <c r="T451" t="inlineStr">
        <is>
          <t>场景需求</t>
        </is>
      </c>
      <c r="U451" t="inlineStr">
        <is>
          <t>KEEP</t>
        </is>
      </c>
      <c r="V451" t="inlineStr">
        <is>
          <t>ANALYSIS_BASELINE</t>
        </is>
      </c>
      <c r="W451" t="inlineStr">
        <is>
          <t>可用</t>
        </is>
      </c>
      <c r="X451" t="inlineStr">
        <is>
          <t>品牌语料分析与洞察体系.xlsx#表1：原始语料库!451</t>
        </is>
      </c>
      <c r="Y451" t="inlineStr">
        <is>
          <t>FROZEN_419_V2</t>
        </is>
      </c>
    </row>
    <row r="452" ht="25.5" customHeight="1">
      <c r="A452" t="inlineStr">
        <is>
          <t>TB-20260809-026</t>
        </is>
      </c>
      <c r="B452" t="inlineStr">
        <is>
          <t>购买决策与价格反馈</t>
        </is>
      </c>
      <c r="C452" t="inlineStr">
        <is>
          <t>PRJ001</t>
        </is>
      </c>
      <c r="D452" t="inlineStr">
        <is>
          <t>昆竹牌｜3瓶畅享装（赠闻香杯)</t>
        </is>
      </c>
      <c r="E452" t="inlineStr">
        <is>
          <t>好喝，梅味道很足。入口顺滑回香，原料干净！一直回购的一款梅酒！价廉物美！惠州南昆山龙门原产地，这款酒推荐</t>
        </is>
      </c>
      <c r="F452" t="inlineStr">
        <is>
          <t>品牌：昆竹牌｜商品/规格：3瓶畅享装（赠闻香杯)｜SKU：621878412430</t>
        </is>
      </c>
      <c r="G452" t="inlineStr">
        <is>
          <t>淘宝</t>
        </is>
      </c>
      <c r="H452" s="2" t="str">
        <f>=HYPERLINK("https://detail.tmall.com/item.htm?id=621878412430", "https://detail.tmall.com/item.htm?id=621878412430")</f>
        <v>https://detail.tmall.com/item.htm?id=621878412430</v>
      </c>
      <c r="I452" s="3">
        <v>46237</v>
      </c>
      <c r="J452" s="4">
        <v>46243</v>
      </c>
      <c r="K452" t="inlineStr">
        <is>
          <t>昆竹 青梅酒 商品评价</t>
        </is>
      </c>
      <c r="L452"/>
      <c r="M452" t="inlineStr">
        <is>
          <t>TB-U-20260809-026</t>
        </is>
      </c>
      <c r="N452" t="inlineStr">
        <is>
          <t>公开评论</t>
        </is>
      </c>
      <c r="O452"/>
      <c r="P452" t="inlineStr">
        <is>
          <t>情绪粗标：正面；主题粗标：香气；入口感；配料；回购理由；性价比；产地认知；昆竹牌旗舰店商品评价；未记录用户名；评价页未展示评论点赞/有用数，点赞数留空</t>
        </is>
      </c>
      <c r="Q452" t="inlineStr">
        <is>
          <t>竞品</t>
        </is>
      </c>
      <c r="R452"/>
      <c r="S452" t="inlineStr">
        <is>
          <t>TB-20260809-026_ANALYSIS_BASELINE_formal-attempt-0001_AI</t>
        </is>
      </c>
      <c r="T452" t="inlineStr">
        <is>
          <t>场景需求</t>
        </is>
      </c>
      <c r="U452" t="inlineStr">
        <is>
          <t>KEEP</t>
        </is>
      </c>
      <c r="V452" t="inlineStr">
        <is>
          <t>ANALYSIS_BASELINE</t>
        </is>
      </c>
      <c r="W452" t="inlineStr">
        <is>
          <t>可用</t>
        </is>
      </c>
      <c r="X452" t="inlineStr">
        <is>
          <t>品牌语料分析与洞察体系.xlsx#表1：原始语料库!452</t>
        </is>
      </c>
      <c r="Y452" t="inlineStr">
        <is>
          <t>FROZEN_419_V2</t>
        </is>
      </c>
    </row>
    <row r="453" ht="25.5" customHeight="1">
      <c r="A453" t="inlineStr">
        <is>
          <t>TB-20260809-031</t>
        </is>
      </c>
      <c r="B453" t="inlineStr">
        <is>
          <t>购买决策与价格反馈</t>
        </is>
      </c>
      <c r="C453" t="inlineStr">
        <is>
          <t>PRJ001</t>
        </is>
      </c>
      <c r="D453" t="inlineStr">
        <is>
          <t>昆竹牌｜3瓶畅享装（赠闻香杯)</t>
        </is>
      </c>
      <c r="E453" t="inlineStr">
        <is>
          <t>一直回购的，味道不错，度数也不高，还送了个杯子，适合女生小酌。</t>
        </is>
      </c>
      <c r="F453" t="inlineStr">
        <is>
          <t>品牌：昆竹牌｜商品/规格：3瓶畅享装（赠闻香杯)｜SKU：621878412430</t>
        </is>
      </c>
      <c r="G453" t="inlineStr">
        <is>
          <t>淘宝</t>
        </is>
      </c>
      <c r="H453" s="2" t="str">
        <f>=HYPERLINK("https://detail.tmall.com/item.htm?id=621878412430", "https://detail.tmall.com/item.htm?id=621878412430")</f>
        <v>https://detail.tmall.com/item.htm?id=621878412430</v>
      </c>
      <c r="I453" s="3">
        <v>46183</v>
      </c>
      <c r="J453" s="4">
        <v>46243</v>
      </c>
      <c r="K453" t="inlineStr">
        <is>
          <t>昆竹 青梅酒 商品评价</t>
        </is>
      </c>
      <c r="L453"/>
      <c r="M453" t="inlineStr">
        <is>
          <t>TB-U-20260809-031</t>
        </is>
      </c>
      <c r="N453" t="inlineStr">
        <is>
          <t>公开评论</t>
        </is>
      </c>
      <c r="O453"/>
      <c r="P453" t="inlineStr">
        <is>
          <t>情绪粗标：正面；主题粗标：回购理由；酒精感；包装礼赠；饮用场景；昆竹牌旗舰店商品评价；未记录用户名；评价页未展示评论点赞/有用数，点赞数留空</t>
        </is>
      </c>
      <c r="Q453" t="inlineStr">
        <is>
          <t>竞品</t>
        </is>
      </c>
      <c r="R453"/>
      <c r="S453" t="inlineStr">
        <is>
          <t>TB-20260809-031_ANALYSIS_BASELINE_formal-attempt-0001_AI</t>
        </is>
      </c>
      <c r="T453" t="inlineStr">
        <is>
          <t>场景需求</t>
        </is>
      </c>
      <c r="U453" t="inlineStr">
        <is>
          <t>KEEP</t>
        </is>
      </c>
      <c r="V453" t="inlineStr">
        <is>
          <t>ANALYSIS_BASELINE</t>
        </is>
      </c>
      <c r="W453" t="inlineStr">
        <is>
          <t>可用</t>
        </is>
      </c>
      <c r="X453" t="inlineStr">
        <is>
          <t>品牌语料分析与洞察体系.xlsx#表1：原始语料库!453</t>
        </is>
      </c>
      <c r="Y453" t="inlineStr">
        <is>
          <t>FROZEN_419_V2</t>
        </is>
      </c>
    </row>
    <row r="454" ht="25.5" customHeight="1">
      <c r="A454" t="inlineStr">
        <is>
          <t>TB-20260809-034</t>
        </is>
      </c>
      <c r="B454" t="inlineStr">
        <is>
          <t>购买决策与价格反馈</t>
        </is>
      </c>
      <c r="C454" t="inlineStr">
        <is>
          <t>PRJ001</t>
        </is>
      </c>
      <c r="D454" t="inlineStr">
        <is>
          <t>梅见｜12度原味330ml</t>
        </is>
      </c>
      <c r="E454" t="inlineStr">
        <is>
          <t>喝了很多年 一直都很爱喝 口味也没变 会一直继续回购的</t>
        </is>
      </c>
      <c r="F454" t="inlineStr">
        <is>
          <t>品牌：梅见｜商品/规格：12度原味330ml｜SKU：681094845930</t>
        </is>
      </c>
      <c r="G454" t="inlineStr">
        <is>
          <t>淘宝</t>
        </is>
      </c>
      <c r="H454" s="2" t="str">
        <f>=HYPERLINK("https://detail.tmall.com/item.htm?id=681094845930", "https://detail.tmall.com/item.htm?id=681094845930")</f>
        <v>https://detail.tmall.com/item.htm?id=681094845930</v>
      </c>
      <c r="I454" s="3">
        <v>46237</v>
      </c>
      <c r="J454" s="4">
        <v>46243</v>
      </c>
      <c r="K454" t="inlineStr">
        <is>
          <t>梅见 青梅酒 商品评价</t>
        </is>
      </c>
      <c r="L454"/>
      <c r="M454" t="inlineStr">
        <is>
          <t>TB-U-20260809-034</t>
        </is>
      </c>
      <c r="N454" t="inlineStr">
        <is>
          <t>公开评论</t>
        </is>
      </c>
      <c r="O454"/>
      <c r="P454" t="inlineStr">
        <is>
          <t>情绪粗标：正面；主题粗标：长期饮用；口味稳定；回购理由；梅见旗舰店商品评价；未记录用户名；已排除商家回复；评价页未展示评论点赞/有用数，点赞数留空</t>
        </is>
      </c>
      <c r="Q454" t="inlineStr">
        <is>
          <t>目标品牌</t>
        </is>
      </c>
      <c r="R454"/>
      <c r="S454" t="inlineStr">
        <is>
          <t>TB-20260809-034_ANALYSIS_BASELINE_formal-attempt-0001_AI</t>
        </is>
      </c>
      <c r="T454" t="inlineStr">
        <is>
          <t>场景需求</t>
        </is>
      </c>
      <c r="U454" t="inlineStr">
        <is>
          <t>KEEP</t>
        </is>
      </c>
      <c r="V454" t="inlineStr">
        <is>
          <t>ANALYSIS_BASELINE</t>
        </is>
      </c>
      <c r="W454" t="inlineStr">
        <is>
          <t>可用</t>
        </is>
      </c>
      <c r="X454" t="inlineStr">
        <is>
          <t>品牌语料分析与洞察体系.xlsx#表1：原始语料库!454</t>
        </is>
      </c>
      <c r="Y454" t="inlineStr">
        <is>
          <t>FROZEN_419_V2</t>
        </is>
      </c>
    </row>
    <row r="455" ht="25.5" customHeight="1">
      <c r="A455" t="inlineStr">
        <is>
          <t>TB-20260809-035</t>
        </is>
      </c>
      <c r="B455" t="inlineStr">
        <is>
          <t>购买决策与价格反馈</t>
        </is>
      </c>
      <c r="C455" t="inlineStr">
        <is>
          <t>PRJ001</t>
        </is>
      </c>
      <c r="D455" t="inlineStr">
        <is>
          <t>梅见｜12度发酵330ml</t>
        </is>
      </c>
      <c r="E455" t="inlineStr">
        <is>
          <t>不错，包装特别好，比实体店划算</t>
        </is>
      </c>
      <c r="F455" t="inlineStr">
        <is>
          <t>品牌：梅见｜商品/规格：12度发酵330ml｜SKU：681094845930</t>
        </is>
      </c>
      <c r="G455" t="inlineStr">
        <is>
          <t>淘宝</t>
        </is>
      </c>
      <c r="H455" s="2" t="str">
        <f>=HYPERLINK("https://detail.tmall.com/item.htm?id=681094845930", "https://detail.tmall.com/item.htm?id=681094845930")</f>
        <v>https://detail.tmall.com/item.htm?id=681094845930</v>
      </c>
      <c r="I455" s="3">
        <v>46214</v>
      </c>
      <c r="J455" s="4">
        <v>46243</v>
      </c>
      <c r="K455" t="inlineStr">
        <is>
          <t>梅见 青梅酒 商品评价</t>
        </is>
      </c>
      <c r="L455"/>
      <c r="M455" t="inlineStr">
        <is>
          <t>TB-U-20260809-035</t>
        </is>
      </c>
      <c r="N455" t="inlineStr">
        <is>
          <t>公开评论</t>
        </is>
      </c>
      <c r="O455"/>
      <c r="P455" t="inlineStr">
        <is>
          <t>情绪粗标：正面；主题粗标：包装；价格；渠道比较；性价比；梅见旗舰店商品评价；未记录用户名；已排除商家回复；评价页未展示评论点赞/有用数，点赞数留空</t>
        </is>
      </c>
      <c r="Q455" t="inlineStr">
        <is>
          <t>目标品牌</t>
        </is>
      </c>
      <c r="R455"/>
      <c r="S455" t="inlineStr">
        <is>
          <t>TB-20260809-035_CHALLENGE_POOL_formal-attempt-0001_AI</t>
        </is>
      </c>
      <c r="T455" t="inlineStr">
        <is>
          <t>场景需求</t>
        </is>
      </c>
      <c r="U455" t="inlineStr">
        <is>
          <t>KEEP</t>
        </is>
      </c>
      <c r="V455" t="inlineStr">
        <is>
          <t>CHALLENGE</t>
        </is>
      </c>
      <c r="W455" t="inlineStr">
        <is>
          <t>可用</t>
        </is>
      </c>
      <c r="X455" t="inlineStr">
        <is>
          <t>品牌语料分析与洞察体系.xlsx#表1：原始语料库!455</t>
        </is>
      </c>
      <c r="Y455" t="inlineStr">
        <is>
          <t>FROZEN_419_V2</t>
        </is>
      </c>
    </row>
    <row r="456" ht="25.5" customHeight="1">
      <c r="A456" t="inlineStr">
        <is>
          <t>JD-RAW-0109</t>
        </is>
      </c>
      <c r="B456" t="inlineStr">
        <is>
          <t>购买决策与价格反馈</t>
        </is>
      </c>
      <c r="C456" t="inlineStr">
        <is>
          <t>PRJ001</t>
        </is>
      </c>
      <c r="D456" t="inlineStr">
        <is>
          <t>梅见</t>
        </is>
      </c>
      <c r="E456" t="inlineStr">
        <is>
          <t>多次回购好喝，但是必须冷藏才好喝。</t>
        </is>
      </c>
      <c r="F456" t="inlineStr">
        <is>
          <t>商品：12度发酵330ml；SKU：681094845930</t>
        </is>
      </c>
      <c r="G456" t="inlineStr">
        <is>
          <t>淘宝</t>
        </is>
      </c>
      <c r="H456" s="2" t="str">
        <f>=HYPERLINK("https://detail.tmall.com/item.htm?id=681094845930", "https://detail.tmall.com/item.htm?id=681094845930")</f>
        <v>https://detail.tmall.com/item.htm?id=681094845930</v>
      </c>
      <c r="I456" s="3">
        <v>46232</v>
      </c>
      <c r="J456" s="4">
        <v>46243</v>
      </c>
      <c r="K456" t="inlineStr">
        <is>
          <t>梅见 青梅酒</t>
        </is>
      </c>
      <c r="L456"/>
      <c r="M456" t="inlineStr">
        <is>
          <t>MJ-TB-U-001</t>
        </is>
      </c>
      <c r="N456" t="inlineStr">
        <is>
          <t>公开评论</t>
        </is>
      </c>
      <c r="O456"/>
      <c r="P456" t="inlineStr">
        <is>
          <t>与TB-20260809-040原始内容完全重复；历史编号错误，实际平台为淘宝（PREFIX_MISMATCH）</t>
        </is>
      </c>
      <c r="Q456" t="inlineStr">
        <is>
          <t>目标品牌</t>
        </is>
      </c>
      <c r="R456"/>
      <c r="S456" t="inlineStr">
        <is>
          <t>JD-RAW-0109_HOLDOUT_formal-attempt-0001_AI</t>
        </is>
      </c>
      <c r="T456" t="inlineStr">
        <is>
          <t>场景需求</t>
        </is>
      </c>
      <c r="U456" t="inlineStr">
        <is>
          <t>EXCLUDE</t>
        </is>
      </c>
      <c r="V456" t="inlineStr">
        <is>
          <t>EXCLUDE</t>
        </is>
      </c>
      <c r="W456" t="inlineStr">
        <is>
          <t>可用</t>
        </is>
      </c>
      <c r="X456" t="inlineStr">
        <is>
          <t>品牌语料分析与洞察体系.xlsx#表1：原始语料库!456</t>
        </is>
      </c>
      <c r="Y456" t="inlineStr">
        <is>
          <t>FROZEN_419_V2</t>
        </is>
      </c>
    </row>
    <row r="457" ht="25.5" customHeight="1">
      <c r="A457" t="inlineStr">
        <is>
          <t>TB-20260809-042</t>
        </is>
      </c>
      <c r="B457" t="inlineStr">
        <is>
          <t>购买决策与价格反馈</t>
        </is>
      </c>
      <c r="C457" t="inlineStr">
        <is>
          <t>PRJ001</t>
        </is>
      </c>
      <c r="D457" t="inlineStr">
        <is>
          <t>梅见｜乌梅梅见150ml</t>
        </is>
      </c>
      <c r="E457" t="inlineStr">
        <is>
          <t>小酒150毫升，经常购买，好喝，度数不高，微醺正好！</t>
        </is>
      </c>
      <c r="F457" t="inlineStr">
        <is>
          <t>品牌：梅见｜商品/规格：乌梅梅见150ml｜SKU：935881887671</t>
        </is>
      </c>
      <c r="G457" t="inlineStr">
        <is>
          <t>淘宝</t>
        </is>
      </c>
      <c r="H457" s="2" t="str">
        <f>=HYPERLINK("https://detail.tmall.com/item.htm?id=935881887671", "https://detail.tmall.com/item.htm?id=935881887671")</f>
        <v>https://detail.tmall.com/item.htm?id=935881887671</v>
      </c>
      <c r="I457" s="3">
        <v>46165</v>
      </c>
      <c r="J457" s="4">
        <v>46243</v>
      </c>
      <c r="K457" t="inlineStr">
        <is>
          <t>梅见 青梅酒 商品评价</t>
        </is>
      </c>
      <c r="L457"/>
      <c r="M457" t="inlineStr">
        <is>
          <t>TB-U-20260809-042</t>
        </is>
      </c>
      <c r="N457" t="inlineStr">
        <is>
          <t>公开评论</t>
        </is>
      </c>
      <c r="O457"/>
      <c r="P457" t="inlineStr">
        <is>
          <t>情绪粗标：正面；主题粗标：150ml规格；回购；酒精感；微醺；时光梅旗舰店商品评价；日期按规则放宽；未记录用户名；已排除商家回复；评价页未展示评论点赞/有用数，点赞数留空</t>
        </is>
      </c>
      <c r="Q457" t="inlineStr">
        <is>
          <t>目标品牌</t>
        </is>
      </c>
      <c r="R457"/>
      <c r="S457" t="inlineStr">
        <is>
          <t>TB-20260809-042_ANALYSIS_BASELINE_formal-attempt-0001_AI</t>
        </is>
      </c>
      <c r="T457" t="inlineStr">
        <is>
          <t>场景需求</t>
        </is>
      </c>
      <c r="U457" t="inlineStr">
        <is>
          <t>KEEP</t>
        </is>
      </c>
      <c r="V457" t="inlineStr">
        <is>
          <t>ANALYSIS_BASELINE</t>
        </is>
      </c>
      <c r="W457" t="inlineStr">
        <is>
          <t>可用</t>
        </is>
      </c>
      <c r="X457" t="inlineStr">
        <is>
          <t>品牌语料分析与洞察体系.xlsx#表1：原始语料库!457</t>
        </is>
      </c>
      <c r="Y457" t="inlineStr">
        <is>
          <t>FROZEN_419_V2</t>
        </is>
      </c>
    </row>
    <row r="458" ht="25.5" customHeight="1">
      <c r="A458" t="inlineStr">
        <is>
          <t>TB-20260809-045</t>
        </is>
      </c>
      <c r="B458" t="inlineStr">
        <is>
          <t>购买决策与价格反馈</t>
        </is>
      </c>
      <c r="C458" t="inlineStr">
        <is>
          <t>PRJ001</t>
        </is>
      </c>
      <c r="D458" t="inlineStr">
        <is>
          <t>梅见｜超酸梅见150ml</t>
        </is>
      </c>
      <c r="E458" t="inlineStr">
        <is>
          <t>我觉得挺好喝，已经买过很多梅见的口味了，都能接受</t>
        </is>
      </c>
      <c r="F458" t="inlineStr">
        <is>
          <t>品牌：梅见｜商品/规格：超酸梅见150ml｜SKU：935881887671</t>
        </is>
      </c>
      <c r="G458" t="inlineStr">
        <is>
          <t>淘宝</t>
        </is>
      </c>
      <c r="H458" s="2" t="str">
        <f>=HYPERLINK("https://detail.tmall.com/item.htm?id=935881887671", "https://detail.tmall.com/item.htm?id=935881887671")</f>
        <v>https://detail.tmall.com/item.htm?id=935881887671</v>
      </c>
      <c r="I458" s="3">
        <v>46139</v>
      </c>
      <c r="J458" s="4">
        <v>46243</v>
      </c>
      <c r="K458" t="inlineStr">
        <is>
          <t>梅见 青梅酒 商品评价</t>
        </is>
      </c>
      <c r="L458"/>
      <c r="M458" t="inlineStr">
        <is>
          <t>TB-U-20260809-045</t>
        </is>
      </c>
      <c r="N458" t="inlineStr">
        <is>
          <t>公开评论</t>
        </is>
      </c>
      <c r="O458"/>
      <c r="P458" t="inlineStr">
        <is>
          <t>情绪粗标：正面；主题粗标：多口味体验；复购；接受度；时光梅旗舰店商品评价；日期按规则放宽；未记录用户名；已排除商家回复；评价页未展示评论点赞/有用数，点赞数留空</t>
        </is>
      </c>
      <c r="Q458" t="inlineStr">
        <is>
          <t>目标品牌</t>
        </is>
      </c>
      <c r="R458"/>
      <c r="S458" t="inlineStr">
        <is>
          <t>TB-20260809-045_CHALLENGE_POOL_formal-attempt-0001_AI</t>
        </is>
      </c>
      <c r="T458" t="inlineStr">
        <is>
          <t>场景需求</t>
        </is>
      </c>
      <c r="U458" t="inlineStr">
        <is>
          <t>KEEP</t>
        </is>
      </c>
      <c r="V458" t="inlineStr">
        <is>
          <t>CHALLENGE</t>
        </is>
      </c>
      <c r="W458" t="inlineStr">
        <is>
          <t>可用</t>
        </is>
      </c>
      <c r="X458" t="inlineStr">
        <is>
          <t>品牌语料分析与洞察体系.xlsx#表1：原始语料库!458</t>
        </is>
      </c>
      <c r="Y458" t="inlineStr">
        <is>
          <t>FROZEN_419_V2</t>
        </is>
      </c>
    </row>
    <row r="459" ht="25.5" customHeight="1">
      <c r="A459" t="inlineStr">
        <is>
          <t>TB-20260809-047</t>
        </is>
      </c>
      <c r="B459" t="inlineStr">
        <is>
          <t>购买决策与价格反馈</t>
        </is>
      </c>
      <c r="C459" t="inlineStr">
        <is>
          <t>PRJ001</t>
        </is>
      </c>
      <c r="D459" t="inlineStr">
        <is>
          <t>梅见｜乌梅梅见150ml</t>
        </is>
      </c>
      <c r="E459" t="inlineStr">
        <is>
          <t>多次购买的梅见青梅酒，和闺蜜小饮怡情，味道好，感觉更好。</t>
        </is>
      </c>
      <c r="F459" t="inlineStr">
        <is>
          <t>品牌：梅见｜商品/规格：乌梅梅见150ml｜SKU：935881887671</t>
        </is>
      </c>
      <c r="G459" t="inlineStr">
        <is>
          <t>淘宝</t>
        </is>
      </c>
      <c r="H459" s="2" t="str">
        <f>=HYPERLINK("https://detail.tmall.com/item.htm?id=935881887671", "https://detail.tmall.com/item.htm?id=935881887671")</f>
        <v>https://detail.tmall.com/item.htm?id=935881887671</v>
      </c>
      <c r="I459" s="3">
        <v>46133</v>
      </c>
      <c r="J459" s="4">
        <v>46243</v>
      </c>
      <c r="K459" t="inlineStr">
        <is>
          <t>梅见 青梅酒 商品评价</t>
        </is>
      </c>
      <c r="L459"/>
      <c r="M459" t="inlineStr">
        <is>
          <t>TB-U-20260809-047</t>
        </is>
      </c>
      <c r="N459" t="inlineStr">
        <is>
          <t>公开评论</t>
        </is>
      </c>
      <c r="O459"/>
      <c r="P459" t="inlineStr">
        <is>
          <t>情绪粗标：正面；主题粗标：复购；饮用场景；品牌；时光梅旗舰店商品评价；日期按规则放宽；未记录用户名；已排除商家回复；评价页未展示评论点赞/有用数，点赞数留空</t>
        </is>
      </c>
      <c r="Q459" t="inlineStr">
        <is>
          <t>目标品牌</t>
        </is>
      </c>
      <c r="R459"/>
      <c r="S459" t="inlineStr">
        <is>
          <t>TB-20260809-047_CHALLENGE_POOL_formal-attempt-0001_AI</t>
        </is>
      </c>
      <c r="T459" t="inlineStr">
        <is>
          <t>场景需求</t>
        </is>
      </c>
      <c r="U459" t="inlineStr">
        <is>
          <t>KEEP</t>
        </is>
      </c>
      <c r="V459" t="inlineStr">
        <is>
          <t>CHALLENGE</t>
        </is>
      </c>
      <c r="W459" t="inlineStr">
        <is>
          <t>可用</t>
        </is>
      </c>
      <c r="X459" t="inlineStr">
        <is>
          <t>品牌语料分析与洞察体系.xlsx#表1：原始语料库!459</t>
        </is>
      </c>
      <c r="Y459" t="inlineStr">
        <is>
          <t>FROZEN_419_V2</t>
        </is>
      </c>
    </row>
    <row r="460" ht="25.5" customHeight="1">
      <c r="A460" t="inlineStr">
        <is>
          <t>TB-20260809-033</t>
        </is>
      </c>
      <c r="B460" t="inlineStr">
        <is>
          <t>饮法调配与内容共创</t>
        </is>
      </c>
      <c r="C460" t="inlineStr">
        <is>
          <t>PRJ001</t>
        </is>
      </c>
      <c r="D460" t="inlineStr">
        <is>
          <t>梅见｜12度发酵330ml</t>
        </is>
      </c>
      <c r="E460" t="inlineStr">
        <is>
          <t>口感不错，加冰更好，夏天来上一杯，比啤酒更爽</t>
        </is>
      </c>
      <c r="F460" t="inlineStr">
        <is>
          <t>品牌：梅见｜商品/规格：12度发酵330ml｜SKU：681094845930</t>
        </is>
      </c>
      <c r="G460" t="inlineStr">
        <is>
          <t>淘宝</t>
        </is>
      </c>
      <c r="H460" s="2" t="str">
        <f>=HYPERLINK("https://detail.tmall.com/item.htm?id=681094845930", "https://detail.tmall.com/item.htm?id=681094845930")</f>
        <v>https://detail.tmall.com/item.htm?id=681094845930</v>
      </c>
      <c r="I460" s="3">
        <v>46211</v>
      </c>
      <c r="J460" s="4">
        <v>46243</v>
      </c>
      <c r="K460" t="inlineStr">
        <is>
          <t>梅见 青梅酒 商品评价</t>
        </is>
      </c>
      <c r="L460"/>
      <c r="M460" t="inlineStr">
        <is>
          <t>TB-U-20260809-033</t>
        </is>
      </c>
      <c r="N460" t="inlineStr">
        <is>
          <t>公开评论</t>
        </is>
      </c>
      <c r="O460"/>
      <c r="P460" t="inlineStr">
        <is>
          <t>情绪粗标：正面；主题粗标：入口感；加冰；饮用场景；与啤酒比较；梅见旗舰店商品评价；未记录用户名；已排除商家回复；评价页未展示评论点赞/有用数，点赞数留空</t>
        </is>
      </c>
      <c r="Q460" t="inlineStr">
        <is>
          <t>目标品牌</t>
        </is>
      </c>
      <c r="R460"/>
      <c r="S460" t="inlineStr">
        <is>
          <t>TB-20260809-033_GOLD_人工标注_人工,TB-20260809-033_GOLD_attempt-0002_AI_矫正前,TB-20260809-033_GOLD_attempt-0006_AI_矫正后</t>
        </is>
      </c>
      <c r="T460" t="inlineStr">
        <is>
          <t>场景需求</t>
        </is>
      </c>
      <c r="U460" t="inlineStr">
        <is>
          <t>KEEP</t>
        </is>
      </c>
      <c r="V460" t="inlineStr">
        <is>
          <t>GOLD</t>
        </is>
      </c>
      <c r="W460" t="inlineStr">
        <is>
          <t>不可用</t>
        </is>
      </c>
      <c r="X460" t="inlineStr">
        <is>
          <t>原始母表#raw_id=TB-20260809-033</t>
        </is>
      </c>
      <c r="Y460" t="inlineStr">
        <is>
          <t>FROZEN_419_V2</t>
        </is>
      </c>
    </row>
    <row r="461" ht="25.5" customHeight="1">
      <c r="A461" t="inlineStr">
        <is>
          <t>XHS-SOC-0019</t>
        </is>
      </c>
      <c r="B461" t="inlineStr">
        <is>
          <t>饮法调配与内容共创</t>
        </is>
      </c>
      <c r="C461" t="inlineStr">
        <is>
          <t>PRJ001</t>
        </is>
      </c>
      <c r="D461" t="inlineStr">
        <is>
          <t>梅见</t>
        </is>
      </c>
      <c r="E461" t="inlineStr">
        <is>
          <t>看了一下梅见的成分表，第1位带水的都不要买。还有放浓缩果汁的那些通通都是勾兑的。</t>
        </is>
      </c>
      <c r="F461" t="inlineStr">
        <is>
          <t>梅见成分分析-浓缩汁勾兑｜2025-10-01｜小红书</t>
        </is>
      </c>
      <c r="G461" t="inlineStr">
        <is>
          <t>小红书</t>
        </is>
      </c>
      <c r="H461" s="2" t="str">
        <f>=HYPERLINK("https://www.xiaohongshu.com/search_result/梅见测评", "https://www.xiaohongshu.com/search_result/梅见测评")</f>
        <v>https://www.xiaohongshu.com/search_result/梅见测评</v>
      </c>
      <c r="I461" s="3">
        <v>45990</v>
      </c>
      <c r="J461" s="4">
        <v>46243</v>
      </c>
      <c r="K461" t="inlineStr">
        <is>
          <t>梅见测评</t>
        </is>
      </c>
      <c r="L461">
        <v>90</v>
      </c>
      <c r="M461" t="inlineStr">
        <is>
          <t>XHS-U0097</t>
        </is>
      </c>
      <c r="N461" t="inlineStr">
        <is>
          <t>公开评论</t>
        </is>
      </c>
      <c r="O461"/>
      <c r="P461" t="inlineStr">
        <is>
          <t>原始:2025-11-29·湖北；当前为搜索结果页链接，正式入库前需补原笔记链接</t>
        </is>
      </c>
      <c r="Q461" t="inlineStr">
        <is>
          <t>目标品牌</t>
        </is>
      </c>
      <c r="R461"/>
      <c r="S461" t="inlineStr">
        <is>
          <t>XHS-SOC-0019_ANALYSIS_BASELINE_formal-attempt-0001_AI</t>
        </is>
      </c>
      <c r="T461" t="inlineStr">
        <is>
          <t>场景需求</t>
        </is>
      </c>
      <c r="U461" t="inlineStr">
        <is>
          <t>KEEP</t>
        </is>
      </c>
      <c r="V461" t="inlineStr">
        <is>
          <t>ANALYSIS_BASELINE</t>
        </is>
      </c>
      <c r="W461" t="inlineStr">
        <is>
          <t>可用</t>
        </is>
      </c>
      <c r="X461" t="inlineStr">
        <is>
          <t>品牌语料分析与洞察体系.xlsx#表1：原始语料库!461</t>
        </is>
      </c>
      <c r="Y461" t="inlineStr">
        <is>
          <t>FROZEN_419_V2</t>
        </is>
      </c>
    </row>
    <row r="462" ht="25.5" customHeight="1">
      <c r="A462" t="inlineStr">
        <is>
          <t>XHS-SOC-0034</t>
        </is>
      </c>
      <c r="B462" t="inlineStr">
        <is>
          <t>饮法调配与内容共创</t>
        </is>
      </c>
      <c r="C462" t="inlineStr">
        <is>
          <t>PRJ001</t>
        </is>
      </c>
      <c r="D462" t="inlineStr">
        <is>
          <t>梅见</t>
        </is>
      </c>
      <c r="E462" t="inlineStr">
        <is>
          <t>原来这种调酒都是酒50饮料200我一比一调的我说怎么不好喝</t>
        </is>
      </c>
      <c r="F462" t="inlineStr">
        <is>
          <t>梅见青梅酒调酒搭配｜2025-08-27｜小红书</t>
        </is>
      </c>
      <c r="G462" t="inlineStr">
        <is>
          <t>小红书</t>
        </is>
      </c>
      <c r="H462" s="2" t="str">
        <f>=HYPERLINK("https://www.xiaohongshu.com/search_result/梅见配什么", "https://www.xiaohongshu.com/search_result/梅见配什么")</f>
        <v>https://www.xiaohongshu.com/search_result/梅见配什么</v>
      </c>
      <c r="I462" s="3">
        <v>45999</v>
      </c>
      <c r="J462" s="4">
        <v>46243</v>
      </c>
      <c r="K462" t="inlineStr">
        <is>
          <t>梅见配什么</t>
        </is>
      </c>
      <c r="L462">
        <v>22</v>
      </c>
      <c r="M462" t="inlineStr">
        <is>
          <t>XHS-U0344</t>
        </is>
      </c>
      <c r="N462" t="inlineStr">
        <is>
          <t>公开评论</t>
        </is>
      </c>
      <c r="O462"/>
      <c r="P462" t="inlineStr">
        <is>
          <t>原始:2025-12-08·山东；当前为搜索结果页链接，正式入库前需补原笔记链接</t>
        </is>
      </c>
      <c r="Q462" t="inlineStr">
        <is>
          <t>目标品牌</t>
        </is>
      </c>
      <c r="R462"/>
      <c r="S462" t="inlineStr">
        <is>
          <t>XHS-SOC-0034_ANALYSIS_DEMO_DELTA_formal-attempt-0001_AI</t>
        </is>
      </c>
      <c r="T462" t="inlineStr">
        <is>
          <t>场景需求</t>
        </is>
      </c>
      <c r="U462" t="inlineStr">
        <is>
          <t>KEEP</t>
        </is>
      </c>
      <c r="V462" t="inlineStr">
        <is>
          <t>CURATED_DEMO_DELTA</t>
        </is>
      </c>
      <c r="W462" t="inlineStr">
        <is>
          <t>可用</t>
        </is>
      </c>
      <c r="X462" t="inlineStr">
        <is>
          <t>品牌语料分析与洞察体系.xlsx#表1：原始语料库!462</t>
        </is>
      </c>
      <c r="Y462" t="inlineStr">
        <is>
          <t>FROZEN_419_V2</t>
        </is>
      </c>
    </row>
    <row r="463" ht="25.5" customHeight="1">
      <c r="A463" t="inlineStr">
        <is>
          <t>DY-SOC-0135</t>
        </is>
      </c>
      <c r="B463" t="inlineStr">
        <is>
          <t>饮法调配与内容共创</t>
        </is>
      </c>
      <c r="C463" t="inlineStr">
        <is>
          <t>PRJ001</t>
        </is>
      </c>
      <c r="D463" t="inlineStr">
        <is>
          <t>梅见</t>
        </is>
      </c>
      <c r="E463" t="inlineStr">
        <is>
          <t>真露纯老酒精子兑香精[憨笑]</t>
        </is>
      </c>
      <c r="F463" t="inlineStr">
        <is>
          <t>超市小甜水上头测评｜2025-03-14｜抖音</t>
        </is>
      </c>
      <c r="G463" t="inlineStr">
        <is>
          <t>抖音</t>
        </is>
      </c>
      <c r="H463" s="2" t="str">
        <f>=HYPERLINK("https://www.douyin.com/video/7633357452931807473", "https://www.douyin.com/video/7633357452931807473")</f>
        <v>https://www.douyin.com/video/7633357452931807473</v>
      </c>
      <c r="I463" s="3">
        <v>45730</v>
      </c>
      <c r="J463" s="4">
        <v>46243</v>
      </c>
      <c r="K463" t="inlineStr">
        <is>
          <t>梅见难喝</t>
        </is>
      </c>
      <c r="L463"/>
      <c r="M463" t="inlineStr">
        <is>
          <t>DY-U0094</t>
        </is>
      </c>
      <c r="N463" t="inlineStr">
        <is>
          <t>公开评论</t>
        </is>
      </c>
      <c r="O463"/>
      <c r="P463" t="inlineStr">
        <is>
          <t>点赞数未成功识别，暂置空，禁止随机补值；当前日期来自视频发布时间，评论发布时间未识别</t>
        </is>
      </c>
      <c r="Q463" t="inlineStr">
        <is>
          <t>目标品牌</t>
        </is>
      </c>
      <c r="R463"/>
      <c r="S463" t="inlineStr">
        <is>
          <t>DY-SOC-0135_ANALYSIS_BASELINE_formal-attempt-0001_AI</t>
        </is>
      </c>
      <c r="T463" t="inlineStr">
        <is>
          <t>场景需求</t>
        </is>
      </c>
      <c r="U463" t="inlineStr">
        <is>
          <t>KEEP</t>
        </is>
      </c>
      <c r="V463" t="inlineStr">
        <is>
          <t>ANALYSIS_BASELINE</t>
        </is>
      </c>
      <c r="W463" t="inlineStr">
        <is>
          <t>可用</t>
        </is>
      </c>
      <c r="X463" t="inlineStr">
        <is>
          <t>品牌语料分析与洞察体系.xlsx#表1：原始语料库!463</t>
        </is>
      </c>
      <c r="Y463" t="inlineStr">
        <is>
          <t>FROZEN_419_V2</t>
        </is>
      </c>
    </row>
    <row r="464" ht="25.5" customHeight="1">
      <c r="A464" t="inlineStr">
        <is>
          <t>DY-SOC-0136</t>
        </is>
      </c>
      <c r="B464" t="inlineStr">
        <is>
          <t>饮法调配与内容共创</t>
        </is>
      </c>
      <c r="C464" t="inlineStr">
        <is>
          <t>PRJ001</t>
        </is>
      </c>
      <c r="D464" t="inlineStr">
        <is>
          <t>梅见</t>
        </is>
      </c>
      <c r="E464" t="inlineStr">
        <is>
          <t>加冰的肯定比不加冰的口感更好</t>
        </is>
      </c>
      <c r="F464" t="inlineStr">
        <is>
          <t>晚上独饮的时候｜2025-07-25｜抖音</t>
        </is>
      </c>
      <c r="G464" t="inlineStr">
        <is>
          <t>抖音</t>
        </is>
      </c>
      <c r="H464" s="2" t="str">
        <f>=HYPERLINK("https://www.douyin.com/video/7669008237697792110", "https://www.douyin.com/video/7669008237697792110")</f>
        <v>https://www.douyin.com/video/7669008237697792110</v>
      </c>
      <c r="I464" s="3">
        <v>45863</v>
      </c>
      <c r="J464" s="4">
        <v>46243</v>
      </c>
      <c r="K464" t="inlineStr">
        <is>
          <t>梅见独饮①</t>
        </is>
      </c>
      <c r="L464"/>
      <c r="M464" t="inlineStr">
        <is>
          <t>DY-U0174</t>
        </is>
      </c>
      <c r="N464" t="inlineStr">
        <is>
          <t>公开评论</t>
        </is>
      </c>
      <c r="O464"/>
      <c r="P464" t="inlineStr">
        <is>
          <t>点赞数未成功识别，暂置空，禁止随机补值</t>
        </is>
      </c>
      <c r="Q464" t="inlineStr">
        <is>
          <t>目标品牌</t>
        </is>
      </c>
      <c r="R464"/>
      <c r="S464" t="inlineStr">
        <is>
          <t>DY-SOC-0136_ANALYSIS_BASELINE_formal-attempt-0001_AI</t>
        </is>
      </c>
      <c r="T464" t="inlineStr">
        <is>
          <t>场景需求</t>
        </is>
      </c>
      <c r="U464" t="inlineStr">
        <is>
          <t>KEEP</t>
        </is>
      </c>
      <c r="V464" t="inlineStr">
        <is>
          <t>ANALYSIS_BASELINE</t>
        </is>
      </c>
      <c r="W464" t="inlineStr">
        <is>
          <t>可用</t>
        </is>
      </c>
      <c r="X464" t="inlineStr">
        <is>
          <t>品牌语料分析与洞察体系.xlsx#表1：原始语料库!464</t>
        </is>
      </c>
      <c r="Y464" t="inlineStr">
        <is>
          <t>FROZEN_419_V2</t>
        </is>
      </c>
    </row>
    <row r="465" ht="25.5" customHeight="1">
      <c r="A465" t="inlineStr">
        <is>
          <t>DY-SOC-0137</t>
        </is>
      </c>
      <c r="B465" t="inlineStr">
        <is>
          <t>饮法调配与内容共创</t>
        </is>
      </c>
      <c r="C465" t="inlineStr">
        <is>
          <t>PRJ001</t>
        </is>
      </c>
      <c r="D465" t="inlineStr">
        <is>
          <t>梅见</t>
        </is>
      </c>
      <c r="E465" t="inlineStr">
        <is>
          <t>梅见加冰夏天晚上的标配</t>
        </is>
      </c>
      <c r="F465" t="inlineStr">
        <is>
          <t>下班微醺这一刻太惬意｜2025-08-02｜抖音</t>
        </is>
      </c>
      <c r="G465" t="inlineStr">
        <is>
          <t>抖音</t>
        </is>
      </c>
      <c r="H465" s="2" t="str">
        <f>=HYPERLINK("https://www.douyin.com/video/7641146960553096778", "https://www.douyin.com/video/7641146960553096778")</f>
        <v>https://www.douyin.com/video/7641146960553096778</v>
      </c>
      <c r="I465" s="3">
        <v>45871</v>
      </c>
      <c r="J465" s="4">
        <v>46243</v>
      </c>
      <c r="K465" t="inlineStr">
        <is>
          <t>梅见独饮②</t>
        </is>
      </c>
      <c r="L465"/>
      <c r="M465" t="inlineStr">
        <is>
          <t>DY-U0182</t>
        </is>
      </c>
      <c r="N465" t="inlineStr">
        <is>
          <t>公开评论</t>
        </is>
      </c>
      <c r="O465"/>
      <c r="P465" t="inlineStr">
        <is>
          <t>点赞数未成功识别，暂置空，禁止随机补值</t>
        </is>
      </c>
      <c r="Q465" t="inlineStr">
        <is>
          <t>目标品牌</t>
        </is>
      </c>
      <c r="R465"/>
      <c r="S465" t="inlineStr">
        <is>
          <t>DY-SOC-0137_HOLDOUT_formal-attempt-0001_AI</t>
        </is>
      </c>
      <c r="T465" t="inlineStr">
        <is>
          <t>场景需求</t>
        </is>
      </c>
      <c r="U465" t="inlineStr">
        <is>
          <t>KEEP</t>
        </is>
      </c>
      <c r="V465" t="inlineStr">
        <is>
          <t>HOLDOUT</t>
        </is>
      </c>
      <c r="W465" t="inlineStr">
        <is>
          <t>可用</t>
        </is>
      </c>
      <c r="X465" t="inlineStr">
        <is>
          <t>品牌语料分析与洞察体系.xlsx#表1：原始语料库!465</t>
        </is>
      </c>
      <c r="Y465" t="inlineStr">
        <is>
          <t>FROZEN_419_V2</t>
        </is>
      </c>
    </row>
    <row r="466" ht="25.5" customHeight="1">
      <c r="A466" t="inlineStr">
        <is>
          <t>DY-SOC-0138</t>
        </is>
      </c>
      <c r="B466" t="inlineStr">
        <is>
          <t>饮法调配与内容共创</t>
        </is>
      </c>
      <c r="C466" t="inlineStr">
        <is>
          <t>PRJ001</t>
        </is>
      </c>
      <c r="D466" t="inlineStr">
        <is>
          <t>低度酒</t>
        </is>
      </c>
      <c r="E466" t="inlineStr">
        <is>
          <t>冰镇白酒最好喝喝起来是甜甜的阿咩快试试</t>
        </is>
      </c>
      <c r="F466" t="inlineStr">
        <is>
          <t>平价年度好酒Top10｜2025-01-03｜抖音</t>
        </is>
      </c>
      <c r="G466" t="inlineStr">
        <is>
          <t>抖音</t>
        </is>
      </c>
      <c r="H466" s="2" t="str">
        <f>=HYPERLINK("https://www.douyin.com/video/7592552745405085545", "https://www.douyin.com/video/7592552745405085545")</f>
        <v>https://www.douyin.com/video/7592552745405085545</v>
      </c>
      <c r="I466" s="3">
        <v>45660</v>
      </c>
      <c r="J466" s="4">
        <v>46243</v>
      </c>
      <c r="K466" t="inlineStr">
        <is>
          <t>低度酒推荐①</t>
        </is>
      </c>
      <c r="L466"/>
      <c r="M466" t="inlineStr">
        <is>
          <t>DY-U0292</t>
        </is>
      </c>
      <c r="N466" t="inlineStr">
        <is>
          <t>公开评论</t>
        </is>
      </c>
      <c r="O466"/>
      <c r="P466" t="inlineStr">
        <is>
          <t>点赞数未成功识别，暂置空，禁止随机补值；当前日期来自视频发布时间，评论发布时间未识别</t>
        </is>
      </c>
      <c r="Q466" t="inlineStr">
        <is>
          <t>低度酒品类</t>
        </is>
      </c>
      <c r="R466"/>
      <c r="S466" t="inlineStr">
        <is>
          <t>DY-SOC-0138_ANALYSIS_BASELINE_formal-attempt-0001_AI</t>
        </is>
      </c>
      <c r="T466" t="inlineStr">
        <is>
          <t>场景需求</t>
        </is>
      </c>
      <c r="U466" t="inlineStr">
        <is>
          <t>KEEP</t>
        </is>
      </c>
      <c r="V466" t="inlineStr">
        <is>
          <t>ANALYSIS_BASELINE</t>
        </is>
      </c>
      <c r="W466" t="inlineStr">
        <is>
          <t>可用</t>
        </is>
      </c>
      <c r="X466" t="inlineStr">
        <is>
          <t>品牌语料分析与洞察体系.xlsx#表1：原始语料库!466</t>
        </is>
      </c>
      <c r="Y466" t="inlineStr">
        <is>
          <t>FROZEN_419_V2</t>
        </is>
      </c>
    </row>
    <row r="467" ht="25.5" customHeight="1">
      <c r="A467" t="inlineStr">
        <is>
          <t>XHS-SOC-0184</t>
        </is>
      </c>
      <c r="B467" t="inlineStr">
        <is>
          <t>饮法调配与内容共创</t>
        </is>
      </c>
      <c r="C467" t="inlineStr">
        <is>
          <t>PRJ001</t>
        </is>
      </c>
      <c r="D467" t="inlineStr">
        <is>
          <t>梅见</t>
        </is>
      </c>
      <c r="E467" t="inlineStr">
        <is>
          <t>打开闻到味道我以为是藿香正气水。。。</t>
        </is>
      </c>
      <c r="F467" t="inlineStr">
        <is>
          <t>梅见成分分析-浓缩汁勾兑｜2025-10-01｜小红书</t>
        </is>
      </c>
      <c r="G467" t="inlineStr">
        <is>
          <t>小红书</t>
        </is>
      </c>
      <c r="H467" s="2" t="str">
        <f>=HYPERLINK("https://www.xiaohongshu.com/search_result/梅见测评", "https://www.xiaohongshu.com/search_result/梅见测评")</f>
        <v>https://www.xiaohongshu.com/search_result/梅见测评</v>
      </c>
      <c r="I467" s="3">
        <v>45978</v>
      </c>
      <c r="J467" s="4">
        <v>46243</v>
      </c>
      <c r="K467" t="inlineStr">
        <is>
          <t>梅见测评</t>
        </is>
      </c>
      <c r="L467">
        <v>9</v>
      </c>
      <c r="M467" t="inlineStr">
        <is>
          <t>XHS-U0109</t>
        </is>
      </c>
      <c r="N467" t="inlineStr">
        <is>
          <t>公开评论</t>
        </is>
      </c>
      <c r="O467"/>
      <c r="P467" t="inlineStr">
        <is>
          <t>原始:2025-11-17·广东；当前为搜索结果页链接，正式入库前需补原笔记链接</t>
        </is>
      </c>
      <c r="Q467" t="inlineStr">
        <is>
          <t>目标品牌</t>
        </is>
      </c>
      <c r="R467"/>
      <c r="S467" t="inlineStr">
        <is>
          <t>XHS-SOC-0184_GOLD_人工标注_人工,XHS-SOC-0184_GOLD_attempt-0002_AI_矫正前,XHS-SOC-0184_GOLD_attempt-0006_AI_矫正后</t>
        </is>
      </c>
      <c r="T467" t="inlineStr">
        <is>
          <t>场景需求</t>
        </is>
      </c>
      <c r="U467" t="inlineStr">
        <is>
          <t>KEEP</t>
        </is>
      </c>
      <c r="V467" t="inlineStr">
        <is>
          <t>GOLD</t>
        </is>
      </c>
      <c r="W467" t="inlineStr">
        <is>
          <t>不可用</t>
        </is>
      </c>
      <c r="X467" t="inlineStr">
        <is>
          <t>原始母表#raw_id=XHS-SOC-0184</t>
        </is>
      </c>
      <c r="Y467" t="inlineStr">
        <is>
          <t>FROZEN_419_V2</t>
        </is>
      </c>
    </row>
    <row r="468" ht="25.5" customHeight="1">
      <c r="A468" t="inlineStr">
        <is>
          <t>XHS-SOC-0186</t>
        </is>
      </c>
      <c r="B468" t="inlineStr">
        <is>
          <t>饮法调配与内容共创</t>
        </is>
      </c>
      <c r="C468" t="inlineStr">
        <is>
          <t>PRJ001</t>
        </is>
      </c>
      <c r="D468" t="inlineStr">
        <is>
          <t>梅见</t>
        </is>
      </c>
      <c r="E468" t="inlineStr">
        <is>
          <t>这些比例多少啊？是自己随便加么</t>
        </is>
      </c>
      <c r="F468" t="inlineStr">
        <is>
          <t>梅见青梅酒调酒搭配｜2025-08-27｜小红书</t>
        </is>
      </c>
      <c r="G468" t="inlineStr">
        <is>
          <t>小红书</t>
        </is>
      </c>
      <c r="H468" s="2" t="str">
        <f>=HYPERLINK("https://www.xiaohongshu.com/search_result/梅见配什么", "https://www.xiaohongshu.com/search_result/梅见配什么")</f>
        <v>https://www.xiaohongshu.com/search_result/梅见配什么</v>
      </c>
      <c r="I468" s="3">
        <v>45937</v>
      </c>
      <c r="J468" s="4">
        <v>46243</v>
      </c>
      <c r="K468" t="inlineStr">
        <is>
          <t>梅见配什么</t>
        </is>
      </c>
      <c r="L468">
        <v>8</v>
      </c>
      <c r="M468" t="inlineStr">
        <is>
          <t>XHS-U0340</t>
        </is>
      </c>
      <c r="N468" t="inlineStr">
        <is>
          <t>公开评论</t>
        </is>
      </c>
      <c r="O468"/>
      <c r="P468" t="inlineStr">
        <is>
          <t>原始:2025-10-07·黑龙江；当前为搜索结果页链接，正式入库前需补原笔记链接</t>
        </is>
      </c>
      <c r="Q468" t="inlineStr">
        <is>
          <t>目标品牌</t>
        </is>
      </c>
      <c r="R468"/>
      <c r="S468" t="inlineStr">
        <is>
          <t>XHS-SOC-0186_ANALYSIS_BASELINE_formal-attempt-0001_AI</t>
        </is>
      </c>
      <c r="T468" t="inlineStr">
        <is>
          <t>场景需求</t>
        </is>
      </c>
      <c r="U468" t="inlineStr">
        <is>
          <t>KEEP</t>
        </is>
      </c>
      <c r="V468" t="inlineStr">
        <is>
          <t>ANALYSIS_BASELINE</t>
        </is>
      </c>
      <c r="W468" t="inlineStr">
        <is>
          <t>可用</t>
        </is>
      </c>
      <c r="X468" t="inlineStr">
        <is>
          <t>品牌语料分析与洞察体系.xlsx#表1：原始语料库!468</t>
        </is>
      </c>
      <c r="Y468" t="inlineStr">
        <is>
          <t>FROZEN_419_V2</t>
        </is>
      </c>
    </row>
    <row r="469" ht="25.5" customHeight="1">
      <c r="A469" t="inlineStr">
        <is>
          <t>DY-SOC-0206</t>
        </is>
      </c>
      <c r="B469" t="inlineStr">
        <is>
          <t>饮法调配与内容共创</t>
        </is>
      </c>
      <c r="C469" t="inlineStr">
        <is>
          <t>PRJ001</t>
        </is>
      </c>
      <c r="D469" t="inlineStr">
        <is>
          <t>低度酒</t>
        </is>
      </c>
      <c r="E469" t="inlineStr">
        <is>
          <t>梅见适合加冰</t>
        </is>
      </c>
      <c r="F469" t="inlineStr">
        <is>
          <t>喝完这三瓶谁是你心中的白月光｜2025-08-08｜抖音</t>
        </is>
      </c>
      <c r="G469" t="inlineStr">
        <is>
          <t>抖音</t>
        </is>
      </c>
      <c r="H469" s="2" t="str">
        <f>=HYPERLINK("https://www.douyin.com/video/7625642082769669382", "https://www.douyin.com/video/7625642082769669382")</f>
        <v>https://www.douyin.com/video/7625642082769669382</v>
      </c>
      <c r="I469" s="3">
        <v>45877</v>
      </c>
      <c r="J469" s="4">
        <v>46243</v>
      </c>
      <c r="K469" t="inlineStr">
        <is>
          <t>青梅酒推荐①</t>
        </is>
      </c>
      <c r="L469"/>
      <c r="M469" t="inlineStr">
        <is>
          <t>DY-U0275</t>
        </is>
      </c>
      <c r="N469" t="inlineStr">
        <is>
          <t>公开评论</t>
        </is>
      </c>
      <c r="O469"/>
      <c r="P469" t="inlineStr">
        <is>
          <t>点赞数未成功识别，暂置空，禁止随机补值</t>
        </is>
      </c>
      <c r="Q469" t="inlineStr">
        <is>
          <t>低度酒品类</t>
        </is>
      </c>
      <c r="R469"/>
      <c r="S469" t="inlineStr">
        <is>
          <t>DY-SOC-0206_ANALYSIS_BASELINE_formal-attempt-0001_AI</t>
        </is>
      </c>
      <c r="T469" t="inlineStr">
        <is>
          <t>场景需求</t>
        </is>
      </c>
      <c r="U469" t="inlineStr">
        <is>
          <t>KEEP</t>
        </is>
      </c>
      <c r="V469" t="inlineStr">
        <is>
          <t>ANALYSIS_BASELINE</t>
        </is>
      </c>
      <c r="W469" t="inlineStr">
        <is>
          <t>可用</t>
        </is>
      </c>
      <c r="X469" t="inlineStr">
        <is>
          <t>品牌语料分析与洞察体系.xlsx#表1：原始语料库!469</t>
        </is>
      </c>
      <c r="Y469" t="inlineStr">
        <is>
          <t>FROZEN_419_V2</t>
        </is>
      </c>
    </row>
    <row r="470" ht="25.5" customHeight="1">
      <c r="A470" t="inlineStr">
        <is>
          <t>XHS-SOC-0244</t>
        </is>
      </c>
      <c r="B470" t="inlineStr">
        <is>
          <t>饮法调配与内容共创</t>
        </is>
      </c>
      <c r="C470" t="inlineStr">
        <is>
          <t>PRJ001</t>
        </is>
      </c>
      <c r="D470" t="inlineStr">
        <is>
          <t>梅见</t>
        </is>
      </c>
      <c r="E470" t="inlineStr">
        <is>
          <t>勾兑假酒，喝了一口扔了</t>
        </is>
      </c>
      <c r="F470" t="inlineStr">
        <is>
          <t>梅见避雷-劣质香精味｜2025-04-03｜小红书</t>
        </is>
      </c>
      <c r="G470" t="inlineStr">
        <is>
          <t>小红书</t>
        </is>
      </c>
      <c r="H470" s="2" t="str">
        <f>=HYPERLINK("https://www.xiaohongshu.com/search_result/梅见值不值得买", "https://www.xiaohongshu.com/search_result/梅见值不值得买")</f>
        <v>https://www.xiaohongshu.com/search_result/梅见值不值得买</v>
      </c>
      <c r="I470" s="3">
        <v>46191</v>
      </c>
      <c r="J470" s="4">
        <v>46243</v>
      </c>
      <c r="K470" t="inlineStr">
        <is>
          <t>梅见值不值得买</t>
        </is>
      </c>
      <c r="L470">
        <v>0</v>
      </c>
      <c r="M470" t="inlineStr">
        <is>
          <t>XHS-U0318</t>
        </is>
      </c>
      <c r="N470" t="inlineStr">
        <is>
          <t>公开评论</t>
        </is>
      </c>
      <c r="O470"/>
      <c r="P470" t="inlineStr">
        <is>
          <t>原始:06-18;年份推定·福建；当前为搜索结果页链接，正式入库前需补原笔记链接</t>
        </is>
      </c>
      <c r="Q470" t="inlineStr">
        <is>
          <t>目标品牌</t>
        </is>
      </c>
      <c r="R470"/>
      <c r="S470" t="inlineStr">
        <is>
          <t>XHS-SOC-0244_HOLDOUT_formal-attempt-0001_AI</t>
        </is>
      </c>
      <c r="T470" t="inlineStr">
        <is>
          <t>场景需求</t>
        </is>
      </c>
      <c r="U470" t="inlineStr">
        <is>
          <t>KEEP</t>
        </is>
      </c>
      <c r="V470" t="inlineStr">
        <is>
          <t>HOLDOUT</t>
        </is>
      </c>
      <c r="W470" t="inlineStr">
        <is>
          <t>可用</t>
        </is>
      </c>
      <c r="X470" t="inlineStr">
        <is>
          <t>品牌语料分析与洞察体系.xlsx#表1：原始语料库!470</t>
        </is>
      </c>
      <c r="Y470" t="inlineStr">
        <is>
          <t>FROZEN_419_V2</t>
        </is>
      </c>
    </row>
    <row r="471" ht="25.5" customHeight="1">
      <c r="A471" t="inlineStr">
        <is>
          <t>XHS-SOC-0245</t>
        </is>
      </c>
      <c r="B471" t="inlineStr">
        <is>
          <t>饮法调配与内容共创</t>
        </is>
      </c>
      <c r="C471" t="inlineStr">
        <is>
          <t>PRJ001</t>
        </is>
      </c>
      <c r="D471" t="inlineStr">
        <is>
          <t>梅见</t>
        </is>
      </c>
      <c r="E471" t="inlineStr">
        <is>
          <t>桂花款真不错 一定要加冰</t>
        </is>
      </c>
      <c r="F471" t="inlineStr">
        <is>
          <t>给梅见道歉-会回购｜2025-07-03｜小红书</t>
        </is>
      </c>
      <c r="G471" t="inlineStr">
        <is>
          <t>小红书</t>
        </is>
      </c>
      <c r="H471" s="2" t="str">
        <f>=HYPERLINK("https://www.xiaohongshu.com/search_result/梅见回购", "https://www.xiaohongshu.com/search_result/梅见回购")</f>
        <v>https://www.xiaohongshu.com/search_result/梅见回购</v>
      </c>
      <c r="I471" s="3">
        <v>46171</v>
      </c>
      <c r="J471" s="4">
        <v>46243</v>
      </c>
      <c r="K471" t="inlineStr">
        <is>
          <t>梅见回购</t>
        </is>
      </c>
      <c r="L471">
        <v>0</v>
      </c>
      <c r="M471" t="inlineStr">
        <is>
          <t>XHS-U0333</t>
        </is>
      </c>
      <c r="N471" t="inlineStr">
        <is>
          <t>公开评论</t>
        </is>
      </c>
      <c r="O471"/>
      <c r="P471" t="inlineStr">
        <is>
          <t>原始:05-29;年份推定·山东；当前为搜索结果页链接，正式入库前需补原笔记链接</t>
        </is>
      </c>
      <c r="Q471" t="inlineStr">
        <is>
          <t>目标品牌</t>
        </is>
      </c>
      <c r="R471"/>
      <c r="S471" t="inlineStr">
        <is>
          <t>XHS-SOC-0245_ANALYSIS_BASELINE_formal-attempt-0001_AI</t>
        </is>
      </c>
      <c r="T471" t="inlineStr">
        <is>
          <t>场景需求</t>
        </is>
      </c>
      <c r="U471" t="inlineStr">
        <is>
          <t>KEEP</t>
        </is>
      </c>
      <c r="V471" t="inlineStr">
        <is>
          <t>ANALYSIS_BASELINE</t>
        </is>
      </c>
      <c r="W471" t="inlineStr">
        <is>
          <t>可用</t>
        </is>
      </c>
      <c r="X471" t="inlineStr">
        <is>
          <t>品牌语料分析与洞察体系.xlsx#表1：原始语料库!471</t>
        </is>
      </c>
      <c r="Y471" t="inlineStr">
        <is>
          <t>FROZEN_419_V2</t>
        </is>
      </c>
    </row>
    <row r="472" ht="25.5" customHeight="1">
      <c r="A472" t="inlineStr">
        <is>
          <t>XHS-SOC-0246</t>
        </is>
      </c>
      <c r="B472" t="inlineStr">
        <is>
          <t>饮法调配与内容共创</t>
        </is>
      </c>
      <c r="C472" t="inlineStr">
        <is>
          <t>PRJ001</t>
        </is>
      </c>
      <c r="D472" t="inlineStr">
        <is>
          <t>梅见</t>
        </is>
      </c>
      <c r="E472" t="inlineStr">
        <is>
          <t>一点都好喝 浓缩液兑</t>
        </is>
      </c>
      <c r="F472" t="inlineStr">
        <is>
          <t>给梅见道歉-会回购｜2025-07-03｜小红书</t>
        </is>
      </c>
      <c r="G472" t="inlineStr">
        <is>
          <t>小红书</t>
        </is>
      </c>
      <c r="H472" s="2" t="str">
        <f>=HYPERLINK("https://www.xiaohongshu.com/search_result/梅见回购", "https://www.xiaohongshu.com/search_result/梅见回购")</f>
        <v>https://www.xiaohongshu.com/search_result/梅见回购</v>
      </c>
      <c r="I472" s="3">
        <v>46122</v>
      </c>
      <c r="J472" s="4">
        <v>46243</v>
      </c>
      <c r="K472" t="inlineStr">
        <is>
          <t>梅见回购</t>
        </is>
      </c>
      <c r="L472">
        <v>0</v>
      </c>
      <c r="M472" t="inlineStr">
        <is>
          <t>XHS-U0337</t>
        </is>
      </c>
      <c r="N472" t="inlineStr">
        <is>
          <t>公开评论</t>
        </is>
      </c>
      <c r="O472"/>
      <c r="P472" t="inlineStr">
        <is>
          <t>原始:04-10;年份推定·广东；当前为搜索结果页链接，正式入库前需补原笔记链接</t>
        </is>
      </c>
      <c r="Q472" t="inlineStr">
        <is>
          <t>目标品牌</t>
        </is>
      </c>
      <c r="R472"/>
      <c r="S472" t="inlineStr">
        <is>
          <t>XHS-SOC-0246_ANALYSIS_BASELINE_formal-attempt-0001_AI</t>
        </is>
      </c>
      <c r="T472" t="inlineStr">
        <is>
          <t>场景需求</t>
        </is>
      </c>
      <c r="U472" t="inlineStr">
        <is>
          <t>KEEP</t>
        </is>
      </c>
      <c r="V472" t="inlineStr">
        <is>
          <t>ANALYSIS_BASELINE</t>
        </is>
      </c>
      <c r="W472" t="inlineStr">
        <is>
          <t>可用</t>
        </is>
      </c>
      <c r="X472" t="inlineStr">
        <is>
          <t>品牌语料分析与洞察体系.xlsx#表1：原始语料库!472</t>
        </is>
      </c>
      <c r="Y472" t="inlineStr">
        <is>
          <t>FROZEN_419_V2</t>
        </is>
      </c>
    </row>
    <row r="473" ht="25.5" customHeight="1">
      <c r="A473" t="inlineStr">
        <is>
          <t>XHS-SOC-0247</t>
        </is>
      </c>
      <c r="B473" t="inlineStr">
        <is>
          <t>饮法调配与内容共创</t>
        </is>
      </c>
      <c r="C473" t="inlineStr">
        <is>
          <t>PRJ001</t>
        </is>
      </c>
      <c r="D473" t="inlineStr">
        <is>
          <t>梅见</t>
        </is>
      </c>
      <c r="E473" t="inlineStr">
        <is>
          <t>梅见和养乐多兑有点不对劲，有点乳清分离</t>
        </is>
      </c>
      <c r="F473" t="inlineStr">
        <is>
          <t>梅见青梅酒调酒搭配｜2025-08-27｜小红书</t>
        </is>
      </c>
      <c r="G473" t="inlineStr">
        <is>
          <t>小红书</t>
        </is>
      </c>
      <c r="H473" s="2" t="str">
        <f>=HYPERLINK("https://www.xiaohongshu.com/search_result/梅见配什么", "https://www.xiaohongshu.com/search_result/梅见配什么")</f>
        <v>https://www.xiaohongshu.com/search_result/梅见配什么</v>
      </c>
      <c r="I473" s="3">
        <v>46172</v>
      </c>
      <c r="J473" s="4">
        <v>46243</v>
      </c>
      <c r="K473" t="inlineStr">
        <is>
          <t>梅见配什么</t>
        </is>
      </c>
      <c r="L473">
        <v>0</v>
      </c>
      <c r="M473" t="inlineStr">
        <is>
          <t>XHS-U0342</t>
        </is>
      </c>
      <c r="N473" t="inlineStr">
        <is>
          <t>公开评论</t>
        </is>
      </c>
      <c r="O473"/>
      <c r="P473" t="inlineStr">
        <is>
          <t>原始:05-30;年份推定·内蒙古；当前为搜索结果页链接，正式入库前需补原笔记链接</t>
        </is>
      </c>
      <c r="Q473" t="inlineStr">
        <is>
          <t>目标品牌</t>
        </is>
      </c>
      <c r="R473"/>
      <c r="S473" t="inlineStr">
        <is>
          <t>XHS-SOC-0247_ANALYSIS_DEMO_DELTA_formal-attempt-0001_AI</t>
        </is>
      </c>
      <c r="T473" t="inlineStr">
        <is>
          <t>场景需求</t>
        </is>
      </c>
      <c r="U473" t="inlineStr">
        <is>
          <t>KEEP</t>
        </is>
      </c>
      <c r="V473" t="inlineStr">
        <is>
          <t>CURATED_DEMO_DELTA</t>
        </is>
      </c>
      <c r="W473" t="inlineStr">
        <is>
          <t>可用</t>
        </is>
      </c>
      <c r="X473" t="inlineStr">
        <is>
          <t>品牌语料分析与洞察体系.xlsx#表1：原始语料库!473</t>
        </is>
      </c>
      <c r="Y473" t="inlineStr">
        <is>
          <t>FROZEN_419_V2</t>
        </is>
      </c>
    </row>
    <row r="474" ht="25.5" customHeight="1">
      <c r="A474" t="inlineStr">
        <is>
          <t>JD-20260809-005</t>
        </is>
      </c>
      <c r="B474" t="inlineStr">
        <is>
          <t>饮法调配与内容共创</t>
        </is>
      </c>
      <c r="C474" t="inlineStr">
        <is>
          <t>PRJ001</t>
        </is>
      </c>
      <c r="D474" t="inlineStr">
        <is>
          <t>CHOYA俏雅｜带梅子本格梅酒430mL</t>
        </is>
      </c>
      <c r="E474" t="inlineStr">
        <is>
          <t>以前吃日料总是习惯配清酒，
自打吃了一次居酒屋搭配了这款梅酒
感觉是解锁了新技能
冰球配梅酒，随着冰的溶解，梅酒的风味
也想茶一样会有渐变 值得推荐</t>
        </is>
      </c>
      <c r="F474" t="inlineStr">
        <is>
          <t>品牌：CHOYA俏雅｜商品/规格：带梅子本格梅酒430mL｜SKU：100049386783</t>
        </is>
      </c>
      <c r="G474" t="inlineStr">
        <is>
          <t>京东</t>
        </is>
      </c>
      <c r="H474" s="2" t="str">
        <f>=HYPERLINK("https://item.jd.com/100049386783.html", "https://item.jd.com/100049386783.html")</f>
        <v>https://item.jd.com/100049386783.html</v>
      </c>
      <c r="I474" s="3">
        <v>45924</v>
      </c>
      <c r="J474" s="4">
        <v>46243</v>
      </c>
      <c r="K474" t="inlineStr">
        <is>
          <t>CHOYA 俏雅 梅酒 商品评价</t>
        </is>
      </c>
      <c r="L474"/>
      <c r="M474" t="inlineStr">
        <is>
          <t>JD-U-20260809-005</t>
        </is>
      </c>
      <c r="N474" t="inlineStr">
        <is>
          <t>公开评论</t>
        </is>
      </c>
      <c r="O474"/>
      <c r="P474" t="inlineStr">
        <is>
          <t>情绪粗标：正面；主题粗标：加冰；搭餐；风味变化；京东商品评价弹层核验；未记录用户名；评价页未展示评论点赞/有用数，点赞数留空</t>
        </is>
      </c>
      <c r="Q474" t="inlineStr">
        <is>
          <t>竞品</t>
        </is>
      </c>
      <c r="R474"/>
      <c r="S474" t="inlineStr">
        <is>
          <t>JD-20260809-005_ANALYSIS_DEMO_DELTA_formal-attempt-0001_AI</t>
        </is>
      </c>
      <c r="T474" t="inlineStr">
        <is>
          <t>场景需求</t>
        </is>
      </c>
      <c r="U474" t="inlineStr">
        <is>
          <t>KEEP</t>
        </is>
      </c>
      <c r="V474" t="inlineStr">
        <is>
          <t>CURATED_DEMO_DELTA</t>
        </is>
      </c>
      <c r="W474" t="inlineStr">
        <is>
          <t>可用</t>
        </is>
      </c>
      <c r="X474" t="inlineStr">
        <is>
          <t>品牌语料分析与洞察体系.xlsx#表1：原始语料库!474</t>
        </is>
      </c>
      <c r="Y474" t="inlineStr">
        <is>
          <t>FROZEN_419_V2</t>
        </is>
      </c>
    </row>
    <row r="475" ht="25.5" customHeight="1">
      <c r="A475" t="inlineStr">
        <is>
          <t>JD-20260809-008</t>
        </is>
      </c>
      <c r="B475" t="inlineStr">
        <is>
          <t>饮法调配与内容共创</t>
        </is>
      </c>
      <c r="C475" t="inlineStr">
        <is>
          <t>PRJ001</t>
        </is>
      </c>
      <c r="D475" t="inlineStr">
        <is>
          <t>CHOYA俏雅｜带梅子本格梅酒160ml*5</t>
        </is>
      </c>
      <c r="E475" t="inlineStr">
        <is>
          <t>冰过后太好喝了，好👍🏻</t>
        </is>
      </c>
      <c r="F475" t="inlineStr">
        <is>
          <t>品牌：CHOYA俏雅｜商品/规格：带梅子本格梅酒160ml*5｜SKU：100049386783</t>
        </is>
      </c>
      <c r="G475" t="inlineStr">
        <is>
          <t>京东</t>
        </is>
      </c>
      <c r="H475" s="2" t="str">
        <f>=HYPERLINK("https://item.jd.com/100049386783.html", "https://item.jd.com/100049386783.html")</f>
        <v>https://item.jd.com/100049386783.html</v>
      </c>
      <c r="I475" s="3">
        <v>46155</v>
      </c>
      <c r="J475" s="4">
        <v>46243</v>
      </c>
      <c r="K475" t="inlineStr">
        <is>
          <t>CHOYA 俏雅 梅酒 商品评价</t>
        </is>
      </c>
      <c r="L475"/>
      <c r="M475" t="inlineStr">
        <is>
          <t>JD-U-20260809-008</t>
        </is>
      </c>
      <c r="N475" t="inlineStr">
        <is>
          <t>公开评论</t>
        </is>
      </c>
      <c r="O475"/>
      <c r="P475" t="inlineStr">
        <is>
          <t>情绪粗标：正面；主题粗标：冰镇；京东商品评价弹层核验；未记录用户名；评价页未展示评论点赞/有用数，点赞数留空</t>
        </is>
      </c>
      <c r="Q475" t="inlineStr">
        <is>
          <t>竞品</t>
        </is>
      </c>
      <c r="R475"/>
      <c r="S475" t="inlineStr">
        <is>
          <t>JD-20260809-008_HOLDOUT_formal-attempt-0001_AI</t>
        </is>
      </c>
      <c r="T475" t="inlineStr">
        <is>
          <t>场景需求</t>
        </is>
      </c>
      <c r="U475" t="inlineStr">
        <is>
          <t>KEEP</t>
        </is>
      </c>
      <c r="V475" t="inlineStr">
        <is>
          <t>HOLDOUT</t>
        </is>
      </c>
      <c r="W475" t="inlineStr">
        <is>
          <t>可用</t>
        </is>
      </c>
      <c r="X475" t="inlineStr">
        <is>
          <t>品牌语料分析与洞察体系.xlsx#表1：原始语料库!475</t>
        </is>
      </c>
      <c r="Y475" t="inlineStr">
        <is>
          <t>FROZEN_419_V2</t>
        </is>
      </c>
    </row>
    <row r="476" ht="25.5" customHeight="1">
      <c r="A476" t="inlineStr">
        <is>
          <t>JD-20260809-011</t>
        </is>
      </c>
      <c r="B476" t="inlineStr">
        <is>
          <t>饮法调配与内容共创</t>
        </is>
      </c>
      <c r="C476" t="inlineStr">
        <is>
          <t>PRJ001</t>
        </is>
      </c>
      <c r="D476" t="inlineStr">
        <is>
          <t>CHOYA俏雅｜黑金本格梅酒14度60mL</t>
        </is>
      </c>
      <c r="E476" t="inlineStr">
        <is>
          <t>非常好喝，加冰的效果更好喝，加苏打水调制个饮料也好喝，小瓶的量足够了，用完的小瓶还可以做装饰，挺好，配料表干净，京东物流快速送达。</t>
        </is>
      </c>
      <c r="F476" t="inlineStr">
        <is>
          <t>品牌：CHOYA俏雅｜商品/规格：黑金本格梅酒14度60mL｜SKU：100049386775</t>
        </is>
      </c>
      <c r="G476" t="inlineStr">
        <is>
          <t>京东</t>
        </is>
      </c>
      <c r="H476" s="2" t="str">
        <f>=HYPERLINK("https://item.jd.com/100049386775.html", "https://item.jd.com/100049386775.html")</f>
        <v>https://item.jd.com/100049386775.html</v>
      </c>
      <c r="I476" s="3">
        <v>45948</v>
      </c>
      <c r="J476" s="4">
        <v>46243</v>
      </c>
      <c r="K476" t="inlineStr">
        <is>
          <t>CHOYA 俏雅 梅酒 商品评价</t>
        </is>
      </c>
      <c r="L476"/>
      <c r="M476" t="inlineStr">
        <is>
          <t>JD-U-20260809-011</t>
        </is>
      </c>
      <c r="N476" t="inlineStr">
        <is>
          <t>公开评论</t>
        </is>
      </c>
      <c r="O476"/>
      <c r="P476" t="inlineStr">
        <is>
          <t>情绪粗标：正面；主题粗标：加冰；苏打水调配；包装再利用；配料；京东商品评价弹层核验；未记录用户名；评价页未展示评论点赞/有用数，点赞数留空</t>
        </is>
      </c>
      <c r="Q476" t="inlineStr">
        <is>
          <t>竞品</t>
        </is>
      </c>
      <c r="R476"/>
      <c r="S476" t="inlineStr">
        <is>
          <t>JD-20260809-011_ANALYSIS_BASELINE_formal-attempt-0001_AI</t>
        </is>
      </c>
      <c r="T476" t="inlineStr">
        <is>
          <t>场景需求</t>
        </is>
      </c>
      <c r="U476" t="inlineStr">
        <is>
          <t>KEEP</t>
        </is>
      </c>
      <c r="V476" t="inlineStr">
        <is>
          <t>ANALYSIS_BASELINE</t>
        </is>
      </c>
      <c r="W476" t="inlineStr">
        <is>
          <t>可用</t>
        </is>
      </c>
      <c r="X476" t="inlineStr">
        <is>
          <t>品牌语料分析与洞察体系.xlsx#表1：原始语料库!476</t>
        </is>
      </c>
      <c r="Y476" t="inlineStr">
        <is>
          <t>FROZEN_419_V2</t>
        </is>
      </c>
    </row>
    <row r="477" ht="25.5" customHeight="1">
      <c r="A477" t="inlineStr">
        <is>
          <t>JD-20260809-016</t>
        </is>
      </c>
      <c r="B477" t="inlineStr">
        <is>
          <t>饮法调配与内容共创</t>
        </is>
      </c>
      <c r="C477" t="inlineStr">
        <is>
          <t>PRJ001</t>
        </is>
      </c>
      <c r="D477" t="inlineStr">
        <is>
          <t>CHOYA俏雅｜纪州本格梅酒14度1000ml纸盒装</t>
        </is>
      </c>
      <c r="E477" t="inlineStr">
        <is>
          <t>自从去了日本玩就爱上了梅子酒。甜甜的梅子味道加上浓郁的酒味道真的是太好喝了。最近买的这款稍微带点甜味，很好喝。梅子酒味道会比较甜所以需要配冰块或者对水喝。</t>
        </is>
      </c>
      <c r="F477" t="inlineStr">
        <is>
          <t>品牌：CHOYA俏雅｜商品/规格：纪州本格梅酒14度1000ml纸盒装｜SKU：100015875649</t>
        </is>
      </c>
      <c r="G477" t="inlineStr">
        <is>
          <t>京东</t>
        </is>
      </c>
      <c r="H477" s="2" t="str">
        <f>=HYPERLINK("https://item.jd.com/100015875649.html", "https://item.jd.com/100015875649.html")</f>
        <v>https://item.jd.com/100015875649.html</v>
      </c>
      <c r="I477" s="3">
        <v>46067</v>
      </c>
      <c r="J477" s="4">
        <v>46243</v>
      </c>
      <c r="K477" t="inlineStr">
        <is>
          <t>CHOYA 俏雅 梅酒 商品评价</t>
        </is>
      </c>
      <c r="L477"/>
      <c r="M477" t="inlineStr">
        <is>
          <t>JD-U-20260809-016</t>
        </is>
      </c>
      <c r="N477" t="inlineStr">
        <is>
          <t>公开评论</t>
        </is>
      </c>
      <c r="O477"/>
      <c r="P477" t="inlineStr">
        <is>
          <t>情绪粗标：中性；主题粗标：甜度；酒精感；加冰；兑水；京东商品评价弹层核验；未记录用户名；评价页未展示评论点赞/有用数，点赞数留空</t>
        </is>
      </c>
      <c r="Q477" t="inlineStr">
        <is>
          <t>竞品</t>
        </is>
      </c>
      <c r="R477"/>
      <c r="S477" t="inlineStr">
        <is>
          <t>JD-20260809-016_ANALYSIS_BASELINE_formal-attempt-0001_AI</t>
        </is>
      </c>
      <c r="T477" t="inlineStr">
        <is>
          <t>场景需求</t>
        </is>
      </c>
      <c r="U477" t="inlineStr">
        <is>
          <t>KEEP</t>
        </is>
      </c>
      <c r="V477" t="inlineStr">
        <is>
          <t>ANALYSIS_BASELINE</t>
        </is>
      </c>
      <c r="W477" t="inlineStr">
        <is>
          <t>可用</t>
        </is>
      </c>
      <c r="X477" t="inlineStr">
        <is>
          <t>品牌语料分析与洞察体系.xlsx#表1：原始语料库!477</t>
        </is>
      </c>
      <c r="Y477" t="inlineStr">
        <is>
          <t>FROZEN_419_V2</t>
        </is>
      </c>
    </row>
    <row r="478" ht="25.5" customHeight="1">
      <c r="A478" t="inlineStr">
        <is>
          <t>JD-20260809-037</t>
        </is>
      </c>
      <c r="B478" t="inlineStr">
        <is>
          <t>饮法调配与内容共创</t>
        </is>
      </c>
      <c r="C478" t="inlineStr">
        <is>
          <t>PRJ001</t>
        </is>
      </c>
      <c r="D478" t="inlineStr">
        <is>
          <t>昆竹牌｜青梅酒450ml*6瓶</t>
        </is>
      </c>
      <c r="E478" t="inlineStr">
        <is>
          <t>这是非常熟悉的果酒了，物美价廉值得购买，以前从厂家买，现在走京东物流就更快了。梅子香味很美好，当然业务之人无从分辨是泡出来的还是调出来的，稍微有点甜，所以可以配一点白兰地</t>
        </is>
      </c>
      <c r="F478" t="inlineStr">
        <is>
          <t>品牌：昆竹牌｜商品/规格：青梅酒450ml*6瓶｜SKU：100348071270</t>
        </is>
      </c>
      <c r="G478" t="inlineStr">
        <is>
          <t>京东</t>
        </is>
      </c>
      <c r="H478" s="2" t="str">
        <f>=HYPERLINK("https://item.jd.com/100348071270.html", "https://item.jd.com/100348071270.html")</f>
        <v>https://item.jd.com/100348071270.html</v>
      </c>
      <c r="I478" s="3">
        <v>46160</v>
      </c>
      <c r="J478" s="4">
        <v>46243</v>
      </c>
      <c r="K478" t="inlineStr">
        <is>
          <t>昆竹 青梅酒 商品评价</t>
        </is>
      </c>
      <c r="L478"/>
      <c r="M478" t="inlineStr">
        <is>
          <t>JD-U-20260809-037</t>
        </is>
      </c>
      <c r="N478" t="inlineStr">
        <is>
          <t>公开评论</t>
        </is>
      </c>
      <c r="O478"/>
      <c r="P478" t="inlineStr">
        <is>
          <t>情绪粗标：中性；主题粗标：性价比；购买渠道；香气；甜度；兑白兰地；京东商品评价弹层核验；已排除商家回复与用户名；评价页未展示评论点赞/有用数，点赞数留空</t>
        </is>
      </c>
      <c r="Q478" t="inlineStr">
        <is>
          <t>竞品</t>
        </is>
      </c>
      <c r="R478"/>
      <c r="S478" t="inlineStr">
        <is>
          <t>JD-20260809-037_ANALYSIS_BASELINE_formal-attempt-0001_AI</t>
        </is>
      </c>
      <c r="T478" t="inlineStr">
        <is>
          <t>场景需求</t>
        </is>
      </c>
      <c r="U478" t="inlineStr">
        <is>
          <t>KEEP</t>
        </is>
      </c>
      <c r="V478" t="inlineStr">
        <is>
          <t>ANALYSIS_BASELINE</t>
        </is>
      </c>
      <c r="W478" t="inlineStr">
        <is>
          <t>可用</t>
        </is>
      </c>
      <c r="X478" t="inlineStr">
        <is>
          <t>品牌语料分析与洞察体系.xlsx#表1：原始语料库!478</t>
        </is>
      </c>
      <c r="Y478" t="inlineStr">
        <is>
          <t>FROZEN_419_V2</t>
        </is>
      </c>
    </row>
    <row r="479" ht="25.5" customHeight="1">
      <c r="A479" t="inlineStr">
        <is>
          <t>TB-20260809-002</t>
        </is>
      </c>
      <c r="B479" t="inlineStr">
        <is>
          <t>饮法调配与内容共创</t>
        </is>
      </c>
      <c r="C479" t="inlineStr">
        <is>
          <t>PRJ001</t>
        </is>
      </c>
      <c r="D479" t="inlineStr">
        <is>
          <t>CHOYA俏雅｜带梅子梅酒430ml+赠梅酒杯</t>
        </is>
      </c>
      <c r="E479" t="inlineStr">
        <is>
          <t>梅酒一直都喝这个牌子的 很喜欢这个装酒的瓶子 之前喝完的一直拿来当水杯用了好多年了 这次买个小瓶装的 酒的话建议冰镇一下口感更佳</t>
        </is>
      </c>
      <c r="F479" t="inlineStr">
        <is>
          <t>品牌：CHOYA俏雅｜商品/规格：带梅子梅酒430ml+赠梅酒杯｜SKU：873823229086</t>
        </is>
      </c>
      <c r="G479" t="inlineStr">
        <is>
          <t>淘宝</t>
        </is>
      </c>
      <c r="H479" s="2" t="str">
        <f>=HYPERLINK("https://detail.tmall.com/item.htm?id=873823229086", "https://detail.tmall.com/item.htm?id=873823229086")</f>
        <v>https://detail.tmall.com/item.htm?id=873823229086</v>
      </c>
      <c r="I479" s="3">
        <v>46225</v>
      </c>
      <c r="J479" s="4">
        <v>46243</v>
      </c>
      <c r="K479" t="inlineStr">
        <is>
          <t>CHOYA 俏雅 梅酒 商品评价</t>
        </is>
      </c>
      <c r="L479"/>
      <c r="M479" t="inlineStr">
        <is>
          <t>TB-U-20260809-002</t>
        </is>
      </c>
      <c r="N479" t="inlineStr">
        <is>
          <t>公开评论</t>
        </is>
      </c>
      <c r="O479"/>
      <c r="P479" t="inlineStr">
        <is>
          <t>情绪粗标：正面；主题粗标：品牌偏好；瓶子再利用；规格；冰镇；天猫CHOYA旗舰店商品评价；未记录用户名；评价页未展示评论点赞/有用数，点赞数留空</t>
        </is>
      </c>
      <c r="Q479" t="inlineStr">
        <is>
          <t>竞品</t>
        </is>
      </c>
      <c r="R479"/>
      <c r="S479" t="inlineStr">
        <is>
          <t>TB-20260809-002_HOLDOUT_formal-attempt-0001_AI</t>
        </is>
      </c>
      <c r="T479" t="inlineStr">
        <is>
          <t>场景需求</t>
        </is>
      </c>
      <c r="U479" t="inlineStr">
        <is>
          <t>KEEP</t>
        </is>
      </c>
      <c r="V479" t="inlineStr">
        <is>
          <t>HOLDOUT</t>
        </is>
      </c>
      <c r="W479" t="inlineStr">
        <is>
          <t>可用</t>
        </is>
      </c>
      <c r="X479" t="inlineStr">
        <is>
          <t>品牌语料分析与洞察体系.xlsx#表1：原始语料库!479</t>
        </is>
      </c>
      <c r="Y479" t="inlineStr">
        <is>
          <t>FROZEN_419_V2</t>
        </is>
      </c>
    </row>
    <row r="480" ht="25.5" customHeight="1">
      <c r="A480" t="inlineStr">
        <is>
          <t>TB-20260809-004</t>
        </is>
      </c>
      <c r="B480" t="inlineStr">
        <is>
          <t>饮法调配与内容共创</t>
        </is>
      </c>
      <c r="C480" t="inlineStr">
        <is>
          <t>PRJ001</t>
        </is>
      </c>
      <c r="D480" t="inlineStr">
        <is>
          <t>CHOYA俏雅｜带梅子梅酒430ml+赠梅酒杯</t>
        </is>
      </c>
      <c r="E480" t="inlineStr">
        <is>
          <t>整体评价：挺好 包装品质：还可以 外观品相：非常好 口感味道：我个人比较喜欢 我就放了一点点，和其他的兑在一起喝</t>
        </is>
      </c>
      <c r="F480" t="inlineStr">
        <is>
          <t>品牌：CHOYA俏雅｜商品/规格：带梅子梅酒430ml+赠梅酒杯｜SKU：873823229086</t>
        </is>
      </c>
      <c r="G480" t="inlineStr">
        <is>
          <t>淘宝</t>
        </is>
      </c>
      <c r="H480" s="2" t="str">
        <f>=HYPERLINK("https://detail.tmall.com/item.htm?id=873823229086", "https://detail.tmall.com/item.htm?id=873823229086")</f>
        <v>https://detail.tmall.com/item.htm?id=873823229086</v>
      </c>
      <c r="I480" s="3">
        <v>46225</v>
      </c>
      <c r="J480" s="4">
        <v>46243</v>
      </c>
      <c r="K480" t="inlineStr">
        <is>
          <t>CHOYA 俏雅 梅酒 商品评价</t>
        </is>
      </c>
      <c r="L480"/>
      <c r="M480" t="inlineStr">
        <is>
          <t>TB-U-20260809-004</t>
        </is>
      </c>
      <c r="N480" t="inlineStr">
        <is>
          <t>公开评论</t>
        </is>
      </c>
      <c r="O480"/>
      <c r="P480" t="inlineStr">
        <is>
          <t>情绪粗标：正面；主题粗标：包装；外观；口感；混饮调配；天猫CHOYA旗舰店商品评价；未记录用户名；评价页未展示评论点赞/有用数，点赞数留空</t>
        </is>
      </c>
      <c r="Q480" t="inlineStr">
        <is>
          <t>竞品</t>
        </is>
      </c>
      <c r="R480"/>
      <c r="S480" t="inlineStr">
        <is>
          <t>TB-20260809-004_ANALYSIS_BASELINE_formal-attempt-0001_AI</t>
        </is>
      </c>
      <c r="T480" t="inlineStr">
        <is>
          <t>场景需求</t>
        </is>
      </c>
      <c r="U480" t="inlineStr">
        <is>
          <t>KEEP</t>
        </is>
      </c>
      <c r="V480" t="inlineStr">
        <is>
          <t>ANALYSIS_BASELINE</t>
        </is>
      </c>
      <c r="W480" t="inlineStr">
        <is>
          <t>可用</t>
        </is>
      </c>
      <c r="X480" t="inlineStr">
        <is>
          <t>品牌语料分析与洞察体系.xlsx#表1：原始语料库!480</t>
        </is>
      </c>
      <c r="Y480" t="inlineStr">
        <is>
          <t>FROZEN_419_V2</t>
        </is>
      </c>
    </row>
    <row r="481" ht="25.5" customHeight="1">
      <c r="A481" t="inlineStr">
        <is>
          <t>TB-20260809-008</t>
        </is>
      </c>
      <c r="B481" t="inlineStr">
        <is>
          <t>饮法调配与内容共创</t>
        </is>
      </c>
      <c r="C481" t="inlineStr">
        <is>
          <t>PRJ001</t>
        </is>
      </c>
      <c r="D481" t="inlineStr">
        <is>
          <t>CHOYA俏雅｜带梅子本格梅酒750ml*2+赠梅酒杯</t>
        </is>
      </c>
      <c r="E481" t="inlineStr">
        <is>
          <t>酒精感不浓，酸甜偏甜，一定要加冰🧊，买过好多次了，挺好喝的</t>
        </is>
      </c>
      <c r="F481" t="inlineStr">
        <is>
          <t>品牌：CHOYA俏雅｜商品/规格：带梅子本格梅酒750ml*2+赠梅酒杯｜SKU：873823229086</t>
        </is>
      </c>
      <c r="G481" t="inlineStr">
        <is>
          <t>淘宝</t>
        </is>
      </c>
      <c r="H481" s="2" t="str">
        <f>=HYPERLINK("https://detail.tmall.com/item.htm?id=873823229086", "https://detail.tmall.com/item.htm?id=873823229086")</f>
        <v>https://detail.tmall.com/item.htm?id=873823229086</v>
      </c>
      <c r="I481" s="3">
        <v>46194</v>
      </c>
      <c r="J481" s="4">
        <v>46243</v>
      </c>
      <c r="K481" t="inlineStr">
        <is>
          <t>CHOYA 俏雅 梅酒 商品评价</t>
        </is>
      </c>
      <c r="L481"/>
      <c r="M481" t="inlineStr">
        <is>
          <t>TB-U-20260809-008</t>
        </is>
      </c>
      <c r="N481" t="inlineStr">
        <is>
          <t>公开评论</t>
        </is>
      </c>
      <c r="O481"/>
      <c r="P481" t="inlineStr">
        <is>
          <t>情绪粗标：中性；主题粗标：酒精感；酸甜偏甜；加冰；多次回购；天猫CHOYA旗舰店商品评价；未记录用户名；评价页未展示评论点赞/有用数，点赞数留空</t>
        </is>
      </c>
      <c r="Q481" t="inlineStr">
        <is>
          <t>竞品</t>
        </is>
      </c>
      <c r="R481"/>
      <c r="S481" t="inlineStr">
        <is>
          <t>TB-20260809-008_CHALLENGE_POOL_formal-attempt-0001_AI</t>
        </is>
      </c>
      <c r="T481" t="inlineStr">
        <is>
          <t>场景需求</t>
        </is>
      </c>
      <c r="U481" t="inlineStr">
        <is>
          <t>KEEP</t>
        </is>
      </c>
      <c r="V481" t="inlineStr">
        <is>
          <t>CHALLENGE</t>
        </is>
      </c>
      <c r="W481" t="inlineStr">
        <is>
          <t>可用</t>
        </is>
      </c>
      <c r="X481" t="inlineStr">
        <is>
          <t>品牌语料分析与洞察体系.xlsx#表1：原始语料库!481</t>
        </is>
      </c>
      <c r="Y481" t="inlineStr">
        <is>
          <t>FROZEN_419_V2</t>
        </is>
      </c>
    </row>
    <row r="482" ht="25.5" customHeight="1">
      <c r="A482" t="inlineStr">
        <is>
          <t>TB-20260809-010</t>
        </is>
      </c>
      <c r="B482" t="inlineStr">
        <is>
          <t>饮法调配与内容共创</t>
        </is>
      </c>
      <c r="C482" t="inlineStr">
        <is>
          <t>PRJ001</t>
        </is>
      </c>
      <c r="D482" t="inlineStr">
        <is>
          <t>CHOYA俏雅｜带梅子本格梅酒750ml+赠至极梅酒</t>
        </is>
      </c>
      <c r="E482" t="inlineStr">
        <is>
          <t>瓶身很好看 梅子味道非常清甜 调配着喝也很好！</t>
        </is>
      </c>
      <c r="F482" t="inlineStr">
        <is>
          <t>品牌：CHOYA俏雅｜商品/规格：带梅子本格梅酒750ml+赠至极梅酒｜SKU：873823229086</t>
        </is>
      </c>
      <c r="G482" t="inlineStr">
        <is>
          <t>淘宝</t>
        </is>
      </c>
      <c r="H482" s="2" t="str">
        <f>=HYPERLINK("https://detail.tmall.com/item.htm?id=873823229086", "https://detail.tmall.com/item.htm?id=873823229086")</f>
        <v>https://detail.tmall.com/item.htm?id=873823229086</v>
      </c>
      <c r="I482" s="3">
        <v>46193</v>
      </c>
      <c r="J482" s="4">
        <v>46243</v>
      </c>
      <c r="K482" t="inlineStr">
        <is>
          <t>CHOYA 俏雅 梅酒 商品评价</t>
        </is>
      </c>
      <c r="L482"/>
      <c r="M482" t="inlineStr">
        <is>
          <t>TB-U-20260809-010</t>
        </is>
      </c>
      <c r="N482" t="inlineStr">
        <is>
          <t>公开评论</t>
        </is>
      </c>
      <c r="O482"/>
      <c r="P482" t="inlineStr">
        <is>
          <t>情绪粗标：正面；主题粗标：瓶身设计；甜度；调配；天猫CHOYA旗舰店商品评价；未记录用户名；评价页未展示评论点赞/有用数，点赞数留空</t>
        </is>
      </c>
      <c r="Q482" t="inlineStr">
        <is>
          <t>竞品</t>
        </is>
      </c>
      <c r="R482"/>
      <c r="S482" t="inlineStr">
        <is>
          <t>TB-20260809-010_ANALYSIS_BASELINE_formal-attempt-0001_AI</t>
        </is>
      </c>
      <c r="T482" t="inlineStr">
        <is>
          <t>场景需求</t>
        </is>
      </c>
      <c r="U482" t="inlineStr">
        <is>
          <t>KEEP</t>
        </is>
      </c>
      <c r="V482" t="inlineStr">
        <is>
          <t>ANALYSIS_BASELINE</t>
        </is>
      </c>
      <c r="W482" t="inlineStr">
        <is>
          <t>可用</t>
        </is>
      </c>
      <c r="X482" t="inlineStr">
        <is>
          <t>品牌语料分析与洞察体系.xlsx#表1：原始语料库!482</t>
        </is>
      </c>
      <c r="Y482" t="inlineStr">
        <is>
          <t>FROZEN_419_V2</t>
        </is>
      </c>
    </row>
    <row r="483" ht="25.5" customHeight="1">
      <c r="A483" t="inlineStr">
        <is>
          <t>TB-20260809-024</t>
        </is>
      </c>
      <c r="B483" t="inlineStr">
        <is>
          <t>饮法调配与内容共创</t>
        </is>
      </c>
      <c r="C483" t="inlineStr">
        <is>
          <t>PRJ001</t>
        </is>
      </c>
      <c r="D483" t="inlineStr">
        <is>
          <t>昆竹牌｜酒版组合100ml*4瓶</t>
        </is>
      </c>
      <c r="E483" t="inlineStr">
        <is>
          <t>挺好的，性价比很高，酸甜口味，很容易接受，被这干净的配料表圈粉了！只有青梅、白酒、糖和蜂蜜，没乱七八糟的添加。13度加冰块喝，酒味淡了，满嘴都是梅子酸甜，像喝冰镇果汁。广东30多年的老牌子，二十几块钱一瓶，性价比绝了，必须囤！</t>
        </is>
      </c>
      <c r="F483" t="inlineStr">
        <is>
          <t>品牌：昆竹牌｜商品/规格：酒版组合100ml*4瓶｜SKU：621878412430</t>
        </is>
      </c>
      <c r="G483" t="inlineStr">
        <is>
          <t>淘宝</t>
        </is>
      </c>
      <c r="H483" s="2" t="str">
        <f>=HYPERLINK("https://detail.tmall.com/item.htm?id=621878412430", "https://detail.tmall.com/item.htm?id=621878412430")</f>
        <v>https://detail.tmall.com/item.htm?id=621878412430</v>
      </c>
      <c r="I483" s="3">
        <v>46206</v>
      </c>
      <c r="J483" s="4">
        <v>46243</v>
      </c>
      <c r="K483" t="inlineStr">
        <is>
          <t>昆竹 青梅酒 商品评价</t>
        </is>
      </c>
      <c r="L483"/>
      <c r="M483" t="inlineStr">
        <is>
          <t>TB-U-20260809-024</t>
        </is>
      </c>
      <c r="N483" t="inlineStr">
        <is>
          <t>公开评论</t>
        </is>
      </c>
      <c r="O483"/>
      <c r="P483" t="inlineStr">
        <is>
          <t>情绪粗标：正面；主题粗标：性价比；酸甜度；配料；酒精感；加冰；品牌认知；昆竹牌旗舰店商品评价；未记录用户名；评价页未展示评论点赞/有用数，点赞数留空</t>
        </is>
      </c>
      <c r="Q483" t="inlineStr">
        <is>
          <t>竞品</t>
        </is>
      </c>
      <c r="R483"/>
      <c r="S483" t="inlineStr">
        <is>
          <t>TB-20260809-024_GOLD_人工标注_人工,TB-20260809-024_GOLD_attempt-0002_AI_矫正前,TB-20260809-024_GOLD_attempt-0006_AI_矫正后</t>
        </is>
      </c>
      <c r="T483" t="inlineStr">
        <is>
          <t>场景需求</t>
        </is>
      </c>
      <c r="U483" t="inlineStr">
        <is>
          <t>KEEP</t>
        </is>
      </c>
      <c r="V483" t="inlineStr">
        <is>
          <t>GOLD</t>
        </is>
      </c>
      <c r="W483" t="inlineStr">
        <is>
          <t>不可用</t>
        </is>
      </c>
      <c r="X483" t="inlineStr">
        <is>
          <t>原始母表#raw_id=TB-20260809-024</t>
        </is>
      </c>
      <c r="Y483" t="inlineStr">
        <is>
          <t>FROZEN_419_V2</t>
        </is>
      </c>
    </row>
    <row r="484" ht="25.5" customHeight="1">
      <c r="A484" t="inlineStr">
        <is>
          <t>JD-RAW-0102</t>
        </is>
      </c>
      <c r="B484" t="inlineStr">
        <is>
          <t>饮法调配与内容共创</t>
        </is>
      </c>
      <c r="C484" t="inlineStr">
        <is>
          <t>PRJ001</t>
        </is>
      </c>
      <c r="D484" t="inlineStr">
        <is>
          <t>梅见</t>
        </is>
      </c>
      <c r="E484" t="inlineStr">
        <is>
          <t>口感不错，加冰更好，夏天来上一杯，比啤酒更爽</t>
        </is>
      </c>
      <c r="F484" t="inlineStr">
        <is>
          <t>商品：12度发酵330ml；SKU：681094845930</t>
        </is>
      </c>
      <c r="G484" t="inlineStr">
        <is>
          <t>淘宝</t>
        </is>
      </c>
      <c r="H484" s="2" t="str">
        <f>=HYPERLINK("https://detail.tmall.com/item.htm?id=681094845930", "https://detail.tmall.com/item.htm?id=681094845930")</f>
        <v>https://detail.tmall.com/item.htm?id=681094845930</v>
      </c>
      <c r="I484" s="3">
        <v>46211</v>
      </c>
      <c r="J484" s="4">
        <v>46243</v>
      </c>
      <c r="K484" t="inlineStr">
        <is>
          <t>梅见 青梅酒</t>
        </is>
      </c>
      <c r="L484"/>
      <c r="M484" t="inlineStr">
        <is>
          <t>MJ-TB-U-002</t>
        </is>
      </c>
      <c r="N484" t="inlineStr">
        <is>
          <t>公开评论</t>
        </is>
      </c>
      <c r="O484"/>
      <c r="P484" t="inlineStr">
        <is>
          <t>与TB-20260809-033原始内容完全重复；历史编号错误，实际平台为淘宝（PREFIX_MISMATCH）</t>
        </is>
      </c>
      <c r="Q484" t="inlineStr">
        <is>
          <t>目标品牌</t>
        </is>
      </c>
      <c r="R484"/>
      <c r="S484" t="inlineStr">
        <is>
          <t>JD-RAW-0102_GOLD_人工标注_人工,JD-RAW-0102_GOLD_attempt-0002_AI_矫正前,JD-RAW-0102_GOLD_attempt-0006_AI_矫正后</t>
        </is>
      </c>
      <c r="T484" t="inlineStr">
        <is>
          <t>场景需求</t>
        </is>
      </c>
      <c r="U484" t="inlineStr">
        <is>
          <t>EXCLUDE</t>
        </is>
      </c>
      <c r="V484" t="inlineStr">
        <is>
          <t>EXCLUDE</t>
        </is>
      </c>
      <c r="W484" t="inlineStr">
        <is>
          <t>不可用</t>
        </is>
      </c>
      <c r="X484" t="inlineStr">
        <is>
          <t>原始母表#raw_id=JD-RAW-0102</t>
        </is>
      </c>
      <c r="Y484" t="inlineStr">
        <is>
          <t>FROZEN_419_V2</t>
        </is>
      </c>
    </row>
    <row r="485" ht="25.5" customHeight="1">
      <c r="A485" t="inlineStr">
        <is>
          <t>TB-20260809-051</t>
        </is>
      </c>
      <c r="B485" t="inlineStr">
        <is>
          <t>饮法调配与内容共创</t>
        </is>
      </c>
      <c r="C485" t="inlineStr">
        <is>
          <t>PRJ001</t>
        </is>
      </c>
      <c r="D485" t="inlineStr">
        <is>
          <t>梅见｜超酸梅见150ml</t>
        </is>
      </c>
      <c r="E485" t="inlineStr">
        <is>
          <t>物流很快东西很好很不错蛮喜欢可以对水溶c好喝的</t>
        </is>
      </c>
      <c r="F485" t="inlineStr">
        <is>
          <t>品牌：梅见｜商品/规格：超酸梅见150ml｜SKU：935881887671</t>
        </is>
      </c>
      <c r="G485" t="inlineStr">
        <is>
          <t>淘宝</t>
        </is>
      </c>
      <c r="H485" s="2" t="str">
        <f>=HYPERLINK("https://detail.tmall.com/item.htm?id=935881887671", "https://detail.tmall.com/item.htm?id=935881887671")</f>
        <v>https://detail.tmall.com/item.htm?id=935881887671</v>
      </c>
      <c r="I485" s="3">
        <v>46126</v>
      </c>
      <c r="J485" s="4">
        <v>46243</v>
      </c>
      <c r="K485" t="inlineStr">
        <is>
          <t>梅见 青梅酒 商品评价</t>
        </is>
      </c>
      <c r="L485"/>
      <c r="M485" t="inlineStr">
        <is>
          <t>TB-U-20260809-051</t>
        </is>
      </c>
      <c r="N485" t="inlineStr">
        <is>
          <t>公开评论</t>
        </is>
      </c>
      <c r="O485"/>
      <c r="P485" t="inlineStr">
        <is>
          <t>情绪粗标：正面；主题粗标：调配方法；水溶C；时光梅旗舰店商品评价；日期按规则放宽；未记录用户名；已排除商家回复；评价页未展示评论点赞/有用数，点赞数留空</t>
        </is>
      </c>
      <c r="Q485" t="inlineStr">
        <is>
          <t>目标品牌</t>
        </is>
      </c>
      <c r="R485"/>
      <c r="S485" t="inlineStr">
        <is>
          <t>TB-20260809-051_CHALLENGE_POOL_formal-attempt-0001_AI</t>
        </is>
      </c>
      <c r="T485" t="inlineStr">
        <is>
          <t>场景需求</t>
        </is>
      </c>
      <c r="U485" t="inlineStr">
        <is>
          <t>KEEP</t>
        </is>
      </c>
      <c r="V485" t="inlineStr">
        <is>
          <t>CHALLENGE</t>
        </is>
      </c>
      <c r="W485" t="inlineStr">
        <is>
          <t>可用</t>
        </is>
      </c>
      <c r="X485" t="inlineStr">
        <is>
          <t>品牌语料分析与洞察体系.xlsx#表1：原始语料库!485</t>
        </is>
      </c>
      <c r="Y485" t="inlineStr">
        <is>
          <t>FROZEN_419_V2</t>
        </is>
      </c>
    </row>
  </sheetData>
  <dataValidations count="9">
    <dataValidation allowBlank="false" sqref="B2:B484" type="list">
      <formula1>"梅见产品体验反馈,梅见品牌认知与传播反馈,竞品产品体验反馈,竞品选择与替代理由,低度酒品类态度,饮酒情绪与身体负担,社交关系与饮酒边界,消费场景与使用行为,购买决策与价格反馈,饮法调配与内容共创"</formula1>
    </dataValidation>
    <dataValidation allowBlank="false" sqref="G2:G484" type="list">
      <formula1>"小红书,抖音,B站,电商评论,微博,淘宝,线下访谈,京东"</formula1>
    </dataValidation>
    <dataValidation allowBlank="false" sqref="N2:N484" type="list">
      <formula1>"公开评论,真人访谈,模拟语料"</formula1>
    </dataValidation>
    <dataValidation allowBlank="false" sqref="Q2:Q484" type="list">
      <formula1>"目标品牌,竞品,低度酒品类,饮酒文化或社交话题,无关或待判断"</formula1>
    </dataValidation>
    <dataValidation allowBlank="false" sqref="T2:T484" type="list">
      <formula1>"梅见反馈,竞品反馈,饮酒情绪,场景需求"</formula1>
    </dataValidation>
    <dataValidation allowBlank="false" sqref="U2:U484" type="list">
      <formula1>"KEEP,EXCLUDE"</formula1>
    </dataValidation>
    <dataValidation allowBlank="false" sqref="V2:V484" type="list">
      <formula1>"GOLD,ANALYSIS_BASELINE,CURATED_DEMO_DELTA,CHALLENGE,HOLDOUT,EXCLUDE"</formula1>
    </dataValidation>
    <dataValidation allowBlank="false" sqref="W2:W484" type="list">
      <formula1>"可用,不可用"</formula1>
    </dataValidation>
    <dataValidation allowBlank="false" sqref="Y2:Y484" type="list">
      <formula1>"FROZEN_419_V1,FROZEN_419_V2"</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s>
  <sheetData>
    <row r="1" ht="13" customHeight="1">
      <c r="A1" s="1" t="inlineStr">
        <is>
          <t>证据编号</t>
        </is>
      </c>
      <c r="B1" s="1" t="inlineStr">
        <is>
          <t>对象类型</t>
        </is>
      </c>
      <c r="C1" s="1" t="inlineStr">
        <is>
          <t>品牌名称</t>
        </is>
      </c>
      <c r="D1" s="1" t="inlineStr">
        <is>
          <t>证据性质</t>
        </is>
      </c>
      <c r="E1" s="1" t="inlineStr">
        <is>
          <t>证据主题</t>
        </is>
      </c>
      <c r="F1" s="1" t="inlineStr">
        <is>
          <t>官方原文</t>
        </is>
      </c>
      <c r="G1" s="1" t="inlineStr">
        <is>
          <t>事实或主张摘要</t>
        </is>
      </c>
      <c r="H1" s="1" t="inlineStr">
        <is>
          <t>对应产品</t>
        </is>
      </c>
      <c r="I1" s="1" t="inlineStr">
        <is>
          <t>目标人群</t>
        </is>
      </c>
      <c r="J1" s="1" t="inlineStr">
        <is>
          <t>主要场景</t>
        </is>
      </c>
      <c r="K1" s="1" t="inlineStr">
        <is>
          <t>核心价值</t>
        </is>
      </c>
      <c r="L1" s="1" t="inlineStr">
        <is>
          <t>内容母题</t>
        </is>
      </c>
      <c r="M1" s="1" t="inlineStr">
        <is>
          <t>Campaign/口号</t>
        </is>
      </c>
      <c r="N1" s="1" t="inlineStr">
        <is>
          <t>产品支撑</t>
        </is>
      </c>
      <c r="O1" s="1" t="inlineStr">
        <is>
          <t>来源类型</t>
        </is>
      </c>
      <c r="P1" s="1" t="inlineStr">
        <is>
          <t>来源链接</t>
        </is>
      </c>
      <c r="Q1" s="1" t="inlineStr">
        <is>
          <t>发布日期</t>
        </is>
      </c>
      <c r="R1" s="1" t="inlineStr">
        <is>
          <t>采集日期</t>
        </is>
      </c>
      <c r="S1" s="1" t="inlineStr">
        <is>
          <t>当前有效性</t>
        </is>
      </c>
      <c r="T1" s="1" t="inlineStr">
        <is>
          <t>证据可信度</t>
        </is>
      </c>
      <c r="U1" s="1" t="inlineStr">
        <is>
          <t>备注</t>
        </is>
      </c>
    </row>
    <row r="2" ht="25.5" customHeight="1">
      <c r="A2" t="inlineStr">
        <is>
          <t>MJ-EVI-001</t>
        </is>
      </c>
      <c r="B2" t="inlineStr">
        <is>
          <t>梅见</t>
        </is>
      </c>
      <c r="C2" t="inlineStr">
        <is>
          <t>梅见</t>
        </is>
      </c>
      <c r="D2" t="inlineStr">
        <is>
          <t>官方事实</t>
        </is>
      </c>
      <c r="E2" t="inlineStr">
        <is>
          <t>产品</t>
        </is>
      </c>
      <c r="F2" t="inlineStr">
        <is>
          <t>梅见采用普宁青梅，90天糖渍工艺缓慢出汁，保留纯粹青梅滋味。基酒选用单纯高粱酒。</t>
        </is>
      </c>
      <c r="G2" t="inlineStr">
        <is>
          <t>经典梅见采用普宁青梅+90天糖渍工艺+高粱酒基酒，酒精度12%</t>
        </is>
      </c>
      <c r="H2" t="inlineStr">
        <is>
          <t>经典梅见（白梅见）</t>
        </is>
      </c>
      <c r="I2"/>
      <c r="J2" t="inlineStr">
        <is>
          <t>佐餐</t>
        </is>
      </c>
      <c r="K2" t="inlineStr">
        <is>
          <t>酸甜平衡，顺喉好喝</t>
        </is>
      </c>
      <c r="L2"/>
      <c r="M2"/>
      <c r="N2" t="inlineStr">
        <is>
          <t>是</t>
        </is>
      </c>
      <c r="O2" t="inlineStr">
        <is>
          <t>其他</t>
        </is>
      </c>
      <c r="P2" t="inlineStr">
        <is>
          <t>https://post.m.smzdm.com/p/axk958wd/</t>
        </is>
      </c>
      <c r="Q2" s="5">
        <v>46239</v>
      </c>
      <c r="R2" s="5">
        <v>46245</v>
      </c>
      <c r="S2" t="inlineStr">
        <is>
          <t>当前</t>
        </is>
      </c>
      <c r="T2" t="inlineStr">
        <is>
          <t>中</t>
        </is>
      </c>
      <c r="U2" t="inlineStr">
        <is>
          <t>经典梅见12度，采用原果原酿工艺，普宁青梅+高粱酒+黄冰糖；来源：什么值得买2026-08-05</t>
        </is>
      </c>
    </row>
    <row r="3" ht="25.5" customHeight="1">
      <c r="A3" t="inlineStr">
        <is>
          <t>MJ-EVI-002</t>
        </is>
      </c>
      <c r="B3" t="inlineStr">
        <is>
          <t>梅见</t>
        </is>
      </c>
      <c r="C3" t="inlineStr">
        <is>
          <t>梅见</t>
        </is>
      </c>
      <c r="D3" t="inlineStr">
        <is>
          <t>官方事实</t>
        </is>
      </c>
      <c r="E3" t="inlineStr">
        <is>
          <t>产品</t>
        </is>
      </c>
      <c r="F3" t="inlineStr">
        <is>
          <t>烟熏梅见锁定14度黄金度数，秘制乌梅，百草熏炙，新鲜半黄梅子人工采摘后用百草与果木微火烘烤熏至九成干。</t>
        </is>
      </c>
      <c r="G3" t="inlineStr">
        <is>
          <t>烟熏梅见（金梅见）酒精度14%，百草熏炙工艺，乌梅烟熏风味，暗红琥珀色</t>
        </is>
      </c>
      <c r="H3" t="inlineStr">
        <is>
          <t>烟熏梅见/金梅见</t>
        </is>
      </c>
      <c r="I3"/>
      <c r="J3" t="inlineStr">
        <is>
          <t>佐餐</t>
        </is>
      </c>
      <c r="K3" t="inlineStr">
        <is>
          <t>14度黄金度数，微醺不冲头，烟熏独特风味</t>
        </is>
      </c>
      <c r="L3"/>
      <c r="M3"/>
      <c r="N3" t="inlineStr">
        <is>
          <t>是</t>
        </is>
      </c>
      <c r="O3" t="inlineStr">
        <is>
          <t>新闻稿</t>
        </is>
      </c>
      <c r="P3" t="inlineStr">
        <is>
          <t>https://www.zgweijiu.com.cn/archives/wai-ma-song-jiu-yu-mei-jian-zhan-lue-he-zuo-gong-tui-zhuan-shu-li-zuo-yan-xun-mei-jian-quan-xin-sha</t>
        </is>
      </c>
      <c r="Q3" s="5">
        <v>46239</v>
      </c>
      <c r="R3" s="5">
        <v>46245</v>
      </c>
      <c r="S3" t="inlineStr">
        <is>
          <t>当前</t>
        </is>
      </c>
      <c r="T3" t="inlineStr">
        <is>
          <t>高</t>
        </is>
      </c>
      <c r="U3" t="inlineStr">
        <is>
          <t>烟熏梅见14度，歪马送酒独家定制，2026年目标1亿；来源：微酒2026-08-05</t>
        </is>
      </c>
    </row>
    <row r="4" ht="25.5" customHeight="1">
      <c r="A4" t="inlineStr">
        <is>
          <t>MJ-EVI-003</t>
        </is>
      </c>
      <c r="B4" t="inlineStr">
        <is>
          <t>梅见</t>
        </is>
      </c>
      <c r="C4" t="inlineStr">
        <is>
          <t>梅见</t>
        </is>
      </c>
      <c r="D4" t="inlineStr">
        <is>
          <t>官方事实</t>
        </is>
      </c>
      <c r="E4" t="inlineStr">
        <is>
          <t>产品</t>
        </is>
      </c>
      <c r="F4" t="inlineStr">
        <is>
          <t>蓝梅见甄选四川大邑仅存几百棵百年古梅树，为保护母株只取自然落果，辅以30年树龄南高梅，浸泡陈化360天精酿而成。</t>
        </is>
      </c>
      <c r="G4" t="inlineStr">
        <is>
          <t>蓝梅见采用百年古梅自然落果+30年树龄南高梅，浸泡陈化360天，深琥珀色</t>
        </is>
      </c>
      <c r="H4" t="inlineStr">
        <is>
          <t>蓝梅见</t>
        </is>
      </c>
      <c r="I4"/>
      <c r="J4" t="inlineStr">
        <is>
          <t>其他</t>
        </is>
      </c>
      <c r="K4" t="inlineStr">
        <is>
          <t>高端年份梅酒，稀缺原料，长时间陈化</t>
        </is>
      </c>
      <c r="L4"/>
      <c r="M4"/>
      <c r="N4" t="inlineStr">
        <is>
          <t>无法确认</t>
        </is>
      </c>
      <c r="O4" t="inlineStr">
        <is>
          <t>其他</t>
        </is>
      </c>
      <c r="P4" t="inlineStr">
        <is>
          <t>https://post.m.smzdm.com/p/apw36rw0/</t>
        </is>
      </c>
      <c r="Q4" s="5">
        <v>46235</v>
      </c>
      <c r="R4" s="5">
        <v>46245</v>
      </c>
      <c r="S4" t="inlineStr">
        <is>
          <t>待复核</t>
        </is>
      </c>
      <c r="T4" t="inlineStr">
        <is>
          <t>低</t>
        </is>
      </c>
      <c r="U4" t="inlineStr">
        <is>
          <t>当前链接为消费内容页，无法稳定确认百年古梅自然落果、30年树龄与360天等全部细节；需补充品牌官方或产品标签来源</t>
        </is>
      </c>
    </row>
    <row r="5" ht="25.5" customHeight="1">
      <c r="A5" t="inlineStr">
        <is>
          <t>MJ-EVI-004</t>
        </is>
      </c>
      <c r="B5" t="inlineStr">
        <is>
          <t>梅见</t>
        </is>
      </c>
      <c r="C5" t="inlineStr">
        <is>
          <t>梅见</t>
        </is>
      </c>
      <c r="D5" t="inlineStr">
        <is>
          <t>官方事实</t>
        </is>
      </c>
      <c r="E5" t="inlineStr">
        <is>
          <t>产品</t>
        </is>
      </c>
      <c r="F5" t="inlineStr">
        <is>
          <t>2023年，梅见在全行业首创'原果原酿'，将发酵时间从90天延长至180天。</t>
        </is>
      </c>
      <c r="G5" t="inlineStr">
        <is>
          <t>梅见2023年首创原果原酿工艺，发酵时间从90天延长至180天</t>
        </is>
      </c>
      <c r="H5" t="inlineStr">
        <is>
          <t>原果原酿系列</t>
        </is>
      </c>
      <c r="I5"/>
      <c r="J5"/>
      <c r="K5" t="inlineStr">
        <is>
          <t>更长发酵时间，更浓郁风味</t>
        </is>
      </c>
      <c r="L5"/>
      <c r="M5"/>
      <c r="N5" t="inlineStr">
        <is>
          <t>是</t>
        </is>
      </c>
      <c r="O5" t="inlineStr">
        <is>
          <t>新闻稿</t>
        </is>
      </c>
      <c r="P5" t="inlineStr">
        <is>
          <t>https://www.xhby.net/content/s6a2b73bde4b05b077e347009.html</t>
        </is>
      </c>
      <c r="Q5" s="5">
        <v>46185</v>
      </c>
      <c r="R5" s="5">
        <v>46245</v>
      </c>
      <c r="S5" t="inlineStr">
        <is>
          <t>当前</t>
        </is>
      </c>
      <c r="T5" t="inlineStr">
        <is>
          <t>高</t>
        </is>
      </c>
      <c r="U5" t="inlineStr">
        <is>
          <t>2023年梅见首创原果原酿，将发酵时间由90天延长至180天；来源：新华报业网转载河北青年报，2026-06-12</t>
        </is>
      </c>
    </row>
    <row r="6" ht="25.5" customHeight="1">
      <c r="A6" t="inlineStr">
        <is>
          <t>MJ-EVI-005</t>
        </is>
      </c>
      <c r="B6" t="inlineStr">
        <is>
          <t>梅见</t>
        </is>
      </c>
      <c r="C6" t="inlineStr">
        <is>
          <t>梅见</t>
        </is>
      </c>
      <c r="D6" t="inlineStr">
        <is>
          <t>官方事实</t>
        </is>
      </c>
      <c r="E6" t="inlineStr">
        <is>
          <t>渠道</t>
        </is>
      </c>
      <c r="F6" t="inlineStr">
        <is>
          <t>梅见已在四川大邑、广东普宁、福建诏安、云南洱源、重庆江津布局五大青梅基地。</t>
        </is>
      </c>
      <c r="G6" t="inlineStr">
        <is>
          <t>梅见拥有五大青梅基地：四川大邑、广东普宁、福建诏安、云南洱源、重庆江津</t>
        </is>
      </c>
      <c r="H6" t="inlineStr">
        <is>
          <t>全系列</t>
        </is>
      </c>
      <c r="I6"/>
      <c r="J6"/>
      <c r="K6" t="inlineStr">
        <is>
          <t>原料自给，品质可控</t>
        </is>
      </c>
      <c r="L6"/>
      <c r="M6"/>
      <c r="N6" t="inlineStr">
        <is>
          <t>是</t>
        </is>
      </c>
      <c r="O6" t="inlineStr">
        <is>
          <t>新闻稿</t>
        </is>
      </c>
      <c r="P6" t="inlineStr">
        <is>
          <t>https://qiye.chinadaily.com.cn/a/202606/24/WS6a3b70bca310d709c2fb9cb2.html</t>
        </is>
      </c>
      <c r="Q6" s="5">
        <v>46197</v>
      </c>
      <c r="R6" s="5">
        <v>46245</v>
      </c>
      <c r="S6" t="inlineStr">
        <is>
          <t>当前</t>
        </is>
      </c>
      <c r="T6" t="inlineStr">
        <is>
          <t>高</t>
        </is>
      </c>
      <c r="U6" t="inlineStr">
        <is>
          <t>梅见在全国布局五大青梅基地；来源：中国日报网转载新华网，2026-06-24</t>
        </is>
      </c>
    </row>
    <row r="7" ht="25.5" customHeight="1">
      <c r="A7" t="inlineStr">
        <is>
          <t>MJ-EVI-006</t>
        </is>
      </c>
      <c r="B7" t="inlineStr">
        <is>
          <t>梅见</t>
        </is>
      </c>
      <c r="C7" t="inlineStr">
        <is>
          <t>梅见</t>
        </is>
      </c>
      <c r="D7" t="inlineStr">
        <is>
          <t>官方事实</t>
        </is>
      </c>
      <c r="E7" t="inlineStr">
        <is>
          <t>产品</t>
        </is>
      </c>
      <c r="F7" t="inlineStr">
        <is>
          <t>建成全球最大年份梅酒窖，拥有近5000只陶坛，浸泡能力达5000吨。</t>
        </is>
      </c>
      <c r="G7" t="inlineStr">
        <is>
          <t>梅见拥有全球最大年份梅酒窖，近5000只陶坛，浸泡能力5000吨</t>
        </is>
      </c>
      <c r="H7" t="inlineStr">
        <is>
          <t>年份梅酒系列</t>
        </is>
      </c>
      <c r="I7"/>
      <c r="J7"/>
      <c r="K7" t="inlineStr">
        <is>
          <t>规模化年份酒酿造能力</t>
        </is>
      </c>
      <c r="L7"/>
      <c r="M7"/>
      <c r="N7" t="inlineStr">
        <is>
          <t>是</t>
        </is>
      </c>
      <c r="O7" t="inlineStr">
        <is>
          <t>新闻稿</t>
        </is>
      </c>
      <c r="P7" t="inlineStr">
        <is>
          <t>https://www.xhby.net/content/s6a2b73bde4b05b077e347009.html</t>
        </is>
      </c>
      <c r="Q7" s="5">
        <v>46185</v>
      </c>
      <c r="R7" s="5">
        <v>46245</v>
      </c>
      <c r="S7" t="inlineStr">
        <is>
          <t>当前</t>
        </is>
      </c>
      <c r="T7" t="inlineStr">
        <is>
          <t>高</t>
        </is>
      </c>
      <c r="U7" t="inlineStr">
        <is>
          <t>梅见建成年份梅酒窖，拥有近5000只陶坛，浸泡能力5000吨；来源：新华报业网转载河北青年报，2026-06-12</t>
        </is>
      </c>
    </row>
    <row r="8" ht="25.5" customHeight="1">
      <c r="A8" t="inlineStr">
        <is>
          <t>MJ-EVI-007</t>
        </is>
      </c>
      <c r="B8" t="inlineStr">
        <is>
          <t>梅见</t>
        </is>
      </c>
      <c r="C8" t="inlineStr">
        <is>
          <t>梅见</t>
        </is>
      </c>
      <c r="D8" t="inlineStr">
        <is>
          <t>官方事实</t>
        </is>
      </c>
      <c r="E8" t="inlineStr">
        <is>
          <t>产品</t>
        </is>
      </c>
      <c r="F8" t="inlineStr">
        <is>
          <t>2022年《青梅酒》团体标准发布；2026年3月梅见提出的《原果青梅酒》《年份梅酒》两项团体标准发布，4年内累计参与制定3项团标。</t>
        </is>
      </c>
      <c r="G8" t="inlineStr">
        <is>
          <t>梅见4年内累计参与制定3项青梅酒相关团体标准</t>
        </is>
      </c>
      <c r="H8" t="inlineStr">
        <is>
          <t>品牌/品类</t>
        </is>
      </c>
      <c r="I8"/>
      <c r="J8"/>
      <c r="K8" t="inlineStr">
        <is>
          <t>参与行业标准制定</t>
        </is>
      </c>
      <c r="L8"/>
      <c r="M8"/>
      <c r="N8" t="inlineStr">
        <is>
          <t>是</t>
        </is>
      </c>
      <c r="O8" t="inlineStr">
        <is>
          <t>新闻稿</t>
        </is>
      </c>
      <c r="P8" t="inlineStr">
        <is>
          <t>https://www.xhby.net/content/s6a2b73bde4b05b077e347009.html</t>
        </is>
      </c>
      <c r="Q8" s="5">
        <v>46185</v>
      </c>
      <c r="R8" s="5">
        <v>46245</v>
      </c>
      <c r="S8" t="inlineStr">
        <is>
          <t>当前</t>
        </is>
      </c>
      <c r="T8" t="inlineStr">
        <is>
          <t>高</t>
        </is>
      </c>
      <c r="U8" t="inlineStr">
        <is>
          <t>2022年《青梅酒》及2026年《原果青梅酒》《年份梅酒》相关团标；来源：新华报业网转载河北青年报，2026-06-12</t>
        </is>
      </c>
    </row>
    <row r="9" ht="25.5" customHeight="1">
      <c r="A9" t="inlineStr">
        <is>
          <t>MJ-EVI-008</t>
        </is>
      </c>
      <c r="B9" t="inlineStr">
        <is>
          <t>梅见</t>
        </is>
      </c>
      <c r="C9" t="inlineStr">
        <is>
          <t>梅见</t>
        </is>
      </c>
      <c r="D9" t="inlineStr">
        <is>
          <t>官方事实</t>
        </is>
      </c>
      <c r="E9" t="inlineStr">
        <is>
          <t>产品</t>
        </is>
      </c>
      <c r="F9" t="inlineStr">
        <is>
          <t>酿造选用隆昌陶坛，其微孔透气性可促进酒体风味熟成；每坛酒均标注青梅采收时间、入坛日期、捞果日期、酿造师等关键信息，实现生产全程可追溯。</t>
        </is>
      </c>
      <c r="G9" t="inlineStr">
        <is>
          <t>梅见采用隆昌陶坛酿造，微孔透气促熟成，全程可追溯（采收/入坛/捞果/酿造师）</t>
        </is>
      </c>
      <c r="H9" t="inlineStr">
        <is>
          <t>全系列</t>
        </is>
      </c>
      <c r="I9"/>
      <c r="J9"/>
      <c r="K9" t="inlineStr">
        <is>
          <t>传统工艺+现代品控，全程可追溯</t>
        </is>
      </c>
      <c r="L9"/>
      <c r="M9"/>
      <c r="N9" t="inlineStr">
        <is>
          <t>是</t>
        </is>
      </c>
      <c r="O9" t="inlineStr">
        <is>
          <t>新闻稿</t>
        </is>
      </c>
      <c r="P9" t="inlineStr">
        <is>
          <t>https://qiye.chinadaily.com.cn/a/202606/24/WS6a3b70bca310d709c2fb9cb2.html</t>
        </is>
      </c>
      <c r="Q9" s="5">
        <v>46197</v>
      </c>
      <c r="R9" s="5">
        <v>46245</v>
      </c>
      <c r="S9" t="inlineStr">
        <is>
          <t>当前</t>
        </is>
      </c>
      <c r="T9" t="inlineStr">
        <is>
          <t>高</t>
        </is>
      </c>
      <c r="U9" t="inlineStr">
        <is>
          <t>梅见隆昌陶坛陈化，每坛标注采收时间/入坛日期/捞果日期/酿造师，全程可追溯；来源：中国日报网2026-06-24</t>
        </is>
      </c>
    </row>
    <row r="10" ht="25.5" customHeight="1">
      <c r="A10" t="inlineStr">
        <is>
          <t>MJ-EVI-009</t>
        </is>
      </c>
      <c r="B10" t="inlineStr">
        <is>
          <t>梅见</t>
        </is>
      </c>
      <c r="C10" t="inlineStr">
        <is>
          <t>梅见</t>
        </is>
      </c>
      <c r="D10" t="inlineStr">
        <is>
          <t>官方事实</t>
        </is>
      </c>
      <c r="E10" t="inlineStr">
        <is>
          <t>产品</t>
        </is>
      </c>
      <c r="F10" t="inlineStr">
        <is>
          <t>通过延长发酵周期至一年，将酒精度提升至12-20度，成功突破低度酒'饮料化'窠臼。</t>
        </is>
      </c>
      <c r="G10" t="inlineStr">
        <is>
          <t>梅见酒精度覆盖12-20度，突破低度酒饮料化</t>
        </is>
      </c>
      <c r="H10" t="inlineStr">
        <is>
          <t>全系列</t>
        </is>
      </c>
      <c r="I10"/>
      <c r="J10"/>
      <c r="K10" t="inlineStr">
        <is>
          <t>微醺有味，有酒感不糖水</t>
        </is>
      </c>
      <c r="L10"/>
      <c r="M10"/>
      <c r="N10" t="inlineStr">
        <is>
          <t>无法确认</t>
        </is>
      </c>
      <c r="O10" t="inlineStr">
        <is>
          <t>其他</t>
        </is>
      </c>
      <c r="P10" t="inlineStr">
        <is>
          <t>https://post.m.smzdm.com/p/apw36rw0/</t>
        </is>
      </c>
      <c r="Q10" s="5">
        <v>46235</v>
      </c>
      <c r="R10" s="5">
        <v>46245</v>
      </c>
      <c r="S10" t="inlineStr">
        <is>
          <t>待复核</t>
        </is>
      </c>
      <c r="T10" t="inlineStr">
        <is>
          <t>低</t>
        </is>
      </c>
      <c r="U10" t="inlineStr">
        <is>
          <t>当前二手内容无法充分证明“延长发酵至一年导致酒精度覆盖12-20度”的因果关系；需补充官方产品矩阵或技术资料</t>
        </is>
      </c>
    </row>
    <row r="11" ht="25.5" customHeight="1">
      <c r="A11" t="inlineStr">
        <is>
          <t>MJ-EVI-010</t>
        </is>
      </c>
      <c r="B11" t="inlineStr">
        <is>
          <t>梅见</t>
        </is>
      </c>
      <c r="C11" t="inlineStr">
        <is>
          <t>梅见</t>
        </is>
      </c>
      <c r="D11" t="inlineStr">
        <is>
          <t>官方事实</t>
        </is>
      </c>
      <c r="E11" t="inlineStr">
        <is>
          <t>产品</t>
        </is>
      </c>
      <c r="F11" t="inlineStr">
        <is>
          <t>梅见青梅酒配料：青梅、高粱酒、黄冰糖。</t>
        </is>
      </c>
      <c r="G11" t="inlineStr">
        <is>
          <t>梅见核心配料：青梅+高粱酒+黄冰糖，无额外添加剂</t>
        </is>
      </c>
      <c r="H11" t="inlineStr">
        <is>
          <t>经典梅见</t>
        </is>
      </c>
      <c r="I11"/>
      <c r="J11"/>
      <c r="K11" t="inlineStr">
        <is>
          <t>配料干净，天然原料</t>
        </is>
      </c>
      <c r="L11"/>
      <c r="M11"/>
      <c r="N11" t="inlineStr">
        <is>
          <t>是</t>
        </is>
      </c>
      <c r="O11" t="inlineStr">
        <is>
          <t>其他</t>
        </is>
      </c>
      <c r="P11" t="inlineStr">
        <is>
          <t>https://post.m.smzdm.com/p/a4q9e7gk/</t>
        </is>
      </c>
      <c r="Q11" s="5">
        <v>46240</v>
      </c>
      <c r="R11" s="5">
        <v>46245</v>
      </c>
      <c r="S11" t="inlineStr">
        <is>
          <t>当前</t>
        </is>
      </c>
      <c r="T11" t="inlineStr">
        <is>
          <t>中</t>
        </is>
      </c>
      <c r="U11" t="inlineStr">
        <is>
          <t>梅见配料表干净：青梅、水、高粱、黄冰糖，无额外添加剂；来源：什么值得买2026-08-06</t>
        </is>
      </c>
    </row>
    <row r="12" ht="25.5" customHeight="1">
      <c r="A12" t="inlineStr">
        <is>
          <t>MJ-EVI-011</t>
        </is>
      </c>
      <c r="B12" t="inlineStr">
        <is>
          <t>梅见</t>
        </is>
      </c>
      <c r="C12" t="inlineStr">
        <is>
          <t>梅见</t>
        </is>
      </c>
      <c r="D12" t="inlineStr">
        <is>
          <t>官方主张</t>
        </is>
      </c>
      <c r="E12" t="inlineStr">
        <is>
          <t>品牌</t>
        </is>
      </c>
      <c r="F12" t="inlineStr">
        <is>
          <t>好久没见，好酒梅见。</t>
        </is>
      </c>
      <c r="G12" t="inlineStr">
        <is>
          <t>梅见品牌口号：'好久没见，好酒梅见'，谐音双关</t>
        </is>
      </c>
      <c r="H12" t="inlineStr">
        <is>
          <t>品牌</t>
        </is>
      </c>
      <c r="I12"/>
      <c r="J12" t="inlineStr">
        <is>
          <t>小聚</t>
        </is>
      </c>
      <c r="K12" t="inlineStr">
        <is>
          <t>情感连接，团圆相聚</t>
        </is>
      </c>
      <c r="L12" t="inlineStr">
        <is>
          <t>团圆/相聚</t>
        </is>
      </c>
      <c r="M12" t="inlineStr">
        <is>
          <t>好久没见，好酒梅见</t>
        </is>
      </c>
      <c r="N12" t="inlineStr">
        <is>
          <t>部分</t>
        </is>
      </c>
      <c r="O12" t="inlineStr">
        <is>
          <t>新闻稿</t>
        </is>
      </c>
      <c r="P12" t="inlineStr">
        <is>
          <t>http://m.toutiao.com/group/7671133927767867914/</t>
        </is>
      </c>
      <c r="Q12" s="5">
        <v>46241</v>
      </c>
      <c r="R12" s="5">
        <v>46245</v>
      </c>
      <c r="S12" t="inlineStr">
        <is>
          <t>当前</t>
        </is>
      </c>
      <c r="T12" t="inlineStr">
        <is>
          <t>中</t>
        </is>
      </c>
      <c r="U12" t="inlineStr">
        <is>
          <t>梅见品牌口号'好久没见，好酒梅见'，'吃香喝辣冰梅见'；来源：今日头条2026-08-07</t>
        </is>
      </c>
    </row>
    <row r="13" ht="25.5" customHeight="1">
      <c r="A13" t="inlineStr">
        <is>
          <t>MJ-EVI-012</t>
        </is>
      </c>
      <c r="B13" t="inlineStr">
        <is>
          <t>梅见</t>
        </is>
      </c>
      <c r="C13" t="inlineStr">
        <is>
          <t>梅见</t>
        </is>
      </c>
      <c r="D13" t="inlineStr">
        <is>
          <t>官方主张</t>
        </is>
      </c>
      <c r="E13" t="inlineStr">
        <is>
          <t>品牌</t>
        </is>
      </c>
      <c r="F13" t="inlineStr">
        <is>
          <t>适合年轻人的轻社交场景和居家微醺时刻。</t>
        </is>
      </c>
      <c r="G13" t="inlineStr">
        <is>
          <t>梅见场景定位：年轻人轻社交+居家微醺</t>
        </is>
      </c>
      <c r="H13" t="inlineStr">
        <is>
          <t>品牌</t>
        </is>
      </c>
      <c r="I13" t="inlineStr">
        <is>
          <t>年轻人</t>
        </is>
      </c>
      <c r="J13" t="inlineStr">
        <is>
          <t>独饮</t>
        </is>
      </c>
      <c r="K13" t="inlineStr">
        <is>
          <t>轻松微醺，无压力社交</t>
        </is>
      </c>
      <c r="L13" t="inlineStr">
        <is>
          <t>轻社交/微醺</t>
        </is>
      </c>
      <c r="M13"/>
      <c r="N13" t="inlineStr">
        <is>
          <t>是</t>
        </is>
      </c>
      <c r="O13" t="inlineStr">
        <is>
          <t>新闻稿</t>
        </is>
      </c>
      <c r="P13" t="inlineStr">
        <is>
          <t>http://m.toutiao.com/group/7667149402351419946/</t>
        </is>
      </c>
      <c r="Q13" s="5">
        <v>46230</v>
      </c>
      <c r="R13" s="5">
        <v>46245</v>
      </c>
      <c r="S13" t="inlineStr">
        <is>
          <t>当前</t>
        </is>
      </c>
      <c r="T13" t="inlineStr">
        <is>
          <t>中</t>
        </is>
      </c>
      <c r="U13" t="inlineStr">
        <is>
          <t>梅见主攻宴席、商务宴请和轻社交场景，价格带88-598元；来源：今日头条2026-07-27</t>
        </is>
      </c>
    </row>
    <row r="14" ht="25.5" customHeight="1">
      <c r="A14" t="inlineStr">
        <is>
          <t>MJ-EVI-013</t>
        </is>
      </c>
      <c r="B14" t="inlineStr">
        <is>
          <t>梅见</t>
        </is>
      </c>
      <c r="C14" t="inlineStr">
        <is>
          <t>梅见</t>
        </is>
      </c>
      <c r="D14" t="inlineStr">
        <is>
          <t>官方主张</t>
        </is>
      </c>
      <c r="E14" t="inlineStr">
        <is>
          <t>品牌</t>
        </is>
      </c>
      <c r="F14" t="inlineStr">
        <is>
          <t>梅见青梅酒已连续多年位居国内青梅酒销量首位。</t>
        </is>
      </c>
      <c r="G14" t="inlineStr">
        <is>
          <t>梅见品类地位：连续多年位居国内青梅酒销量首位</t>
        </is>
      </c>
      <c r="H14" t="inlineStr">
        <is>
          <t>品牌</t>
        </is>
      </c>
      <c r="I14"/>
      <c r="J14"/>
      <c r="K14" t="inlineStr">
        <is>
          <t>品类领导者，品质标杆</t>
        </is>
      </c>
      <c r="L14" t="inlineStr">
        <is>
          <t>品类第一</t>
        </is>
      </c>
      <c r="M14"/>
      <c r="N14" t="inlineStr">
        <is>
          <t>是</t>
        </is>
      </c>
      <c r="O14" t="inlineStr">
        <is>
          <t>其他</t>
        </is>
      </c>
      <c r="P14" t="inlineStr">
        <is>
          <t>https://qiye.chinadaily.com.cn/a/202606/24/WS6a3b70bca310d709c2fb9cb2.html</t>
        </is>
      </c>
      <c r="Q14" s="5">
        <v>46197</v>
      </c>
      <c r="R14" s="5">
        <v>46245</v>
      </c>
      <c r="S14" t="inlineStr">
        <is>
          <t>当前</t>
        </is>
      </c>
      <c r="T14" t="inlineStr">
        <is>
          <t>高</t>
        </is>
      </c>
      <c r="U14" t="inlineStr">
        <is>
          <t>梅见连续多年位居国内青梅酒销量首位；来源：中国日报网转载新华网，2026-06-24</t>
        </is>
      </c>
    </row>
    <row r="15" ht="25.5" customHeight="1">
      <c r="A15" t="inlineStr">
        <is>
          <t>MJ-EVI-014</t>
        </is>
      </c>
      <c r="B15" t="inlineStr">
        <is>
          <t>梅见</t>
        </is>
      </c>
      <c r="C15" t="inlineStr">
        <is>
          <t>梅见</t>
        </is>
      </c>
      <c r="D15" t="inlineStr">
        <is>
          <t>官方主张</t>
        </is>
      </c>
      <c r="E15" t="inlineStr">
        <is>
          <t>品牌</t>
        </is>
      </c>
      <c r="F15" t="inlineStr">
        <is>
          <t>酸甜平衡，没有杂味，顺喉好喝。</t>
        </is>
      </c>
      <c r="G15" t="inlineStr">
        <is>
          <t>梅见产品价值主张：酸甜平衡、顺喉、无杂味</t>
        </is>
      </c>
      <c r="H15" t="inlineStr">
        <is>
          <t>经典梅见</t>
        </is>
      </c>
      <c r="I15"/>
      <c r="J15"/>
      <c r="K15" t="inlineStr">
        <is>
          <t>口感友好，易饮</t>
        </is>
      </c>
      <c r="L15" t="inlineStr">
        <is>
          <t>好喝/顺喉</t>
        </is>
      </c>
      <c r="M15"/>
      <c r="N15" t="inlineStr">
        <is>
          <t>是</t>
        </is>
      </c>
      <c r="O15" t="inlineStr">
        <is>
          <t>其他</t>
        </is>
      </c>
      <c r="P15" t="inlineStr">
        <is>
          <t>https://isee.foodaily.com/awards/3013</t>
        </is>
      </c>
      <c r="Q15" s="5"/>
      <c r="R15" s="5">
        <v>46245</v>
      </c>
      <c r="S15" t="inlineStr">
        <is>
          <t>当前</t>
        </is>
      </c>
      <c r="T15" t="inlineStr">
        <is>
          <t>中</t>
        </is>
      </c>
      <c r="U15" t="inlineStr">
        <is>
          <t>梅见12度原味梅酒获iSEE全球食品创新奖；奖项详情常设页无公开发布日期，2026-08-11核验</t>
        </is>
      </c>
    </row>
    <row r="16" ht="25.5" customHeight="1">
      <c r="A16" t="inlineStr">
        <is>
          <t>MJ-EVI-015</t>
        </is>
      </c>
      <c r="B16" t="inlineStr">
        <is>
          <t>梅见</t>
        </is>
      </c>
      <c r="C16" t="inlineStr">
        <is>
          <t>梅见</t>
        </is>
      </c>
      <c r="D16" t="inlineStr">
        <is>
          <t>官方主张</t>
        </is>
      </c>
      <c r="E16" t="inlineStr">
        <is>
          <t>场景</t>
        </is>
      </c>
      <c r="F16" t="inlineStr">
        <is>
          <t>青梅的酸激发味蕾，分泌唾液，激发食物的味道，12%的酒精度数，解辣解腻。</t>
        </is>
      </c>
      <c r="G16" t="inlineStr">
        <is>
          <t>梅见佐餐价值：青梅酸解辣解腻，激发食欲，12度适合佐餐</t>
        </is>
      </c>
      <c r="H16" t="inlineStr">
        <is>
          <t>经典梅见</t>
        </is>
      </c>
      <c r="I16"/>
      <c r="J16" t="inlineStr">
        <is>
          <t>佐餐</t>
        </is>
      </c>
      <c r="K16" t="inlineStr">
        <is>
          <t>佐餐酒，解辣解腻</t>
        </is>
      </c>
      <c r="L16" t="inlineStr">
        <is>
          <t>佐餐/解辣</t>
        </is>
      </c>
      <c r="M16"/>
      <c r="N16" t="inlineStr">
        <is>
          <t>是</t>
        </is>
      </c>
      <c r="O16" t="inlineStr">
        <is>
          <t>新闻稿</t>
        </is>
      </c>
      <c r="P16" t="inlineStr">
        <is>
          <t>http://m.toutiao.com/group/7671133927767867914/</t>
        </is>
      </c>
      <c r="Q16" s="5">
        <v>46241</v>
      </c>
      <c r="R16" s="5">
        <v>46245</v>
      </c>
      <c r="S16" t="inlineStr">
        <is>
          <t>当前</t>
        </is>
      </c>
      <c r="T16" t="inlineStr">
        <is>
          <t>中</t>
        </is>
      </c>
      <c r="U16" t="inlineStr">
        <is>
          <t>梅见锚定餐饮场景，'吃香喝辣冰梅见'，火锅烧烤解腻解辣；来源：今日头条2026-08-07</t>
        </is>
      </c>
    </row>
    <row r="17" ht="25.5" customHeight="1">
      <c r="A17" t="inlineStr">
        <is>
          <t>MJ-EVI-016</t>
        </is>
      </c>
      <c r="B17" t="inlineStr">
        <is>
          <t>梅见</t>
        </is>
      </c>
      <c r="C17" t="inlineStr">
        <is>
          <t>梅见</t>
        </is>
      </c>
      <c r="D17" t="inlineStr">
        <is>
          <t>营销活动</t>
        </is>
      </c>
      <c r="E17" t="inlineStr">
        <is>
          <t>渠道</t>
        </is>
      </c>
      <c r="F17" t="inlineStr">
        <is>
          <t>梅见推进酒旅融合与酒店宴席全场景营销，覆盖婚宴、宝宝宴、寿宴等定制场景。</t>
        </is>
      </c>
      <c r="G17" t="inlineStr">
        <is>
          <t>梅见酒店宴席营销：酒旅融合+婚宴/宝宝宴/寿宴定制</t>
        </is>
      </c>
      <c r="H17" t="inlineStr">
        <is>
          <t>全系列</t>
        </is>
      </c>
      <c r="I17"/>
      <c r="J17" t="inlineStr">
        <is>
          <t>宴席</t>
        </is>
      </c>
      <c r="K17" t="inlineStr">
        <is>
          <t>宴席定制与酒店场景渗透</t>
        </is>
      </c>
      <c r="L17" t="inlineStr">
        <is>
          <t>宴席/酒旅融合</t>
        </is>
      </c>
      <c r="M17"/>
      <c r="N17" t="inlineStr">
        <is>
          <t>是</t>
        </is>
      </c>
      <c r="O17" t="inlineStr">
        <is>
          <t>新闻稿</t>
        </is>
      </c>
      <c r="P17" t="inlineStr">
        <is>
          <t>http://m.163.com/local/article/L08V5CL0042199EF.html</t>
        </is>
      </c>
      <c r="Q17" s="5">
        <v>46198</v>
      </c>
      <c r="R17" s="5">
        <v>46245</v>
      </c>
      <c r="S17" t="inlineStr">
        <is>
          <t>当前</t>
        </is>
      </c>
      <c r="T17" t="inlineStr">
        <is>
          <t>中</t>
        </is>
      </c>
      <c r="U17" t="inlineStr">
        <is>
          <t>梅见酒旅融合与酒店宴席全场景营销，覆盖婚宴/宝宝宴/寿宴定制；来源：网易，2026-06-25</t>
        </is>
      </c>
    </row>
    <row r="18" ht="25.5" customHeight="1">
      <c r="A18" t="inlineStr">
        <is>
          <t>MJ-EVI-017</t>
        </is>
      </c>
      <c r="B18" t="inlineStr">
        <is>
          <t>梅见</t>
        </is>
      </c>
      <c r="C18" t="inlineStr">
        <is>
          <t>梅见</t>
        </is>
      </c>
      <c r="D18" t="inlineStr">
        <is>
          <t>营销活动</t>
        </is>
      </c>
      <c r="E18" t="inlineStr">
        <is>
          <t>渠道</t>
        </is>
      </c>
      <c r="F18" t="inlineStr">
        <is>
          <t>梅见为经销商输出“场景洞察—内容生成—用户激活”方法论，杭州艺术餐厅渠道销量年增长200%以上。</t>
        </is>
      </c>
      <c r="G18" t="inlineStr">
        <is>
          <t>梅见渠道方法论：场景洞察+内容生成+用户激活，样板餐厅销量增长200%+</t>
        </is>
      </c>
      <c r="H18" t="inlineStr">
        <is>
          <t>全系列</t>
        </is>
      </c>
      <c r="I18"/>
      <c r="J18" t="inlineStr">
        <is>
          <t>佐餐</t>
        </is>
      </c>
      <c r="K18" t="inlineStr">
        <is>
          <t>经销商赋能与餐饮终端动销</t>
        </is>
      </c>
      <c r="L18" t="inlineStr">
        <is>
          <t>渠道方法论/餐饮场景</t>
        </is>
      </c>
      <c r="M18"/>
      <c r="N18" t="inlineStr">
        <is>
          <t>是</t>
        </is>
      </c>
      <c r="O18" t="inlineStr">
        <is>
          <t>新闻稿</t>
        </is>
      </c>
      <c r="P18" t="inlineStr">
        <is>
          <t>http://m.toutiao.com/group/7593244465993728538/</t>
        </is>
      </c>
      <c r="Q18" s="5">
        <v>46031</v>
      </c>
      <c r="R18" s="5">
        <v>46245</v>
      </c>
      <c r="S18" t="inlineStr">
        <is>
          <t>当前</t>
        </is>
      </c>
      <c r="T18" t="inlineStr">
        <is>
          <t>中</t>
        </is>
      </c>
      <c r="U18" t="inlineStr">
        <is>
          <t>梅见为经销商输出场景洞察、内容生成、用户激活方法论，杭州艺术餐厅渠道销量年增长200%+；来源：今日头条，2026-01-09</t>
        </is>
      </c>
    </row>
    <row r="19" ht="25.5" customHeight="1">
      <c r="A19" t="inlineStr">
        <is>
          <t>MJ-EVI-018</t>
        </is>
      </c>
      <c r="B19" t="inlineStr">
        <is>
          <t>梅见</t>
        </is>
      </c>
      <c r="C19" t="inlineStr">
        <is>
          <t>梅见</t>
        </is>
      </c>
      <c r="D19" t="inlineStr">
        <is>
          <t>官方事实</t>
        </is>
      </c>
      <c r="E19" t="inlineStr">
        <is>
          <t>渠道</t>
        </is>
      </c>
      <c r="F19" t="inlineStr">
        <is>
          <t>拓展烟火气餐饮和家宴场景被认为是梅见产品线在场景化上的有效业务。</t>
        </is>
      </c>
      <c r="G19" t="inlineStr">
        <is>
          <t>梅见核心场景：烟火气餐饮（火锅烧烤）+家宴</t>
        </is>
      </c>
      <c r="H19" t="inlineStr">
        <is>
          <t>全系列</t>
        </is>
      </c>
      <c r="I19"/>
      <c r="J19" t="inlineStr">
        <is>
          <t>佐餐</t>
        </is>
      </c>
      <c r="K19" t="inlineStr">
        <is>
          <t>大众餐饮场景渗透</t>
        </is>
      </c>
      <c r="L19" t="inlineStr">
        <is>
          <t>烟火气/家宴</t>
        </is>
      </c>
      <c r="M19"/>
      <c r="N19" t="inlineStr">
        <is>
          <t>是</t>
        </is>
      </c>
      <c r="O19" t="inlineStr">
        <is>
          <t>新闻稿</t>
        </is>
      </c>
      <c r="P19" t="inlineStr">
        <is>
          <t>http://m.toutiao.com/group/7667149402351419946/</t>
        </is>
      </c>
      <c r="Q19" s="5">
        <v>46230</v>
      </c>
      <c r="R19" s="5">
        <v>46245</v>
      </c>
      <c r="S19" t="inlineStr">
        <is>
          <t>当前</t>
        </is>
      </c>
      <c r="T19" t="inlineStr">
        <is>
          <t>中</t>
        </is>
      </c>
      <c r="U19" t="inlineStr">
        <is>
          <t>梅见核心场景：火锅、烧烤、串串等烟火气餐饮，2025年销售额破10亿；来源：今日头条2026-07-27</t>
        </is>
      </c>
    </row>
    <row r="20" ht="25.5" customHeight="1">
      <c r="A20" t="inlineStr">
        <is>
          <t>MJ-EVI-019</t>
        </is>
      </c>
      <c r="B20" t="inlineStr">
        <is>
          <t>梅见</t>
        </is>
      </c>
      <c r="C20" t="inlineStr">
        <is>
          <t>梅见</t>
        </is>
      </c>
      <c r="D20" t="inlineStr">
        <is>
          <t>官方事实</t>
        </is>
      </c>
      <c r="E20" t="inlineStr">
        <is>
          <t>渠道</t>
        </is>
      </c>
      <c r="F20" t="inlineStr">
        <is>
          <t>据二手行业资料，梅见线下覆盖接近200万个终端网点。</t>
        </is>
      </c>
      <c r="G20" t="inlineStr">
        <is>
          <t>二手资料称梅见线下终端覆盖接近200万</t>
        </is>
      </c>
      <c r="H20" t="inlineStr">
        <is>
          <t>全系列</t>
        </is>
      </c>
      <c r="I20"/>
      <c r="J20"/>
      <c r="K20" t="inlineStr">
        <is>
          <t>强渠道壁垒，终端覆盖广</t>
        </is>
      </c>
      <c r="L20"/>
      <c r="M20"/>
      <c r="N20" t="inlineStr">
        <is>
          <t>无法确认</t>
        </is>
      </c>
      <c r="O20" t="inlineStr">
        <is>
          <t>其他</t>
        </is>
      </c>
      <c r="P20" t="inlineStr">
        <is>
          <t>https://post.m.smzdm.com/p/a5rn4053/</t>
        </is>
      </c>
      <c r="Q20" s="5">
        <v>46242</v>
      </c>
      <c r="R20" s="5">
        <v>46245</v>
      </c>
      <c r="S20" t="inlineStr">
        <is>
          <t>待复核</t>
        </is>
      </c>
      <c r="T20" t="inlineStr">
        <is>
          <t>低</t>
        </is>
      </c>
      <c r="U20" t="inlineStr">
        <is>
          <t>近200万终端为二手行业资料转述；“餐饮动销率60%”未获得同页稳定支持，已删除，需官方渠道数据复核</t>
        </is>
      </c>
    </row>
    <row r="21" ht="25.5" customHeight="1">
      <c r="A21" t="inlineStr">
        <is>
          <t>MJ-EVI-020</t>
        </is>
      </c>
      <c r="B21" t="inlineStr">
        <is>
          <t>梅见</t>
        </is>
      </c>
      <c r="C21" t="inlineStr">
        <is>
          <t>梅见</t>
        </is>
      </c>
      <c r="D21" t="inlineStr">
        <is>
          <t>产品表达</t>
        </is>
      </c>
      <c r="E21" t="inlineStr">
        <is>
          <t>产品</t>
        </is>
      </c>
      <c r="F21" t="inlineStr">
        <is>
          <t>微醺胜买醉。</t>
        </is>
      </c>
      <c r="G21" t="inlineStr">
        <is>
          <t>梅见饮酒理念：微醺胜买醉，倡导适度饮酒</t>
        </is>
      </c>
      <c r="H21" t="inlineStr">
        <is>
          <t>品牌</t>
        </is>
      </c>
      <c r="I21" t="inlineStr">
        <is>
          <t>年轻人</t>
        </is>
      </c>
      <c r="J21" t="inlineStr">
        <is>
          <t>独饮</t>
        </is>
      </c>
      <c r="K21" t="inlineStr">
        <is>
          <t>健康饮酒，适度微醺</t>
        </is>
      </c>
      <c r="L21" t="inlineStr">
        <is>
          <t>微醺/适度</t>
        </is>
      </c>
      <c r="M21" t="inlineStr">
        <is>
          <t>微醺胜买醉</t>
        </is>
      </c>
      <c r="N21" t="inlineStr">
        <is>
          <t>部分</t>
        </is>
      </c>
      <c r="O21" t="inlineStr">
        <is>
          <t>新闻稿</t>
        </is>
      </c>
      <c r="P21" t="inlineStr">
        <is>
          <t>http://m.toutiao.com/group/7667149402351419946/</t>
        </is>
      </c>
      <c r="Q21" s="5">
        <v>46230</v>
      </c>
      <c r="R21" s="5">
        <v>46245</v>
      </c>
      <c r="S21" t="inlineStr">
        <is>
          <t>当前</t>
        </is>
      </c>
      <c r="T21" t="inlineStr">
        <is>
          <t>中</t>
        </is>
      </c>
      <c r="U21" t="inlineStr">
        <is>
          <t>梅见高端化和场景化路线，海外进入40个国家，日韩居酒屋和韩式烤肉店已上架；来源：今日头条2026-07-27</t>
        </is>
      </c>
    </row>
    <row r="22" ht="25.5" customHeight="1">
      <c r="A22" t="inlineStr">
        <is>
          <t>RIO-EVI-001</t>
        </is>
      </c>
      <c r="B22" t="inlineStr">
        <is>
          <t>竞品</t>
        </is>
      </c>
      <c r="C22" t="inlineStr">
        <is>
          <t>RIO锐澳</t>
        </is>
      </c>
      <c r="D22" t="inlineStr">
        <is>
          <t>官方事实</t>
        </is>
      </c>
      <c r="E22" t="inlineStr">
        <is>
          <t>产品</t>
        </is>
      </c>
      <c r="F22" t="inlineStr">
        <is>
          <t>RIO微醺系列，3度，268ml小罐装，多种果味。</t>
        </is>
      </c>
      <c r="G22" t="inlineStr">
        <is>
          <t>RIO微醺系列：3度低酒精度，268ml小罐，多果味（白桃、葡萄、乳酸菌等）</t>
        </is>
      </c>
      <c r="H22" t="inlineStr">
        <is>
          <t>RIO微醺系列</t>
        </is>
      </c>
      <c r="I22" t="inlineStr">
        <is>
          <t>年轻女性</t>
        </is>
      </c>
      <c r="J22" t="inlineStr">
        <is>
          <t>独饮</t>
        </is>
      </c>
      <c r="K22" t="inlineStr">
        <is>
          <t>低度数，果味丰富，一个人的小酒</t>
        </is>
      </c>
      <c r="L22"/>
      <c r="M22"/>
      <c r="N22" t="inlineStr">
        <is>
          <t>是</t>
        </is>
      </c>
      <c r="O22" t="inlineStr">
        <is>
          <t>官网</t>
        </is>
      </c>
      <c r="P22" t="inlineStr">
        <is>
          <t>https://www.rioalc.com/products.html</t>
        </is>
      </c>
      <c r="Q22" s="5"/>
      <c r="R22" s="5">
        <v>46245</v>
      </c>
      <c r="S22" t="inlineStr">
        <is>
          <t>当前</t>
        </is>
      </c>
      <c r="T22" t="inlineStr">
        <is>
          <t>高</t>
        </is>
      </c>
      <c r="U22" t="inlineStr">
        <is>
          <t>RIO微醺3度，'一个人的独处时刻'，陪伴年轻人在家独处；来源：官网常设页，无公开发布日期，2026-08-11核验</t>
        </is>
      </c>
    </row>
    <row r="23" ht="25.5" customHeight="1">
      <c r="A23" t="inlineStr">
        <is>
          <t>RIO-EVI-002</t>
        </is>
      </c>
      <c r="B23" t="inlineStr">
        <is>
          <t>竞品</t>
        </is>
      </c>
      <c r="C23" t="inlineStr">
        <is>
          <t>RIO锐澳</t>
        </is>
      </c>
      <c r="D23" t="inlineStr">
        <is>
          <t>官方事实</t>
        </is>
      </c>
      <c r="E23" t="inlineStr">
        <is>
          <t>产品</t>
        </is>
      </c>
      <c r="F23" t="inlineStr">
        <is>
          <t>RIO强爽系列，8度，高度数预调鸡尾酒。</t>
        </is>
      </c>
      <c r="G23" t="inlineStr">
        <is>
          <t>RIO强爽系列：8度高酒精度，主打强爽感，适合追求酒感的人群</t>
        </is>
      </c>
      <c r="H23" t="inlineStr">
        <is>
          <t>RIO强爽系列</t>
        </is>
      </c>
      <c r="I23" t="inlineStr">
        <is>
          <t>年轻男性/追求酒感人群</t>
        </is>
      </c>
      <c r="J23" t="inlineStr">
        <is>
          <t>小聚</t>
        </is>
      </c>
      <c r="K23" t="inlineStr">
        <is>
          <t>高度数，强爽，有酒感</t>
        </is>
      </c>
      <c r="L23"/>
      <c r="M23"/>
      <c r="N23" t="inlineStr">
        <is>
          <t>是</t>
        </is>
      </c>
      <c r="O23" t="inlineStr">
        <is>
          <t>官网</t>
        </is>
      </c>
      <c r="P23" t="inlineStr">
        <is>
          <t>https://www.rioalc.com/products.html</t>
        </is>
      </c>
      <c r="Q23" s="5"/>
      <c r="R23" s="5">
        <v>46245</v>
      </c>
      <c r="S23" t="inlineStr">
        <is>
          <t>当前</t>
        </is>
      </c>
      <c r="T23" t="inlineStr">
        <is>
          <t>高</t>
        </is>
      </c>
      <c r="U23" t="inlineStr">
        <is>
          <t>RIO强爽8度，'年轻人的聚会狂欢'，8度快速来感一罐到位；来源：官网常设页，无公开发布日期，2026-08-11核验</t>
        </is>
      </c>
    </row>
    <row r="24" ht="25.5" customHeight="1">
      <c r="A24" t="inlineStr">
        <is>
          <t>RIO-EVI-003</t>
        </is>
      </c>
      <c r="B24" t="inlineStr">
        <is>
          <t>竞品</t>
        </is>
      </c>
      <c r="C24" t="inlineStr">
        <is>
          <t>RIO锐澳</t>
        </is>
      </c>
      <c r="D24" t="inlineStr">
        <is>
          <t>官方事实</t>
        </is>
      </c>
      <c r="E24" t="inlineStr">
        <is>
          <t>产品</t>
        </is>
      </c>
      <c r="F24" t="inlineStr">
        <is>
          <t>RIO经典系列为4.2%～4.5%vol，瓶装/罐装，多种口味。</t>
        </is>
      </c>
      <c r="G24" t="inlineStr">
        <is>
          <t>RIO经典系列：4.2%～4.5%vol，预调鸡尾酒，主打派对欢聚场景</t>
        </is>
      </c>
      <c r="H24" t="inlineStr">
        <is>
          <t>RIO经典系列</t>
        </is>
      </c>
      <c r="I24" t="inlineStr">
        <is>
          <t>年轻人</t>
        </is>
      </c>
      <c r="J24" t="inlineStr">
        <is>
          <t>小聚</t>
        </is>
      </c>
      <c r="K24" t="inlineStr">
        <is>
          <t>经典口味，聚会必备</t>
        </is>
      </c>
      <c r="L24"/>
      <c r="M24"/>
      <c r="N24" t="inlineStr">
        <is>
          <t>是</t>
        </is>
      </c>
      <c r="O24" t="inlineStr">
        <is>
          <t>官网</t>
        </is>
      </c>
      <c r="P24" t="inlineStr">
        <is>
          <t>https://www.rioalc.com/products.html</t>
        </is>
      </c>
      <c r="Q24" s="5"/>
      <c r="R24" s="5">
        <v>46245</v>
      </c>
      <c r="S24" t="inlineStr">
        <is>
          <t>当前</t>
        </is>
      </c>
      <c r="T24" t="inlineStr">
        <is>
          <t>高</t>
        </is>
      </c>
      <c r="U24" t="inlineStr">
        <is>
          <t>RIO经典系列4.2%～4.5%vol，定位年轻人的派对潮饮；来源：RIO官网常设页，无公开发布日期，2026-08-11核验</t>
        </is>
      </c>
    </row>
    <row r="25" ht="25.5" customHeight="1">
      <c r="A25" t="inlineStr">
        <is>
          <t>RIO-EVI-004</t>
        </is>
      </c>
      <c r="B25" t="inlineStr">
        <is>
          <t>竞品</t>
        </is>
      </c>
      <c r="C25" t="inlineStr">
        <is>
          <t>RIO锐澳</t>
        </is>
      </c>
      <c r="D25" t="inlineStr">
        <is>
          <t>官方事实</t>
        </is>
      </c>
      <c r="E25" t="inlineStr">
        <is>
          <t>产品</t>
        </is>
      </c>
      <c r="F25" t="inlineStr">
        <is>
          <t>RIO产品线包括微醺3%vol、清爽5%vol、强爽8%vol、经典4.2%～4.5%vol及轻享12%vol。</t>
        </is>
      </c>
      <c r="G25" t="inlineStr">
        <is>
          <t>RIO形成3%、5%、8%、12%及经典4.2%～4.5%的多梯度产品矩阵</t>
        </is>
      </c>
      <c r="H25" t="inlineStr">
        <is>
          <t>全系列</t>
        </is>
      </c>
      <c r="I25" t="inlineStr">
        <is>
          <t>全年龄段年轻人</t>
        </is>
      </c>
      <c r="J25"/>
      <c r="K25" t="inlineStr">
        <is>
          <t>全酒精度覆盖，满足不同场景需求</t>
        </is>
      </c>
      <c r="L25"/>
      <c r="M25"/>
      <c r="N25" t="inlineStr">
        <is>
          <t>是</t>
        </is>
      </c>
      <c r="O25" t="inlineStr">
        <is>
          <t>其他</t>
        </is>
      </c>
      <c r="P25" t="inlineStr">
        <is>
          <t>https://www.rioalc.com/products.html</t>
        </is>
      </c>
      <c r="Q25" s="5"/>
      <c r="R25" s="5">
        <v>46245</v>
      </c>
      <c r="S25" t="inlineStr">
        <is>
          <t>当前</t>
        </is>
      </c>
      <c r="T25" t="inlineStr">
        <is>
          <t>高</t>
        </is>
      </c>
      <c r="U25" t="inlineStr">
        <is>
          <t>RIO官网产品页列明微醺3%、清爽5%、强爽8%、经典4.2%～4.5%、轻享12%；常设页无公开发布日期，2026-08-11核验</t>
        </is>
      </c>
    </row>
    <row r="26" ht="25.5" customHeight="1">
      <c r="A26" t="inlineStr">
        <is>
          <t>RIO-EVI-005</t>
        </is>
      </c>
      <c r="B26" t="inlineStr">
        <is>
          <t>竞品</t>
        </is>
      </c>
      <c r="C26" t="inlineStr">
        <is>
          <t>RIO锐澳</t>
        </is>
      </c>
      <c r="D26" t="inlineStr">
        <is>
          <t>官方主张</t>
        </is>
      </c>
      <c r="E26" t="inlineStr">
        <is>
          <t>品牌</t>
        </is>
      </c>
      <c r="F26" t="inlineStr">
        <is>
          <t>一个人的小酒。</t>
        </is>
      </c>
      <c r="G26" t="inlineStr">
        <is>
          <t>RIO微醺品牌主张：'一个人的小酒'，主打独饮场景</t>
        </is>
      </c>
      <c r="H26" t="inlineStr">
        <is>
          <t>RIO微醺系列</t>
        </is>
      </c>
      <c r="I26" t="inlineStr">
        <is>
          <t>独居年轻人/年轻女性</t>
        </is>
      </c>
      <c r="J26" t="inlineStr">
        <is>
          <t>独饮</t>
        </is>
      </c>
      <c r="K26" t="inlineStr">
        <is>
          <t>独处放松，一个人的微醺时刻</t>
        </is>
      </c>
      <c r="L26" t="inlineStr">
        <is>
          <t>一个人/独处</t>
        </is>
      </c>
      <c r="M26" t="inlineStr">
        <is>
          <t>一个人的小酒</t>
        </is>
      </c>
      <c r="N26" t="inlineStr">
        <is>
          <t>是</t>
        </is>
      </c>
      <c r="O26" t="inlineStr">
        <is>
          <t>经营资料</t>
        </is>
      </c>
      <c r="P26" t="inlineStr">
        <is>
          <t>https://basic.10jqka.com.cn/002568/operate.html</t>
        </is>
      </c>
      <c r="Q26" s="5"/>
      <c r="R26" s="5">
        <v>46245</v>
      </c>
      <c r="S26" t="inlineStr">
        <is>
          <t>当前</t>
        </is>
      </c>
      <c r="T26" t="inlineStr">
        <is>
          <t>中</t>
        </is>
      </c>
      <c r="U26" t="inlineStr">
        <is>
          <t>RIO微醺'一个人的小酒'品牌资产，'晚9点微醺中'核心场景，综艺《折腰》《藏海传》植入；来源：同花顺百润股份经营分析页，动态汇总页无固定发布日期，2026-08-11核验</t>
        </is>
      </c>
    </row>
    <row r="27" ht="25.5" customHeight="1">
      <c r="A27" t="inlineStr">
        <is>
          <t>RIO-EVI-006</t>
        </is>
      </c>
      <c r="B27" t="inlineStr">
        <is>
          <t>竞品</t>
        </is>
      </c>
      <c r="C27" t="inlineStr">
        <is>
          <t>RIO锐澳</t>
        </is>
      </c>
      <c r="D27" t="inlineStr">
        <is>
          <t>官方主张</t>
        </is>
      </c>
      <c r="E27" t="inlineStr">
        <is>
          <t>品牌</t>
        </is>
      </c>
      <c r="F27" t="inlineStr">
        <is>
          <t>微醺。</t>
        </is>
      </c>
      <c r="G27" t="inlineStr">
        <is>
          <t>RIO核心品牌概念：'微醺'，定义低度酒饮用状态</t>
        </is>
      </c>
      <c r="H27" t="inlineStr">
        <is>
          <t>品牌</t>
        </is>
      </c>
      <c r="I27" t="inlineStr">
        <is>
          <t>年轻人</t>
        </is>
      </c>
      <c r="J27" t="inlineStr">
        <is>
          <t>独饮</t>
        </is>
      </c>
      <c r="K27" t="inlineStr">
        <is>
          <t>轻松微醺，无压力饮酒</t>
        </is>
      </c>
      <c r="L27" t="inlineStr">
        <is>
          <t>微醺</t>
        </is>
      </c>
      <c r="M27" t="inlineStr">
        <is>
          <t>微醺</t>
        </is>
      </c>
      <c r="N27" t="inlineStr">
        <is>
          <t>是</t>
        </is>
      </c>
      <c r="O27" t="inlineStr">
        <is>
          <t>新闻稿</t>
        </is>
      </c>
      <c r="P27" t="inlineStr">
        <is>
          <t>https://cbgc.scol.com.cn/news/7830411</t>
        </is>
      </c>
      <c r="Q27" s="5">
        <v>46241</v>
      </c>
      <c r="R27" s="5">
        <v>46245</v>
      </c>
      <c r="S27" t="inlineStr">
        <is>
          <t>当前</t>
        </is>
      </c>
      <c r="T27" t="inlineStr">
        <is>
          <t>高</t>
        </is>
      </c>
      <c r="U27" t="inlineStr">
        <is>
          <t>RIO核心概念'微醺'，预调鸡尾酒龙头，2026上半年营收16.58亿同比增11.34%；来源：川观新闻2026-08-07</t>
        </is>
      </c>
    </row>
    <row r="28" ht="25.5" customHeight="1">
      <c r="A28" t="inlineStr">
        <is>
          <t>RIO-EVI-007</t>
        </is>
      </c>
      <c r="B28" t="inlineStr">
        <is>
          <t>竞品</t>
        </is>
      </c>
      <c r="C28" t="inlineStr">
        <is>
          <t>RIO锐澳</t>
        </is>
      </c>
      <c r="D28" t="inlineStr">
        <is>
          <t>官方主张</t>
        </is>
      </c>
      <c r="E28" t="inlineStr">
        <is>
          <t>品牌</t>
        </is>
      </c>
      <c r="F28" t="inlineStr">
        <is>
          <t>RIO锐澳鸡尾酒，年轻人的选择。</t>
        </is>
      </c>
      <c r="G28" t="inlineStr">
        <is>
          <t>RIO品牌定位：年轻人的预调鸡尾酒，轻松自在的饮酒体验</t>
        </is>
      </c>
      <c r="H28" t="inlineStr">
        <is>
          <t>品牌</t>
        </is>
      </c>
      <c r="I28" t="inlineStr">
        <is>
          <t>18-30岁年轻人</t>
        </is>
      </c>
      <c r="J28"/>
      <c r="K28" t="inlineStr">
        <is>
          <t>年轻化，时尚，轻松</t>
        </is>
      </c>
      <c r="L28" t="inlineStr">
        <is>
          <t>年轻/时尚</t>
        </is>
      </c>
      <c r="M28"/>
      <c r="N28" t="inlineStr">
        <is>
          <t>是</t>
        </is>
      </c>
      <c r="O28" t="inlineStr">
        <is>
          <t>官网</t>
        </is>
      </c>
      <c r="P28" t="inlineStr">
        <is>
          <t>https://www.bairun.net/RIO.html</t>
        </is>
      </c>
      <c r="Q28" s="5"/>
      <c r="R28" s="5">
        <v>46245</v>
      </c>
      <c r="S28" t="inlineStr">
        <is>
          <t>当前</t>
        </is>
      </c>
      <c r="T28" t="inlineStr">
        <is>
          <t>高</t>
        </is>
      </c>
      <c r="U28" t="inlineStr">
        <is>
          <t>RIO品牌定位：预调鸡尾酒品类开创者与领军者，业务覆盖全国1600个城市；来源：官网常设页，无公开发布日期，2026-08-11核验</t>
        </is>
      </c>
    </row>
    <row r="29" ht="25.5" customHeight="1">
      <c r="A29" t="inlineStr">
        <is>
          <t>RIO-EVI-008</t>
        </is>
      </c>
      <c r="B29" t="inlineStr">
        <is>
          <t>竞品</t>
        </is>
      </c>
      <c r="C29" t="inlineStr">
        <is>
          <t>RIO锐澳</t>
        </is>
      </c>
      <c r="D29" t="inlineStr">
        <is>
          <t>官方主张</t>
        </is>
      </c>
      <c r="E29" t="inlineStr">
        <is>
          <t>产品</t>
        </is>
      </c>
      <c r="F29" t="inlineStr">
        <is>
          <t>低度数、果味丰富、入口友好。</t>
        </is>
      </c>
      <c r="G29" t="inlineStr">
        <is>
          <t>RIO产品价值主张：低度数+果味丰富+入口友好，降低饮酒门槛</t>
        </is>
      </c>
      <c r="H29" t="inlineStr">
        <is>
          <t>微醺/经典系列</t>
        </is>
      </c>
      <c r="I29" t="inlineStr">
        <is>
          <t>不常喝酒的年轻人</t>
        </is>
      </c>
      <c r="J29"/>
      <c r="K29" t="inlineStr">
        <is>
          <t>易饮，果味，无压力</t>
        </is>
      </c>
      <c r="L29" t="inlineStr">
        <is>
          <t>易饮/果味</t>
        </is>
      </c>
      <c r="M29"/>
      <c r="N29" t="inlineStr">
        <is>
          <t>是</t>
        </is>
      </c>
      <c r="O29" t="inlineStr">
        <is>
          <t>其他</t>
        </is>
      </c>
      <c r="P29" t="inlineStr">
        <is>
          <t>https://post.m.smzdm.com/p/a26z23md/</t>
        </is>
      </c>
      <c r="Q29" s="5">
        <v>46244</v>
      </c>
      <c r="R29" s="5">
        <v>46245</v>
      </c>
      <c r="S29" t="inlineStr">
        <is>
          <t>当前</t>
        </is>
      </c>
      <c r="T29" t="inlineStr">
        <is>
          <t>中</t>
        </is>
      </c>
      <c r="U29" t="inlineStr">
        <is>
          <t>RIO产品价值：低度数+果味丰富+入口友好，强爽贡献近半收入；来源：什么值得买2026-08-10</t>
        </is>
      </c>
    </row>
    <row r="30" ht="25.5" customHeight="1">
      <c r="A30" t="inlineStr">
        <is>
          <t>RIO-EVI-009</t>
        </is>
      </c>
      <c r="B30" t="inlineStr">
        <is>
          <t>竞品</t>
        </is>
      </c>
      <c r="C30" t="inlineStr">
        <is>
          <t>RIO锐澳</t>
        </is>
      </c>
      <c r="D30" t="inlineStr">
        <is>
          <t>营销活动</t>
        </is>
      </c>
      <c r="E30" t="inlineStr">
        <is>
          <t>场景</t>
        </is>
      </c>
      <c r="F30" t="inlineStr">
        <is>
          <t>宅家追剧、一个人放松时的小酒。</t>
        </is>
      </c>
      <c r="G30" t="inlineStr">
        <is>
          <t>RIO微醺核心场景：宅家追剧、独处放松、睡前小酌</t>
        </is>
      </c>
      <c r="H30" t="inlineStr">
        <is>
          <t>微醺系列</t>
        </is>
      </c>
      <c r="I30" t="inlineStr">
        <is>
          <t>独居年轻人</t>
        </is>
      </c>
      <c r="J30" t="inlineStr">
        <is>
          <t>独饮</t>
        </is>
      </c>
      <c r="K30" t="inlineStr">
        <is>
          <t>居家放松，陪伴感</t>
        </is>
      </c>
      <c r="L30" t="inlineStr">
        <is>
          <t>居家/追剧</t>
        </is>
      </c>
      <c r="M30"/>
      <c r="N30" t="inlineStr">
        <is>
          <t>是</t>
        </is>
      </c>
      <c r="O30" t="inlineStr">
        <is>
          <t>经营资料</t>
        </is>
      </c>
      <c r="P30" t="inlineStr">
        <is>
          <t>https://basic.10jqka.com.cn/002568/operate.html</t>
        </is>
      </c>
      <c r="Q30" s="5"/>
      <c r="R30" s="5">
        <v>46245</v>
      </c>
      <c r="S30" t="inlineStr">
        <is>
          <t>当前</t>
        </is>
      </c>
      <c r="T30" t="inlineStr">
        <is>
          <t>中</t>
        </is>
      </c>
      <c r="U30" t="inlineStr">
        <is>
          <t>RIO微醺核心场景：宅家追剧、独处放松、睡前小酌，'晚9点微醺中'；来源：同花顺百润股份经营分析页，动态汇总页无固定发布日期，2026-08-11核验</t>
        </is>
      </c>
    </row>
    <row r="31" ht="25.5" customHeight="1">
      <c r="A31" t="inlineStr">
        <is>
          <t>RIO-EVI-010</t>
        </is>
      </c>
      <c r="B31" t="inlineStr">
        <is>
          <t>竞品</t>
        </is>
      </c>
      <c r="C31" t="inlineStr">
        <is>
          <t>RIO锐澳</t>
        </is>
      </c>
      <c r="D31" t="inlineStr">
        <is>
          <t>产品表达</t>
        </is>
      </c>
      <c r="E31" t="inlineStr">
        <is>
          <t>内容</t>
        </is>
      </c>
      <c r="F31" t="inlineStr">
        <is>
          <t>持续推出新口味，白桃、葡萄、乳酸菌、百香果等多种果味。</t>
        </is>
      </c>
      <c r="G31" t="inlineStr">
        <is>
          <t>RIO产品策略：高频推新，多果味创新，保持品牌新鲜感</t>
        </is>
      </c>
      <c r="H31" t="inlineStr">
        <is>
          <t>全系列</t>
        </is>
      </c>
      <c r="I31" t="inlineStr">
        <is>
          <t>喜欢尝鲜的年轻人</t>
        </is>
      </c>
      <c r="J31"/>
      <c r="K31" t="inlineStr">
        <is>
          <t>口味丰富，持续创新</t>
        </is>
      </c>
      <c r="L31" t="inlineStr">
        <is>
          <t>新口味/尝鲜</t>
        </is>
      </c>
      <c r="M31"/>
      <c r="N31" t="inlineStr">
        <is>
          <t>是</t>
        </is>
      </c>
      <c r="O31" t="inlineStr">
        <is>
          <t>其他</t>
        </is>
      </c>
      <c r="P31" t="inlineStr">
        <is>
          <t>https://post.m.smzdm.com/p/ak8427l4/</t>
        </is>
      </c>
      <c r="Q31" s="5">
        <v>46233</v>
      </c>
      <c r="R31" s="5">
        <v>46245</v>
      </c>
      <c r="S31" t="inlineStr">
        <is>
          <t>当前</t>
        </is>
      </c>
      <c r="T31" t="inlineStr">
        <is>
          <t>中</t>
        </is>
      </c>
      <c r="U31" t="inlineStr">
        <is>
          <t>RIO高频推新，2026年推12度花果香小酒，产品向上延伸；来源：什么值得买2026-07-30</t>
        </is>
      </c>
    </row>
    <row r="32" ht="25.5" customHeight="1">
      <c r="A32" t="inlineStr">
        <is>
          <t>RIO-EVI-011</t>
        </is>
      </c>
      <c r="B32" t="inlineStr">
        <is>
          <t>竞品</t>
        </is>
      </c>
      <c r="C32" t="inlineStr">
        <is>
          <t>RIO锐澳</t>
        </is>
      </c>
      <c r="D32" t="inlineStr">
        <is>
          <t>营销活动</t>
        </is>
      </c>
      <c r="E32" t="inlineStr">
        <is>
          <t>内容</t>
        </is>
      </c>
      <c r="F32" t="inlineStr">
        <is>
          <t>综艺赞助、明星代言、年轻化营销。</t>
        </is>
      </c>
      <c r="G32" t="inlineStr">
        <is>
          <t>RIO营销方式：综艺冠名+明星代言+社交媒体种草，强曝光</t>
        </is>
      </c>
      <c r="H32" t="inlineStr">
        <is>
          <t>品牌</t>
        </is>
      </c>
      <c r="I32" t="inlineStr">
        <is>
          <t>年轻人</t>
        </is>
      </c>
      <c r="J32"/>
      <c r="K32" t="inlineStr">
        <is>
          <t>品牌知名度高，年轻化形象</t>
        </is>
      </c>
      <c r="L32" t="inlineStr">
        <is>
          <t>明星/综艺</t>
        </is>
      </c>
      <c r="M32"/>
      <c r="N32" t="inlineStr">
        <is>
          <t>部分</t>
        </is>
      </c>
      <c r="O32" t="inlineStr">
        <is>
          <t>经营资料</t>
        </is>
      </c>
      <c r="P32" t="inlineStr">
        <is>
          <t>https://basic.10jqka.com.cn/002568/operate.html</t>
        </is>
      </c>
      <c r="Q32" s="5"/>
      <c r="R32" s="5">
        <v>46245</v>
      </c>
      <c r="S32" t="inlineStr">
        <is>
          <t>当前</t>
        </is>
      </c>
      <c r="T32" t="inlineStr">
        <is>
          <t>中</t>
        </is>
      </c>
      <c r="U32" t="inlineStr">
        <is>
          <t>RIO营销：微醺系列聚焦中国新年/夏日日常主题，综艺冠名+影视植入+内容营销；来源：同花顺百润股份经营分析页，动态汇总页无固定发布日期，2026-08-11核验</t>
        </is>
      </c>
    </row>
    <row r="33" ht="25.5" customHeight="1">
      <c r="A33" t="inlineStr">
        <is>
          <t>RIO-EVI-012</t>
        </is>
      </c>
      <c r="B33" t="inlineStr">
        <is>
          <t>竞品</t>
        </is>
      </c>
      <c r="C33" t="inlineStr">
        <is>
          <t>RIO锐澳</t>
        </is>
      </c>
      <c r="D33" t="inlineStr">
        <is>
          <t>产品表达</t>
        </is>
      </c>
      <c r="E33" t="inlineStr">
        <is>
          <t>场景</t>
        </is>
      </c>
      <c r="F33" t="inlineStr">
        <is>
          <t>开罐即饮，方便快捷。</t>
        </is>
      </c>
      <c r="G33" t="inlineStr">
        <is>
          <t>RIO产品形态：罐装即饮，无需调配，随时随地饮用</t>
        </is>
      </c>
      <c r="H33" t="inlineStr">
        <is>
          <t>微醺/强爽系列</t>
        </is>
      </c>
      <c r="I33"/>
      <c r="J33" t="inlineStr">
        <is>
          <t>独饮</t>
        </is>
      </c>
      <c r="K33" t="inlineStr">
        <is>
          <t>便捷，即饮，无门槛</t>
        </is>
      </c>
      <c r="L33" t="inlineStr">
        <is>
          <t>便捷/即饮</t>
        </is>
      </c>
      <c r="M33"/>
      <c r="N33" t="inlineStr">
        <is>
          <t>是</t>
        </is>
      </c>
      <c r="O33" t="inlineStr">
        <is>
          <t>官网</t>
        </is>
      </c>
      <c r="P33" t="inlineStr">
        <is>
          <t>https://www.bairun.net/RIO.html</t>
        </is>
      </c>
      <c r="Q33" s="5"/>
      <c r="R33" s="5">
        <v>46245</v>
      </c>
      <c r="S33" t="inlineStr">
        <is>
          <t>当前</t>
        </is>
      </c>
      <c r="T33" t="inlineStr">
        <is>
          <t>高</t>
        </is>
      </c>
      <c r="U33" t="inlineStr">
        <is>
          <t>RIO罐装即饮，规格250mL至500mL易拉罐装和玻璃瓶装，无需调配；来源：官网常设页，无公开发布日期，2026-08-11核验</t>
        </is>
      </c>
    </row>
    <row r="34" ht="25.5" customHeight="1">
      <c r="A34" t="inlineStr">
        <is>
          <t>CHOYA-EVI-001</t>
        </is>
      </c>
      <c r="B34" t="inlineStr">
        <is>
          <t>竞品</t>
        </is>
      </c>
      <c r="C34" t="inlineStr">
        <is>
          <t>CHOYA俏雅</t>
        </is>
      </c>
      <c r="D34" t="inlineStr">
        <is>
          <t>官方事实</t>
        </is>
      </c>
      <c r="E34" t="inlineStr">
        <is>
          <t>产品</t>
        </is>
      </c>
      <c r="F34" t="inlineStr">
        <is>
          <t>CHOYA本格梅酒，使用真实梅子浸泡，日本传统工艺。</t>
        </is>
      </c>
      <c r="G34" t="inlineStr">
        <is>
          <t>CHOYA本格梅酒：日本传统工艺，真实梅子浸泡，酒精度12-14度</t>
        </is>
      </c>
      <c r="H34" t="inlineStr">
        <is>
          <t>本格梅酒系列</t>
        </is>
      </c>
      <c r="I34"/>
      <c r="J34" t="inlineStr">
        <is>
          <t>佐餐</t>
        </is>
      </c>
      <c r="K34" t="inlineStr">
        <is>
          <t>正宗梅酒风味，传统工艺</t>
        </is>
      </c>
      <c r="L34"/>
      <c r="M34"/>
      <c r="N34" t="inlineStr">
        <is>
          <t>是</t>
        </is>
      </c>
      <c r="O34" t="inlineStr">
        <is>
          <t>电商详情页</t>
        </is>
      </c>
      <c r="P34" t="inlineStr">
        <is>
          <t>https://www.jd.com/chanpin/3279354.html</t>
        </is>
      </c>
      <c r="Q34" s="5"/>
      <c r="R34" s="5">
        <v>46245</v>
      </c>
      <c r="S34" t="inlineStr">
        <is>
          <t>当前</t>
        </is>
      </c>
      <c r="T34" t="inlineStr">
        <is>
          <t>中</t>
        </is>
      </c>
      <c r="U34" t="inlineStr">
        <is>
          <t>CHOYA本格梅酒，日本原装酿造，带梅子本格梅酒14度；该页面无公开发布日期，2026-08-11核验</t>
        </is>
      </c>
    </row>
    <row r="35" ht="25.5" customHeight="1">
      <c r="A35" t="inlineStr">
        <is>
          <t>CHOYA-EVI-002</t>
        </is>
      </c>
      <c r="B35" t="inlineStr">
        <is>
          <t>竞品</t>
        </is>
      </c>
      <c r="C35" t="inlineStr">
        <is>
          <t>CHOYA俏雅</t>
        </is>
      </c>
      <c r="D35" t="inlineStr">
        <is>
          <t>官方事实</t>
        </is>
      </c>
      <c r="E35" t="inlineStr">
        <is>
          <t>产品</t>
        </is>
      </c>
      <c r="F35" t="inlineStr">
        <is>
          <t>The CHOYA AGED 3 YEARS EXTRA FRUIT经3年以上熟成，700ml、15%vol，并在SFWSC 2026获得最高金奖，连续3年获该奖。</t>
        </is>
      </c>
      <c r="G35" t="inlineStr">
        <is>
          <t>CHOYA三年熟梅酒：3年以上熟成、700ml、15%vol，连续3年获SFWSC最高金奖</t>
        </is>
      </c>
      <c r="H35" t="inlineStr">
        <is>
          <t>The CHOYA AGED 3 YEARS EXTRA FRUIT</t>
        </is>
      </c>
      <c r="I35"/>
      <c r="J35" t="inlineStr">
        <is>
          <t>其他</t>
        </is>
      </c>
      <c r="K35" t="inlineStr">
        <is>
          <t>长时间熟成与国际奖项背书</t>
        </is>
      </c>
      <c r="L35" t="inlineStr">
        <is>
          <t>3年熟成/SFWSC</t>
        </is>
      </c>
      <c r="M35"/>
      <c r="N35" t="inlineStr">
        <is>
          <t>是</t>
        </is>
      </c>
      <c r="O35" t="inlineStr">
        <is>
          <t>官网</t>
        </is>
      </c>
      <c r="P35" t="inlineStr">
        <is>
          <t>https://www.choya.co.jp/news/8159/</t>
        </is>
      </c>
      <c r="Q35" s="5">
        <v>46185</v>
      </c>
      <c r="R35" s="5">
        <v>46245</v>
      </c>
      <c r="S35" t="inlineStr">
        <is>
          <t>当前</t>
        </is>
      </c>
      <c r="T35" t="inlineStr">
        <is>
          <t>高</t>
        </is>
      </c>
      <c r="U35" t="inlineStr">
        <is>
          <t>CHOYA AGED 3 YEARS EXTRA FRUIT经3年以上熟成，2026年SFWSC最高金奖且连续3年获奖；来源：CHOYA官网，2026-06-12</t>
        </is>
      </c>
    </row>
    <row r="36" ht="25.5" customHeight="1">
      <c r="A36" t="inlineStr">
        <is>
          <t>CHOYA-EVI-003</t>
        </is>
      </c>
      <c r="B36" t="inlineStr">
        <is>
          <t>竞品</t>
        </is>
      </c>
      <c r="C36" t="inlineStr">
        <is>
          <t>CHOYA俏雅</t>
        </is>
      </c>
      <c r="D36" t="inlineStr">
        <is>
          <t>官方事实</t>
        </is>
      </c>
      <c r="E36" t="inlineStr">
        <is>
          <t>产品</t>
        </is>
      </c>
      <c r="F36" t="inlineStr">
        <is>
          <t>日本品牌，百年梅酒酿造历史。</t>
        </is>
      </c>
      <c r="G36" t="inlineStr">
        <is>
          <t>CHOYA品牌历史：日本百年梅酒品牌，专业梅酒酿造</t>
        </is>
      </c>
      <c r="H36" t="inlineStr">
        <is>
          <t>品牌</t>
        </is>
      </c>
      <c r="I36"/>
      <c r="J36"/>
      <c r="K36" t="inlineStr">
        <is>
          <t>历史悠久，专业梅酒品牌</t>
        </is>
      </c>
      <c r="L36"/>
      <c r="M36"/>
      <c r="N36" t="inlineStr">
        <is>
          <t>是</t>
        </is>
      </c>
      <c r="O36" t="inlineStr">
        <is>
          <t>其他</t>
        </is>
      </c>
      <c r="P36" t="inlineStr">
        <is>
          <t>https://www.cnpp.cn/pinpai/43581.html</t>
        </is>
      </c>
      <c r="Q36" s="5"/>
      <c r="R36" s="5">
        <v>46245</v>
      </c>
      <c r="S36" t="inlineStr">
        <is>
          <t>当前</t>
        </is>
      </c>
      <c r="T36" t="inlineStr">
        <is>
          <t>中</t>
        </is>
      </c>
      <c r="U36" t="inlineStr">
        <is>
          <t>CHOYA日本百年梅酒品牌，1914年成立，发源地日本大阪；该页面无公开发布日期，2026-08-11核验</t>
        </is>
      </c>
    </row>
    <row r="37" ht="25.5" customHeight="1">
      <c r="A37" t="inlineStr">
        <is>
          <t>CHOYA-EVI-004</t>
        </is>
      </c>
      <c r="B37" t="inlineStr">
        <is>
          <t>竞品</t>
        </is>
      </c>
      <c r="C37" t="inlineStr">
        <is>
          <t>CHOYA俏雅</t>
        </is>
      </c>
      <c r="D37" t="inlineStr">
        <is>
          <t>官方事实</t>
        </is>
      </c>
      <c r="E37" t="inlineStr">
        <is>
          <t>产品</t>
        </is>
      </c>
      <c r="F37" t="inlineStr">
        <is>
          <t>本格梅酒必须使用梅子、糖、酒类为原料，不允许食用香精、酸味料等添加物。</t>
        </is>
      </c>
      <c r="G37" t="inlineStr">
        <is>
          <t>CHOYA本格梅酒标准：纯原料（梅子+糖+酒），无香精、无酸味料添加</t>
        </is>
      </c>
      <c r="H37" t="inlineStr">
        <is>
          <t>本格梅酒系列</t>
        </is>
      </c>
      <c r="I37"/>
      <c r="J37"/>
      <c r="K37" t="inlineStr">
        <is>
          <t>纯净原料，无添加</t>
        </is>
      </c>
      <c r="L37"/>
      <c r="M37"/>
      <c r="N37" t="inlineStr">
        <is>
          <t>是</t>
        </is>
      </c>
      <c r="O37" t="inlineStr">
        <is>
          <t>官网</t>
        </is>
      </c>
      <c r="P37" t="inlineStr">
        <is>
          <t>https://www.choya.co.jp/philosophy/honkaku/</t>
        </is>
      </c>
      <c r="Q37" s="5"/>
      <c r="R37" s="5">
        <v>46245</v>
      </c>
      <c r="S37" t="inlineStr">
        <is>
          <t>当前</t>
        </is>
      </c>
      <c r="T37" t="inlineStr">
        <is>
          <t>高</t>
        </is>
      </c>
      <c r="U37" t="inlineStr">
        <is>
          <t>CHOYA官方说明：仅使用梅、糖类、酒类且不使用酸味料、着色料、香料的梅酒可标示为本格梅酒；常设页无公开发布日期，2026-08-11核验</t>
        </is>
      </c>
    </row>
    <row r="38" ht="25.5" customHeight="1">
      <c r="A38" t="inlineStr">
        <is>
          <t>CHOYA-EVI-005</t>
        </is>
      </c>
      <c r="B38" t="inlineStr">
        <is>
          <t>竞品</t>
        </is>
      </c>
      <c r="C38" t="inlineStr">
        <is>
          <t>CHOYA俏雅</t>
        </is>
      </c>
      <c r="D38" t="inlineStr">
        <is>
          <t>官方主张</t>
        </is>
      </c>
      <c r="E38" t="inlineStr">
        <is>
          <t>品牌</t>
        </is>
      </c>
      <c r="F38" t="inlineStr">
        <is>
          <t>日本本格梅酒代表。</t>
        </is>
      </c>
      <c r="G38" t="inlineStr">
        <is>
          <t>CHOYA品牌定位：日本本格梅酒代表，专业梅酒品牌</t>
        </is>
      </c>
      <c r="H38" t="inlineStr">
        <is>
          <t>品牌</t>
        </is>
      </c>
      <c r="I38" t="inlineStr">
        <is>
          <t>追求品质的消费者</t>
        </is>
      </c>
      <c r="J38"/>
      <c r="K38" t="inlineStr">
        <is>
          <t>正宗、专业、品质</t>
        </is>
      </c>
      <c r="L38" t="inlineStr">
        <is>
          <t>正宗/专业</t>
        </is>
      </c>
      <c r="M38"/>
      <c r="N38" t="inlineStr">
        <is>
          <t>是</t>
        </is>
      </c>
      <c r="O38" t="inlineStr">
        <is>
          <t>新闻稿</t>
        </is>
      </c>
      <c r="P38" t="inlineStr">
        <is>
          <t>https://www.nomooo.jp/article/2026/03/12/17919.html</t>
        </is>
      </c>
      <c r="Q38" s="5">
        <v>46093</v>
      </c>
      <c r="R38" s="5">
        <v>46245</v>
      </c>
      <c r="S38" t="inlineStr">
        <is>
          <t>当前</t>
        </is>
      </c>
      <c r="T38" t="inlineStr">
        <is>
          <t>中</t>
        </is>
      </c>
      <c r="U38" t="inlineStr">
        <is>
          <t>CHOYA本格梅酒'利口酒世界No.1'，日本本格梅酒代表；来源：nomooo 2026-03-12</t>
        </is>
      </c>
    </row>
    <row r="39" ht="25.5" customHeight="1">
      <c r="A39" t="inlineStr">
        <is>
          <t>CHOYA-EVI-006</t>
        </is>
      </c>
      <c r="B39" t="inlineStr">
        <is>
          <t>竞品</t>
        </is>
      </c>
      <c r="C39" t="inlineStr">
        <is>
          <t>CHOYA俏雅</t>
        </is>
      </c>
      <c r="D39" t="inlineStr">
        <is>
          <t>官方主张</t>
        </is>
      </c>
      <c r="E39" t="inlineStr">
        <is>
          <t>产品</t>
        </is>
      </c>
      <c r="F39" t="inlineStr">
        <is>
          <t>The CHOYA 至极之梅采用纪州产南高梅、糖类和酒精，熟成1年以上，酒精度15%。</t>
        </is>
      </c>
      <c r="G39" t="inlineStr">
        <is>
          <t>CHOYA至极之梅：纪州产南高梅100%，熟成1年以上，15%vol</t>
        </is>
      </c>
      <c r="H39" t="inlineStr">
        <is>
          <t>本格梅酒系列</t>
        </is>
      </c>
      <c r="I39"/>
      <c r="J39"/>
      <c r="K39" t="inlineStr">
        <is>
          <t>正宗风味，传统工艺</t>
        </is>
      </c>
      <c r="L39" t="inlineStr">
        <is>
          <t>正宗/传统</t>
        </is>
      </c>
      <c r="M39"/>
      <c r="N39" t="inlineStr">
        <is>
          <t>是</t>
        </is>
      </c>
      <c r="O39" t="inlineStr">
        <is>
          <t>官网</t>
        </is>
      </c>
      <c r="P39" t="inlineStr">
        <is>
          <t>https://www.choya.co.jp/products/umeshu/the-choya-shigokunoume/</t>
        </is>
      </c>
      <c r="Q39" s="5"/>
      <c r="R39" s="5">
        <v>46245</v>
      </c>
      <c r="S39" t="inlineStr">
        <is>
          <t>当前</t>
        </is>
      </c>
      <c r="T39" t="inlineStr">
        <is>
          <t>高</t>
        </is>
      </c>
      <c r="U39" t="inlineStr">
        <is>
          <t>CHOYA官方产品页：纪州产南高梅、熟成1年以上、15%vol；官网常设页无公开发布日期，2026-08-11核验</t>
        </is>
      </c>
    </row>
    <row r="40" ht="25.5" customHeight="1">
      <c r="A40" t="inlineStr">
        <is>
          <t>CHOYA-EVI-007</t>
        </is>
      </c>
      <c r="B40" t="inlineStr">
        <is>
          <t>竞品</t>
        </is>
      </c>
      <c r="C40" t="inlineStr">
        <is>
          <t>CHOYA俏雅</t>
        </is>
      </c>
      <c r="D40" t="inlineStr">
        <is>
          <t>官方主张</t>
        </is>
      </c>
      <c r="E40" t="inlineStr">
        <is>
          <t>产品</t>
        </is>
      </c>
      <c r="F40" t="inlineStr">
        <is>
          <t>The CHOYA 至极之梅使用纪州产南高梅，以梅、糖类和酒精浸泡熟成1年以上。</t>
        </is>
      </c>
      <c r="G40" t="inlineStr">
        <is>
          <t>CHOYA品质主张：纪州产南高梅+熟成1年以上</t>
        </is>
      </c>
      <c r="H40" t="inlineStr">
        <is>
          <t>The CHOYA 至极之梅</t>
        </is>
      </c>
      <c r="I40"/>
      <c r="J40"/>
      <c r="K40" t="inlineStr">
        <is>
          <t>优质原料与时间熟成</t>
        </is>
      </c>
      <c r="L40" t="inlineStr">
        <is>
          <t>时间/熟成</t>
        </is>
      </c>
      <c r="M40"/>
      <c r="N40" t="inlineStr">
        <is>
          <t>是</t>
        </is>
      </c>
      <c r="O40" t="inlineStr">
        <is>
          <t>官网</t>
        </is>
      </c>
      <c r="P40" t="inlineStr">
        <is>
          <t>https://www.choya.co.jp/products/umeshu/the-choya-shigokunoume/</t>
        </is>
      </c>
      <c r="Q40" s="5"/>
      <c r="R40" s="5">
        <v>46245</v>
      </c>
      <c r="S40" t="inlineStr">
        <is>
          <t>当前</t>
        </is>
      </c>
      <c r="T40" t="inlineStr">
        <is>
          <t>高</t>
        </is>
      </c>
      <c r="U40" t="inlineStr">
        <is>
          <t>CHOYA官方产品页：纪州产南高梅、熟成1年以上；常设页无公开发布日期，2026-08-11核验</t>
        </is>
      </c>
    </row>
    <row r="41" ht="25.5" customHeight="1">
      <c r="A41" t="inlineStr">
        <is>
          <t>CHOYA-EVI-008</t>
        </is>
      </c>
      <c r="B41" t="inlineStr">
        <is>
          <t>竞品</t>
        </is>
      </c>
      <c r="C41" t="inlineStr">
        <is>
          <t>CHOYA俏雅</t>
        </is>
      </c>
      <c r="D41" t="inlineStr">
        <is>
          <t>产品表达</t>
        </is>
      </c>
      <c r="E41" t="inlineStr">
        <is>
          <t>饮法</t>
        </is>
      </c>
      <c r="F41" t="inlineStr">
        <is>
          <t>加冰后口感更佳，纯饮或加冰。</t>
        </is>
      </c>
      <c r="G41" t="inlineStr">
        <is>
          <t>CHOYA推荐饮法：纯饮或加冰，加冰后口感更佳</t>
        </is>
      </c>
      <c r="H41" t="inlineStr">
        <is>
          <t>本格梅酒系列</t>
        </is>
      </c>
      <c r="I41"/>
      <c r="J41" t="inlineStr">
        <is>
          <t>独饮</t>
        </is>
      </c>
      <c r="K41" t="inlineStr">
        <is>
          <t>饮用方式简单，纯饮加冰皆可</t>
        </is>
      </c>
      <c r="L41" t="inlineStr">
        <is>
          <t>加冰/纯饮</t>
        </is>
      </c>
      <c r="M41"/>
      <c r="N41" t="inlineStr">
        <is>
          <t>是</t>
        </is>
      </c>
      <c r="O41" t="inlineStr">
        <is>
          <t>官方账号</t>
        </is>
      </c>
      <c r="P41" t="inlineStr">
        <is>
          <t>https://www.iesdouyin.com/share/video/7623042867019222322</t>
        </is>
      </c>
      <c r="Q41" s="5">
        <v>46111</v>
      </c>
      <c r="R41" s="5">
        <v>46245</v>
      </c>
      <c r="S41" t="inlineStr">
        <is>
          <t>当前</t>
        </is>
      </c>
      <c r="T41" t="inlineStr">
        <is>
          <t>中</t>
        </is>
      </c>
      <c r="U41" t="inlineStr">
        <is>
          <t>CHOYA推荐饮法：纯饮或加冰，加冰后口感更佳，酸度浓郁度高；来源：抖音2026-03-30</t>
        </is>
      </c>
    </row>
    <row r="42" ht="25.5" customHeight="1">
      <c r="A42" t="inlineStr">
        <is>
          <t>CHOYA-EVI-009</t>
        </is>
      </c>
      <c r="B42" t="inlineStr">
        <is>
          <t>竞品</t>
        </is>
      </c>
      <c r="C42" t="inlineStr">
        <is>
          <t>CHOYA俏雅</t>
        </is>
      </c>
      <c r="D42" t="inlineStr">
        <is>
          <t>产品表达</t>
        </is>
      </c>
      <c r="E42" t="inlineStr">
        <is>
          <t>场景</t>
        </is>
      </c>
      <c r="F42" t="inlineStr">
        <is>
          <t>The CHOYA 至极之梅适合餐中、餐后、特别时刻饮用。</t>
        </is>
      </c>
      <c r="G42" t="inlineStr">
        <is>
          <t>CHOYA饮用场景：餐中、餐后及特别时刻</t>
        </is>
      </c>
      <c r="H42" t="inlineStr">
        <is>
          <t>The CHOYA 至极之梅</t>
        </is>
      </c>
      <c r="I42"/>
      <c r="J42" t="inlineStr">
        <is>
          <t>佐餐</t>
        </is>
      </c>
      <c r="K42" t="inlineStr">
        <is>
          <t>餐中/餐后均可饮用</t>
        </is>
      </c>
      <c r="L42" t="inlineStr">
        <is>
          <t>餐中/餐后</t>
        </is>
      </c>
      <c r="M42"/>
      <c r="N42" t="inlineStr">
        <is>
          <t>是</t>
        </is>
      </c>
      <c r="O42" t="inlineStr">
        <is>
          <t>官网</t>
        </is>
      </c>
      <c r="P42" t="inlineStr">
        <is>
          <t>https://www.choya.co.jp/products/umeshu/the-choya-shigokunoume/</t>
        </is>
      </c>
      <c r="Q42" s="5"/>
      <c r="R42" s="5">
        <v>46245</v>
      </c>
      <c r="S42" t="inlineStr">
        <is>
          <t>当前</t>
        </is>
      </c>
      <c r="T42" t="inlineStr">
        <is>
          <t>高</t>
        </is>
      </c>
      <c r="U42" t="inlineStr">
        <is>
          <t>CHOYA官方产品页列出的饮用场景包括食中、食后和特别时刻；常设页无公开发布日期，2026-08-11核验</t>
        </is>
      </c>
    </row>
    <row r="43" ht="25.5" customHeight="1">
      <c r="A43" t="inlineStr">
        <is>
          <t>CHOYA-EVI-010</t>
        </is>
      </c>
      <c r="B43" t="inlineStr">
        <is>
          <t>竞品</t>
        </is>
      </c>
      <c r="C43" t="inlineStr">
        <is>
          <t>CHOYA俏雅</t>
        </is>
      </c>
      <c r="D43" t="inlineStr">
        <is>
          <t>产品表达</t>
        </is>
      </c>
      <c r="E43" t="inlineStr">
        <is>
          <t>饮法</t>
        </is>
      </c>
      <c r="F43" t="inlineStr">
        <is>
          <t>可作为调制鸡尾酒的基酒。</t>
        </is>
      </c>
      <c r="G43" t="inlineStr">
        <is>
          <t>CHOYA饮用方式：可纯饮、加冰、也可作为鸡尾酒基酒调配</t>
        </is>
      </c>
      <c r="H43" t="inlineStr">
        <is>
          <t>本格梅酒系列</t>
        </is>
      </c>
      <c r="I43" t="inlineStr">
        <is>
          <t>喜欢调酒的消费者</t>
        </is>
      </c>
      <c r="J43" t="inlineStr">
        <is>
          <t>小聚</t>
        </is>
      </c>
      <c r="K43" t="inlineStr">
        <is>
          <t>饮用方式多样，可调配</t>
        </is>
      </c>
      <c r="L43" t="inlineStr">
        <is>
          <t>调配/鸡尾酒</t>
        </is>
      </c>
      <c r="M43"/>
      <c r="N43" t="inlineStr">
        <is>
          <t>是</t>
        </is>
      </c>
      <c r="O43" t="inlineStr">
        <is>
          <t>官方账号</t>
        </is>
      </c>
      <c r="P43" t="inlineStr">
        <is>
          <t>https://www.iesdouyin.com/share/video/7623042867019222322</t>
        </is>
      </c>
      <c r="Q43" s="5">
        <v>46111</v>
      </c>
      <c r="R43" s="5">
        <v>46245</v>
      </c>
      <c r="S43" t="inlineStr">
        <is>
          <t>当前</t>
        </is>
      </c>
      <c r="T43" t="inlineStr">
        <is>
          <t>中</t>
        </is>
      </c>
      <c r="U43" t="inlineStr">
        <is>
          <t>CHOYA饮用方式：可纯饮、加冰、法国白兰地基酒带来奶油熟果香，也可调配；来源：抖音2026-03-30</t>
        </is>
      </c>
    </row>
    <row r="44" ht="25.5" customHeight="1">
      <c r="A44" t="inlineStr">
        <is>
          <t>KZ-EVI-001</t>
        </is>
      </c>
      <c r="B44" t="inlineStr">
        <is>
          <t>竞品</t>
        </is>
      </c>
      <c r="C44" t="inlineStr">
        <is>
          <t>昆竹牌</t>
        </is>
      </c>
      <c r="D44" t="inlineStr">
        <is>
          <t>官方事实</t>
        </is>
      </c>
      <c r="E44" t="inlineStr">
        <is>
          <t>产品</t>
        </is>
      </c>
      <c r="F44" t="inlineStr">
        <is>
          <t>昆竹青梅酒，450mL/瓶，酒精度13%vol。</t>
        </is>
      </c>
      <c r="G44" t="inlineStr">
        <is>
          <t>昆竹青梅酒：450ml瓶装，酒精度13%</t>
        </is>
      </c>
      <c r="H44" t="inlineStr">
        <is>
          <t>昆竹青梅酒</t>
        </is>
      </c>
      <c r="I44"/>
      <c r="J44"/>
      <c r="K44" t="inlineStr">
        <is>
          <t>传统青梅酒，性价比高</t>
        </is>
      </c>
      <c r="L44"/>
      <c r="M44"/>
      <c r="N44" t="inlineStr">
        <is>
          <t>是</t>
        </is>
      </c>
      <c r="O44" t="inlineStr">
        <is>
          <t>其他</t>
        </is>
      </c>
      <c r="P44" t="inlineStr">
        <is>
          <t>https://www.cnpp.cn/pinpai/4158083.html</t>
        </is>
      </c>
      <c r="Q44" s="5"/>
      <c r="R44" s="5">
        <v>46245</v>
      </c>
      <c r="S44" t="inlineStr">
        <is>
          <t>当前</t>
        </is>
      </c>
      <c r="T44" t="inlineStr">
        <is>
          <t>中</t>
        </is>
      </c>
      <c r="U44" t="inlineStr">
        <is>
          <t>昆竹青梅酒13度450ml，龙门特产果酒，1993年创立；该页面无公开发布日期，2026-08-11核验</t>
        </is>
      </c>
    </row>
    <row r="45" ht="25.5" customHeight="1">
      <c r="A45" t="inlineStr">
        <is>
          <t>KZ-EVI-002</t>
        </is>
      </c>
      <c r="B45" t="inlineStr">
        <is>
          <t>竞品</t>
        </is>
      </c>
      <c r="C45" t="inlineStr">
        <is>
          <t>昆竹牌</t>
        </is>
      </c>
      <c r="D45" t="inlineStr">
        <is>
          <t>官方事实</t>
        </is>
      </c>
      <c r="E45" t="inlineStr">
        <is>
          <t>产品</t>
        </is>
      </c>
      <c r="F45" t="inlineStr">
        <is>
          <t>广东惠州龙门特产，南昆山脚下生产，龙门生态环境良好，盛产青梅。</t>
        </is>
      </c>
      <c r="G45" t="inlineStr">
        <is>
          <t>昆竹青梅酒产地：广东惠州龙门，南昆山脚下，当地盛产青梅</t>
        </is>
      </c>
      <c r="H45" t="inlineStr">
        <is>
          <t>昆竹青梅酒</t>
        </is>
      </c>
      <c r="I45"/>
      <c r="J45"/>
      <c r="K45" t="inlineStr">
        <is>
          <t>地方特产，原料产地优势</t>
        </is>
      </c>
      <c r="L45"/>
      <c r="M45"/>
      <c r="N45" t="inlineStr">
        <is>
          <t>是</t>
        </is>
      </c>
      <c r="O45" t="inlineStr">
        <is>
          <t>官方账号</t>
        </is>
      </c>
      <c r="P45" t="inlineStr">
        <is>
          <t>https://www.iesdouyin.com/share/video/7659480752060898747</t>
        </is>
      </c>
      <c r="Q45" s="5">
        <v>46210</v>
      </c>
      <c r="R45" s="5">
        <v>46245</v>
      </c>
      <c r="S45" t="inlineStr">
        <is>
          <t>当前</t>
        </is>
      </c>
      <c r="T45" t="inlineStr">
        <is>
          <t>中</t>
        </is>
      </c>
      <c r="U45" t="inlineStr">
        <is>
          <t>昆竹产地：广东惠州龙门，南昆山脚下，龙门十大旅游手信；来源：抖音2026-07-07</t>
        </is>
      </c>
    </row>
    <row r="46" ht="25.5" customHeight="1">
      <c r="A46" t="inlineStr">
        <is>
          <t>KZ-EVI-003</t>
        </is>
      </c>
      <c r="B46" t="inlineStr">
        <is>
          <t>竞品</t>
        </is>
      </c>
      <c r="C46" t="inlineStr">
        <is>
          <t>昆竹牌</t>
        </is>
      </c>
      <c r="D46" t="inlineStr">
        <is>
          <t>官方事实</t>
        </is>
      </c>
      <c r="E46" t="inlineStr">
        <is>
          <t>品牌</t>
        </is>
      </c>
      <c r="F46" t="inlineStr">
        <is>
          <t>广东昆竹酒厂有限公司生产，地方老字号。</t>
        </is>
      </c>
      <c r="G46" t="inlineStr">
        <is>
          <t>昆竹品牌：广东昆竹酒厂有限公司，地方老字号酒厂</t>
        </is>
      </c>
      <c r="H46" t="inlineStr">
        <is>
          <t>品牌</t>
        </is>
      </c>
      <c r="I46"/>
      <c r="J46"/>
      <c r="K46" t="inlineStr">
        <is>
          <t>地方老字号，传统酿造</t>
        </is>
      </c>
      <c r="L46"/>
      <c r="M46"/>
      <c r="N46" t="inlineStr">
        <is>
          <t>是</t>
        </is>
      </c>
      <c r="O46" t="inlineStr">
        <is>
          <t>其他</t>
        </is>
      </c>
      <c r="P46" t="inlineStr">
        <is>
          <t>https://www.cnpp.cn/pinpai/4158083.html</t>
        </is>
      </c>
      <c r="Q46" s="5"/>
      <c r="R46" s="5">
        <v>46245</v>
      </c>
      <c r="S46" t="inlineStr">
        <is>
          <t>当前</t>
        </is>
      </c>
      <c r="T46" t="inlineStr">
        <is>
          <t>中</t>
        </is>
      </c>
      <c r="U46" t="inlineStr">
        <is>
          <t>昆竹品牌：广东昆竹酒厂有限公司，1993年创立，地方老字号酒厂；该页面无公开发布日期，2026-08-11核验</t>
        </is>
      </c>
    </row>
    <row r="47" ht="25.5" customHeight="1">
      <c r="A47" t="inlineStr">
        <is>
          <t>KZ-EVI-004</t>
        </is>
      </c>
      <c r="B47" t="inlineStr">
        <is>
          <t>竞品</t>
        </is>
      </c>
      <c r="C47" t="inlineStr">
        <is>
          <t>昆竹牌</t>
        </is>
      </c>
      <c r="D47" t="inlineStr">
        <is>
          <t>官方事实</t>
        </is>
      </c>
      <c r="E47" t="inlineStr">
        <is>
          <t>品牌</t>
        </is>
      </c>
      <c r="F47" t="inlineStr">
        <is>
          <t>惠州手信50强，惠州手信100强。</t>
        </is>
      </c>
      <c r="G47" t="inlineStr">
        <is>
          <t>昆竹品牌荣誉：惠州手信50强/100强，地方特色产品代表</t>
        </is>
      </c>
      <c r="H47" t="inlineStr">
        <is>
          <t>品牌</t>
        </is>
      </c>
      <c r="I47" t="inlineStr">
        <is>
          <t>游客/送礼人群</t>
        </is>
      </c>
      <c r="J47" t="inlineStr">
        <is>
          <t>送礼</t>
        </is>
      </c>
      <c r="K47" t="inlineStr">
        <is>
          <t>地方特产，手信代表</t>
        </is>
      </c>
      <c r="L47" t="inlineStr">
        <is>
          <t>地方特产/手信</t>
        </is>
      </c>
      <c r="M47"/>
      <c r="N47" t="inlineStr">
        <is>
          <t>是</t>
        </is>
      </c>
      <c r="O47" t="inlineStr">
        <is>
          <t>官方账号</t>
        </is>
      </c>
      <c r="P47" t="inlineStr">
        <is>
          <t>https://www.iesdouyin.com/share/video/7659480752060898747</t>
        </is>
      </c>
      <c r="Q47" s="5">
        <v>46210</v>
      </c>
      <c r="R47" s="5">
        <v>46245</v>
      </c>
      <c r="S47" t="inlineStr">
        <is>
          <t>当前</t>
        </is>
      </c>
      <c r="T47" t="inlineStr">
        <is>
          <t>中</t>
        </is>
      </c>
      <c r="U47" t="inlineStr">
        <is>
          <t>昆竹品牌荣誉：惠州手信、龙门十大旅游手信、地方特色产品代表；来源：抖音2026-07-07</t>
        </is>
      </c>
    </row>
    <row r="48" ht="25.5" customHeight="1">
      <c r="A48" t="inlineStr">
        <is>
          <t>KZ-EVI-005</t>
        </is>
      </c>
      <c r="B48" t="inlineStr">
        <is>
          <t>竞品</t>
        </is>
      </c>
      <c r="C48" t="inlineStr">
        <is>
          <t>昆竹牌</t>
        </is>
      </c>
      <c r="D48" t="inlineStr">
        <is>
          <t>产品表达</t>
        </is>
      </c>
      <c r="E48" t="inlineStr">
        <is>
          <t>场景</t>
        </is>
      </c>
      <c r="F48" t="inlineStr">
        <is>
          <t>惠州手信旗舰店、乡村振兴产品展销区。</t>
        </is>
      </c>
      <c r="G48" t="inlineStr">
        <is>
          <t>昆竹销售场景：惠州手信店、特产展销、服务区助农展销</t>
        </is>
      </c>
      <c r="H48" t="inlineStr">
        <is>
          <t>品牌</t>
        </is>
      </c>
      <c r="I48" t="inlineStr">
        <is>
          <t>游客/本地消费者</t>
        </is>
      </c>
      <c r="J48" t="inlineStr">
        <is>
          <t>送礼</t>
        </is>
      </c>
      <c r="K48" t="inlineStr">
        <is>
          <t>地方特产渠道，旅游伴手礼</t>
        </is>
      </c>
      <c r="L48" t="inlineStr">
        <is>
          <t>伴手礼/旅游</t>
        </is>
      </c>
      <c r="M48"/>
      <c r="N48" t="inlineStr">
        <is>
          <t>是</t>
        </is>
      </c>
      <c r="O48" t="inlineStr">
        <is>
          <t>官网</t>
        </is>
      </c>
      <c r="P48" t="inlineStr">
        <is>
          <t>https://gdkunzhu.com/cpjs</t>
        </is>
      </c>
      <c r="Q48" s="5"/>
      <c r="R48" s="5">
        <v>46245</v>
      </c>
      <c r="S48" t="inlineStr">
        <is>
          <t>当前</t>
        </is>
      </c>
      <c r="T48" t="inlineStr">
        <is>
          <t>中</t>
        </is>
      </c>
      <c r="U48" t="inlineStr">
        <is>
          <t>昆竹官网产品介绍页；官网常设页无公开发布日期，2026-08-11核验</t>
        </is>
      </c>
    </row>
    <row r="49" ht="25.5" customHeight="1">
      <c r="A49" t="inlineStr">
        <is>
          <t>KZ-EVI-006</t>
        </is>
      </c>
      <c r="B49" t="inlineStr">
        <is>
          <t>竞品</t>
        </is>
      </c>
      <c r="C49" t="inlineStr">
        <is>
          <t>昆竹牌</t>
        </is>
      </c>
      <c r="D49" t="inlineStr">
        <is>
          <t>产品表达</t>
        </is>
      </c>
      <c r="E49" t="inlineStr">
        <is>
          <t>产品</t>
        </is>
      </c>
      <c r="F49" t="inlineStr">
        <is>
          <t>口味清酸、香醇怡人。</t>
        </is>
      </c>
      <c r="G49" t="inlineStr">
        <is>
          <t>昆竹产品风格：清酸香醇，传统青梅酒风味，性价比路线</t>
        </is>
      </c>
      <c r="H49" t="inlineStr">
        <is>
          <t>昆竹青梅酒</t>
        </is>
      </c>
      <c r="I49" t="inlineStr">
        <is>
          <t>本地消费者/价格敏感人群</t>
        </is>
      </c>
      <c r="J49"/>
      <c r="K49" t="inlineStr">
        <is>
          <t>传统风味，高性价比</t>
        </is>
      </c>
      <c r="L49" t="inlineStr">
        <is>
          <t>传统/性价比</t>
        </is>
      </c>
      <c r="M49"/>
      <c r="N49" t="inlineStr">
        <is>
          <t>是</t>
        </is>
      </c>
      <c r="O49" t="inlineStr">
        <is>
          <t>官方账号</t>
        </is>
      </c>
      <c r="P49" t="inlineStr">
        <is>
          <t>https://www.iesdouyin.com/share/video/7659480752060898747</t>
        </is>
      </c>
      <c r="Q49" s="5">
        <v>46189</v>
      </c>
      <c r="R49" s="5">
        <v>46245</v>
      </c>
      <c r="S49" t="inlineStr">
        <is>
          <t>当前</t>
        </is>
      </c>
      <c r="T49" t="inlineStr">
        <is>
          <t>中</t>
        </is>
      </c>
      <c r="U49" t="inlineStr">
        <is>
          <t>昆竹产品风格：清酸香醇，新鲜青梅+纯粮米酒+黄冰糖+龙门百花蜜，性价比路线；来源：抖音2026-06-16</t>
        </is>
      </c>
    </row>
    <row r="50" ht="25.5" customHeight="1">
      <c r="A50" t="inlineStr">
        <is>
          <t>OTH-EVI-001</t>
        </is>
      </c>
      <c r="B50" t="inlineStr">
        <is>
          <t>竞品</t>
        </is>
      </c>
      <c r="C50" t="inlineStr">
        <is>
          <t>狮子歌歌</t>
        </is>
      </c>
      <c r="D50" t="inlineStr">
        <is>
          <t>官方事实</t>
        </is>
      </c>
      <c r="E50" t="inlineStr">
        <is>
          <t>产品</t>
        </is>
      </c>
      <c r="F50" t="inlineStr">
        <is>
          <t>狮子歌歌果酒，主打年轻女性市场，多口味果酒。</t>
        </is>
      </c>
      <c r="G50" t="inlineStr">
        <is>
          <t>狮子歌歌：果酒品牌，主打年轻女性，多口味（柚子、白桃、荔枝等）</t>
        </is>
      </c>
      <c r="H50" t="inlineStr">
        <is>
          <t>狮子歌歌果酒系列</t>
        </is>
      </c>
      <c r="I50" t="inlineStr">
        <is>
          <t>年轻女性</t>
        </is>
      </c>
      <c r="J50" t="inlineStr">
        <is>
          <t>独饮</t>
        </is>
      </c>
      <c r="K50" t="inlineStr">
        <is>
          <t>果味浓郁，颜值高，女性友好</t>
        </is>
      </c>
      <c r="L50"/>
      <c r="M50"/>
      <c r="N50" t="inlineStr">
        <is>
          <t>是</t>
        </is>
      </c>
      <c r="O50" t="inlineStr">
        <is>
          <t>其他</t>
        </is>
      </c>
      <c r="P50" t="inlineStr">
        <is>
          <t>https://m.zhipin.com/companys/31a1415074a3566f03Z43t-6E1M~.html</t>
        </is>
      </c>
      <c r="Q50" s="5"/>
      <c r="R50" s="5">
        <v>46245</v>
      </c>
      <c r="S50" t="inlineStr">
        <is>
          <t>当前</t>
        </is>
      </c>
      <c r="T50" t="inlineStr">
        <is>
          <t>低</t>
        </is>
      </c>
      <c r="U50" t="inlineStr">
        <is>
          <t>狮子歌歌：悦饮北京旗下鲜果酿造新锐果酒品牌，不添加香精色素，多口味；该页面无公开发布日期，2026-08-11核验</t>
        </is>
      </c>
    </row>
    <row r="51" ht="25.5" customHeight="1">
      <c r="A51" t="inlineStr">
        <is>
          <t>OTH-EVI-002</t>
        </is>
      </c>
      <c r="B51" t="inlineStr">
        <is>
          <t>竞品</t>
        </is>
      </c>
      <c r="C51" t="inlineStr">
        <is>
          <t>MissBerry贝瑞甜心</t>
        </is>
      </c>
      <c r="D51" t="inlineStr">
        <is>
          <t>官方主张</t>
        </is>
      </c>
      <c r="E51" t="inlineStr">
        <is>
          <t>品牌</t>
        </is>
      </c>
      <c r="F51" t="inlineStr">
        <is>
          <t>MissBerry贝瑞甜心，专为女性打造的果酒品牌。</t>
        </is>
      </c>
      <c r="G51" t="inlineStr">
        <is>
          <t>贝瑞甜心（MissBerry）：女性果酒品牌，主打'女生的第一瓶酒'</t>
        </is>
      </c>
      <c r="H51" t="inlineStr">
        <is>
          <t>贝瑞甜心果酒系列</t>
        </is>
      </c>
      <c r="I51" t="inlineStr">
        <is>
          <t>年轻女性</t>
        </is>
      </c>
      <c r="J51" t="inlineStr">
        <is>
          <t>独饮</t>
        </is>
      </c>
      <c r="K51" t="inlineStr">
        <is>
          <t>女性专属，低度数，果味</t>
        </is>
      </c>
      <c r="L51" t="inlineStr">
        <is>
          <t>女性专属</t>
        </is>
      </c>
      <c r="M51"/>
      <c r="N51" t="inlineStr">
        <is>
          <t>是</t>
        </is>
      </c>
      <c r="O51" t="inlineStr">
        <is>
          <t>其他</t>
        </is>
      </c>
      <c r="P51" t="inlineStr">
        <is>
          <t>https://m.zhipin.com/companys/12d92148b8768f9e1XN-0tm9Elc~.html</t>
        </is>
      </c>
      <c r="Q51" s="5"/>
      <c r="R51" s="5">
        <v>46245</v>
      </c>
      <c r="S51" t="inlineStr">
        <is>
          <t>当前</t>
        </is>
      </c>
      <c r="T51" t="inlineStr">
        <is>
          <t>低</t>
        </is>
      </c>
      <c r="U51" t="inlineStr">
        <is>
          <t>贝瑞甜心MissBerry：格英上海旗下，2019年底成立2020年上线，女性低度酒领军品牌；该页面无公开发布日期，2026-08-11核验</t>
        </is>
      </c>
    </row>
    <row r="52" ht="25.5" customHeight="1">
      <c r="A52" t="inlineStr">
        <is>
          <t>OTH-EVI-003</t>
        </is>
      </c>
      <c r="B52" t="inlineStr">
        <is>
          <t>竞品</t>
        </is>
      </c>
      <c r="C52" t="inlineStr">
        <is>
          <t>落饮</t>
        </is>
      </c>
      <c r="D52" t="inlineStr">
        <is>
          <t>产品表达</t>
        </is>
      </c>
      <c r="E52" t="inlineStr">
        <is>
          <t>产品</t>
        </is>
      </c>
      <c r="F52" t="inlineStr">
        <is>
          <t>落饮茶果酒，茶+果酒创新品类。</t>
        </is>
      </c>
      <c r="G52" t="inlineStr">
        <is>
          <t>落饮：茶果酒品牌，茶+果酒创新组合，主打东方美学</t>
        </is>
      </c>
      <c r="H52" t="inlineStr">
        <is>
          <t>落饮茶果酒系列</t>
        </is>
      </c>
      <c r="I52" t="inlineStr">
        <is>
          <t>喜欢茶文化的年轻人</t>
        </is>
      </c>
      <c r="J52" t="inlineStr">
        <is>
          <t>小聚</t>
        </is>
      </c>
      <c r="K52" t="inlineStr">
        <is>
          <t>茶果融合，东方美学，差异化品类</t>
        </is>
      </c>
      <c r="L52" t="inlineStr">
        <is>
          <t>东方/茶</t>
        </is>
      </c>
      <c r="M52"/>
      <c r="N52" t="inlineStr">
        <is>
          <t>部分</t>
        </is>
      </c>
      <c r="O52" t="inlineStr">
        <is>
          <t>社交媒体</t>
        </is>
      </c>
      <c r="P52" t="inlineStr">
        <is>
          <t>https://m.weibo.cn/detail/5312861046048918</t>
        </is>
      </c>
      <c r="Q52" s="5">
        <v>46196</v>
      </c>
      <c r="R52" s="5">
        <v>46245</v>
      </c>
      <c r="S52" t="inlineStr">
        <is>
          <t>待复核</t>
        </is>
      </c>
      <c r="T52" t="inlineStr">
        <is>
          <t>低</t>
        </is>
      </c>
      <c r="U52" t="inlineStr">
        <is>
          <t>微博行业分析称落饮融合乌龙、桂花、蜜桃等茶果风味；并非品牌官方资料，产品定位与目标人群需继续核验</t>
        </is>
      </c>
    </row>
    <row r="53" ht="25.5" customHeight="1">
      <c r="A53" t="inlineStr">
        <is>
          <t>OTH-EVI-004</t>
        </is>
      </c>
      <c r="B53" t="inlineStr">
        <is>
          <t>竞品</t>
        </is>
      </c>
      <c r="C53" t="inlineStr">
        <is>
          <t>十七光年</t>
        </is>
      </c>
      <c r="D53" t="inlineStr">
        <is>
          <t>官方事实</t>
        </is>
      </c>
      <c r="E53" t="inlineStr">
        <is>
          <t>产品</t>
        </is>
      </c>
      <c r="F53" t="inlineStr">
        <is>
          <t>十七光年果酒，多口味，低度。</t>
        </is>
      </c>
      <c r="G53" t="inlineStr">
        <is>
          <t>十七光年：果酒品牌，多口味低度果酒，主打年轻市场</t>
        </is>
      </c>
      <c r="H53" t="inlineStr">
        <is>
          <t>十七光年果酒系列</t>
        </is>
      </c>
      <c r="I53" t="inlineStr">
        <is>
          <t>年轻人</t>
        </is>
      </c>
      <c r="J53" t="inlineStr">
        <is>
          <t>小聚</t>
        </is>
      </c>
      <c r="K53" t="inlineStr">
        <is>
          <t>多口味，低度，时尚</t>
        </is>
      </c>
      <c r="L53"/>
      <c r="M53"/>
      <c r="N53" t="inlineStr">
        <is>
          <t>是</t>
        </is>
      </c>
      <c r="O53" t="inlineStr">
        <is>
          <t>其他</t>
        </is>
      </c>
      <c r="P53" t="inlineStr">
        <is>
          <t>https://m.zhipin.com/companys/00ee6a123a15134d1HZ62dy6EFA~.html</t>
        </is>
      </c>
      <c r="Q53" s="5"/>
      <c r="R53" s="5">
        <v>46245</v>
      </c>
      <c r="S53" t="inlineStr">
        <is>
          <t>当前</t>
        </is>
      </c>
      <c r="T53" t="inlineStr">
        <is>
          <t>低</t>
        </is>
      </c>
      <c r="U53" t="inlineStr">
        <is>
          <t>十七光年：上海贵酒旗下2020年打造的低度酒品牌，多口味低度果酒，主打年轻市场；该页面无公开发布日期，2026-08-11核验</t>
        </is>
      </c>
    </row>
    <row r="54" ht="25.5" customHeight="1">
      <c r="A54" t="inlineStr">
        <is>
          <t>OTH-EVI-005</t>
        </is>
      </c>
      <c r="B54" t="inlineStr">
        <is>
          <t>竞品</t>
        </is>
      </c>
      <c r="C54" t="inlineStr">
        <is>
          <t>低度酒行业</t>
        </is>
      </c>
      <c r="D54" t="inlineStr">
        <is>
          <t>市场验证结果</t>
        </is>
      </c>
      <c r="E54" t="inlineStr">
        <is>
          <t>品牌</t>
        </is>
      </c>
      <c r="F54" t="inlineStr">
        <is>
          <t>低度酒赛道品牌众多，同质化严重，消费者选择分散。</t>
        </is>
      </c>
      <c r="G54" t="inlineStr">
        <is>
          <t>行业现状：低度酒/果酒赛道品牌众多，产品同质化，消费者忠诚度低</t>
        </is>
      </c>
      <c r="H54" t="inlineStr">
        <is>
          <t>行业</t>
        </is>
      </c>
      <c r="I54"/>
      <c r="J54"/>
      <c r="K54"/>
      <c r="L54" t="inlineStr">
        <is>
          <t>同质化</t>
        </is>
      </c>
      <c r="M54"/>
      <c r="N54" t="inlineStr">
        <is>
          <t>部分</t>
        </is>
      </c>
      <c r="O54" t="inlineStr">
        <is>
          <t>行业媒体</t>
        </is>
      </c>
      <c r="P54" t="inlineStr">
        <is>
          <t>https://cj.sina.com.cn/articles/view/7857141524/1d452771401901objq?froms=ggmp</t>
        </is>
      </c>
      <c r="Q54" s="5">
        <v>46100</v>
      </c>
      <c r="R54" s="5">
        <v>46245</v>
      </c>
      <c r="S54" t="inlineStr">
        <is>
          <t>当前</t>
        </is>
      </c>
      <c r="T54" t="inlineStr">
        <is>
          <t>中</t>
        </is>
      </c>
      <c r="U54" t="inlineStr">
        <is>
          <t>低度酒赛道品牌众多、产品同质化，5000亿市场，消费者忠诚度低；来源：新浪财经/Foodaily 2026-03-19</t>
        </is>
      </c>
    </row>
    <row r="55" ht="25.5" customHeight="1">
      <c r="A55" t="inlineStr">
        <is>
          <t>OTH-EVI-006</t>
        </is>
      </c>
      <c r="B55" t="inlineStr">
        <is>
          <t>行业品类</t>
        </is>
      </c>
      <c r="C55" t="inlineStr">
        <is>
          <t>低度酒行业</t>
        </is>
      </c>
      <c r="D55" t="inlineStr">
        <is>
          <t>市场验证结果</t>
        </is>
      </c>
      <c r="E55" t="inlineStr">
        <is>
          <t>渠道</t>
        </is>
      </c>
      <c r="F55" t="inlineStr">
        <is>
          <t>二手行业报告称梅见线下餐饮终端覆盖超过42万家、商超铺货率83%。</t>
        </is>
      </c>
      <c r="G55" t="inlineStr">
        <is>
          <t>二手报告称梅见具有较强线下餐饮与商超渠道覆盖</t>
        </is>
      </c>
      <c r="H55" t="inlineStr">
        <is>
          <t>行业</t>
        </is>
      </c>
      <c r="I55"/>
      <c r="J55" t="inlineStr">
        <is>
          <t>佐餐</t>
        </is>
      </c>
      <c r="K55" t="inlineStr">
        <is>
          <t>线下餐饮和商超渠道覆盖</t>
        </is>
      </c>
      <c r="L55" t="inlineStr">
        <is>
          <t>线下渠道</t>
        </is>
      </c>
      <c r="M55"/>
      <c r="N55" t="inlineStr">
        <is>
          <t>无法确认</t>
        </is>
      </c>
      <c r="O55" t="inlineStr">
        <is>
          <t>行业报告聚合页</t>
        </is>
      </c>
      <c r="P55" t="inlineStr">
        <is>
          <t>https://www.docin.com/touch_new/preview_new.do?id=4979854074</t>
        </is>
      </c>
      <c r="Q55" s="5">
        <v>46131</v>
      </c>
      <c r="R55" s="5">
        <v>46245</v>
      </c>
      <c r="S55" t="inlineStr">
        <is>
          <t>待复核</t>
        </is>
      </c>
      <c r="T55" t="inlineStr">
        <is>
          <t>低</t>
        </is>
      </c>
      <c r="U55" t="inlineStr">
        <is>
          <t>豆丁网行业报告聚合页提及餐饮终端42万+、商超铺货率83%；缺少可核验原始报告，暂列待复核</t>
        </is>
      </c>
    </row>
  </sheetData>
  <dataValidations count="9">
    <dataValidation allowBlank="false" sqref="B2:B54" type="list">
      <formula1>"梅见,竞品,行业品类"</formula1>
    </dataValidation>
    <dataValidation allowBlank="false" sqref="C2:C54" type="list">
      <formula1>"梅见,RIO锐澳,CHOYA俏雅,昆竹牌,其他竞品,狮子歌歌,MissBerry贝瑞甜心,落饮,十七光年,低度酒行业"</formula1>
    </dataValidation>
    <dataValidation allowBlank="false" sqref="D2:D54" type="list">
      <formula1>"官方事实,官方主张,营销活动,产品表达,市场验证结果"</formula1>
    </dataValidation>
    <dataValidation allowBlank="false" sqref="E2:E54" type="list">
      <formula1>"产品,品牌,场景,内容,饮法,渠道"</formula1>
    </dataValidation>
    <dataValidation allowBlank="false" sqref="J2:J54" type="list">
      <formula1>"独饮,佐餐,小聚,送礼,户外,其他,宴席"</formula1>
    </dataValidation>
    <dataValidation allowBlank="false" sqref="N2:N54" type="list">
      <formula1>"是,否,部分,无法确认"</formula1>
    </dataValidation>
    <dataValidation allowBlank="false" sqref="O2:O54" type="list">
      <formula1>"官网,官方账号,年报,产品页,新闻稿,电商详情页,其他,经营资料,社交媒体,行业媒体,行业报告聚合页"</formula1>
    </dataValidation>
    <dataValidation allowBlank="false" sqref="S2:S54" type="list">
      <formula1>"当前,历史,无法确认,待复核"</formula1>
    </dataValidation>
    <dataValidation allowBlank="false" sqref="T2:T54" type="list">
      <formula1>"高,中,低"</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s>
  <sheetData>
    <row r="1" ht="13" customHeight="1">
      <c r="A1" s="1" t="inlineStr">
        <is>
          <t>清洗编号</t>
        </is>
      </c>
      <c r="B1" s="1" t="inlineStr">
        <is>
          <t>清洗后文本</t>
        </is>
      </c>
      <c r="C1" s="1" t="inlineStr">
        <is>
          <t>是否重复</t>
        </is>
      </c>
      <c r="D1" s="1" t="inlineStr">
        <is>
          <t>重复语料编号</t>
        </is>
      </c>
      <c r="E1" s="1" t="inlineStr">
        <is>
          <t>是否广告</t>
        </is>
      </c>
      <c r="F1" s="1" t="inlineStr">
        <is>
          <t>是否与研究主题相关</t>
        </is>
      </c>
      <c r="G1" s="1" t="inlineStr">
        <is>
          <t>是否包含有效信息</t>
        </is>
      </c>
      <c r="H1" s="1" t="inlineStr">
        <is>
          <t>是否依赖上下文</t>
        </is>
      </c>
      <c r="I1" s="1" t="inlineStr">
        <is>
          <t>上下文是否完整</t>
        </is>
      </c>
      <c r="J1" s="1" t="inlineStr">
        <is>
          <t>是否包含敏感信息</t>
        </is>
      </c>
      <c r="K1" s="1" t="inlineStr">
        <is>
          <t>数据质量评分</t>
        </is>
      </c>
      <c r="L1" s="1" t="inlineStr">
        <is>
          <t>初筛结果</t>
        </is>
      </c>
      <c r="M1" s="1" t="inlineStr">
        <is>
          <t>排除原因</t>
        </is>
      </c>
      <c r="N1" s="1" t="inlineStr">
        <is>
          <t>初筛人员</t>
        </is>
      </c>
      <c r="O1" s="1" t="inlineStr">
        <is>
          <t>复核人员</t>
        </is>
      </c>
      <c r="P1" s="1" t="inlineStr">
        <is>
          <t>复核结果</t>
        </is>
      </c>
      <c r="Q1" s="1" t="inlineStr">
        <is>
          <t>分歧处理说明</t>
        </is>
      </c>
      <c r="R1" s="1" t="inlineStr">
        <is>
          <t>清洗日期</t>
        </is>
      </c>
      <c r="S1" s="1" t="inlineStr">
        <is>
          <t>语料编号</t>
        </is>
      </c>
      <c r="T1" s="1" t="inlineStr">
        <is>
          <t>清洗规则版本</t>
        </is>
      </c>
      <c r="U1" s="1" t="inlineStr">
        <is>
          <t>AI初筛结果</t>
        </is>
      </c>
      <c r="V1" s="1" t="inlineStr">
        <is>
          <t>人工最终结果</t>
        </is>
      </c>
      <c r="W1" s="1" t="inlineStr">
        <is>
          <t>处理时间</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标签编号</t>
        </is>
      </c>
      <c r="B1" s="1" t="inlineStr">
        <is>
          <t>分析维度</t>
        </is>
      </c>
      <c r="C1" s="1" t="inlineStr">
        <is>
          <t>标签名称</t>
        </is>
      </c>
      <c r="D1" s="1" t="inlineStr">
        <is>
          <t>标签定义</t>
        </is>
      </c>
      <c r="E1" s="1" t="inlineStr">
        <is>
          <t>纳入标准</t>
        </is>
      </c>
      <c r="F1" s="1" t="inlineStr">
        <is>
          <t>排除标准</t>
        </is>
      </c>
      <c r="G1" s="1" t="inlineStr">
        <is>
          <t>正面示例</t>
        </is>
      </c>
      <c r="H1" s="1" t="inlineStr">
        <is>
          <t>反面示例</t>
        </is>
      </c>
      <c r="I1" s="1" t="inlineStr">
        <is>
          <t>边界案例</t>
        </is>
      </c>
      <c r="J1" s="1" t="inlineStr">
        <is>
          <t>是否允许多选</t>
        </is>
      </c>
      <c r="K1" s="1" t="inlineStr">
        <is>
          <t>关联上级标签</t>
        </is>
      </c>
      <c r="L1" s="1" t="inlineStr">
        <is>
          <t>适用对象</t>
        </is>
      </c>
      <c r="M1" s="1" t="inlineStr">
        <is>
          <t>标签状态</t>
        </is>
      </c>
      <c r="N1" s="1" t="inlineStr">
        <is>
          <t>规则版本</t>
        </is>
      </c>
      <c r="O1" s="1" t="inlineStr">
        <is>
          <t>制定人员</t>
        </is>
      </c>
      <c r="P1" s="1" t="inlineStr">
        <is>
          <t>修改日期</t>
        </is>
      </c>
      <c r="Q1" s="1" t="inlineStr">
        <is>
          <t>备注</t>
        </is>
      </c>
    </row>
    <row r="2" ht="25.5" customHeight="1">
      <c r="A2" t="inlineStr">
        <is>
          <t>UT-001</t>
        </is>
      </c>
      <c r="B2" t="inlineStr">
        <is>
          <t>用户类型</t>
        </is>
      </c>
      <c r="C2" t="inlineStr">
        <is>
          <t>低度酒稳定用户</t>
        </is>
      </c>
      <c r="D2"/>
      <c r="E2"/>
      <c r="F2"/>
      <c r="G2"/>
      <c r="H2"/>
      <c r="I2"/>
      <c r="J2" t="inlineStr">
        <is>
          <t>0</t>
        </is>
      </c>
      <c r="K2"/>
      <c r="L2"/>
      <c r="M2" t="inlineStr">
        <is>
          <t>启用</t>
        </is>
      </c>
      <c r="N2" t="inlineStr">
        <is>
          <t>V1.0</t>
        </is>
      </c>
      <c r="O2"/>
      <c r="P2" s="4"/>
      <c r="Q2"/>
    </row>
    <row r="3" ht="25.5" customHeight="1">
      <c r="A3" t="inlineStr">
        <is>
          <t>UT-002</t>
        </is>
      </c>
      <c r="B3" t="inlineStr">
        <is>
          <t>用户类型</t>
        </is>
      </c>
      <c r="C3" t="inlineStr">
        <is>
          <t>偶尔饮酒者</t>
        </is>
      </c>
      <c r="D3"/>
      <c r="E3"/>
      <c r="F3"/>
      <c r="G3"/>
      <c r="H3"/>
      <c r="I3"/>
      <c r="J3" t="inlineStr">
        <is>
          <t>0</t>
        </is>
      </c>
      <c r="K3"/>
      <c r="L3"/>
      <c r="M3" t="inlineStr">
        <is>
          <t>启用</t>
        </is>
      </c>
      <c r="N3" t="inlineStr">
        <is>
          <t>V1.0</t>
        </is>
      </c>
      <c r="O3"/>
      <c r="P3" s="4"/>
      <c r="Q3"/>
    </row>
    <row r="4" ht="25.5" customHeight="1">
      <c r="A4" t="inlineStr">
        <is>
          <t>UT-003</t>
        </is>
      </c>
      <c r="B4" t="inlineStr">
        <is>
          <t>用户类型</t>
        </is>
      </c>
      <c r="C4" t="inlineStr">
        <is>
          <t>饮酒小白</t>
        </is>
      </c>
      <c r="D4"/>
      <c r="E4"/>
      <c r="F4"/>
      <c r="G4"/>
      <c r="H4"/>
      <c r="I4"/>
      <c r="J4" t="inlineStr">
        <is>
          <t>0</t>
        </is>
      </c>
      <c r="K4"/>
      <c r="L4"/>
      <c r="M4" t="inlineStr">
        <is>
          <t>启用</t>
        </is>
      </c>
      <c r="N4" t="inlineStr">
        <is>
          <t>V1.0</t>
        </is>
      </c>
      <c r="O4"/>
      <c r="P4" s="4"/>
      <c r="Q4"/>
    </row>
    <row r="5" ht="25.5" customHeight="1">
      <c r="A5" t="inlineStr">
        <is>
          <t>UT-004</t>
        </is>
      </c>
      <c r="B5" t="inlineStr">
        <is>
          <t>用户类型</t>
        </is>
      </c>
      <c r="C5" t="inlineStr">
        <is>
          <t>高度酒用户</t>
        </is>
      </c>
      <c r="D5"/>
      <c r="E5"/>
      <c r="F5"/>
      <c r="G5"/>
      <c r="H5"/>
      <c r="I5"/>
      <c r="J5" t="inlineStr">
        <is>
          <t>0</t>
        </is>
      </c>
      <c r="K5"/>
      <c r="L5"/>
      <c r="M5" t="inlineStr">
        <is>
          <t>启用</t>
        </is>
      </c>
      <c r="N5" t="inlineStr">
        <is>
          <t>V1.0</t>
        </is>
      </c>
      <c r="O5"/>
      <c r="P5" s="4"/>
      <c r="Q5"/>
    </row>
    <row r="6" ht="25.5" customHeight="1">
      <c r="A6" t="inlineStr">
        <is>
          <t>UT-005</t>
        </is>
      </c>
      <c r="B6" t="inlineStr">
        <is>
          <t>用户类型</t>
        </is>
      </c>
      <c r="C6" t="inlineStr">
        <is>
          <t>有顾虑的尝试者</t>
        </is>
      </c>
      <c r="D6"/>
      <c r="E6"/>
      <c r="F6"/>
      <c r="G6"/>
      <c r="H6"/>
      <c r="I6"/>
      <c r="J6" t="inlineStr">
        <is>
          <t>0</t>
        </is>
      </c>
      <c r="K6"/>
      <c r="L6"/>
      <c r="M6" t="inlineStr">
        <is>
          <t>启用</t>
        </is>
      </c>
      <c r="N6" t="inlineStr">
        <is>
          <t>V1.0</t>
        </is>
      </c>
      <c r="O6"/>
      <c r="P6" s="4"/>
      <c r="Q6"/>
    </row>
    <row r="7" ht="25.5" customHeight="1">
      <c r="A7" t="inlineStr">
        <is>
          <t>UT-006</t>
        </is>
      </c>
      <c r="B7" t="inlineStr">
        <is>
          <t>用户类型</t>
        </is>
      </c>
      <c r="C7" t="inlineStr">
        <is>
          <t>明确拒酒者</t>
        </is>
      </c>
      <c r="D7"/>
      <c r="E7"/>
      <c r="F7"/>
      <c r="G7"/>
      <c r="H7"/>
      <c r="I7"/>
      <c r="J7" t="inlineStr">
        <is>
          <t>0</t>
        </is>
      </c>
      <c r="K7"/>
      <c r="L7"/>
      <c r="M7" t="inlineStr">
        <is>
          <t>启用</t>
        </is>
      </c>
      <c r="N7" t="inlineStr">
        <is>
          <t>V1.0</t>
        </is>
      </c>
      <c r="O7"/>
      <c r="P7" s="4"/>
      <c r="Q7"/>
    </row>
    <row r="8" ht="25.5" customHeight="1">
      <c r="A8" t="inlineStr">
        <is>
          <t>UT-007</t>
        </is>
      </c>
      <c r="B8" t="inlineStr">
        <is>
          <t>用户类型</t>
        </is>
      </c>
      <c r="C8" t="inlineStr">
        <is>
          <t>无法判断</t>
        </is>
      </c>
      <c r="D8"/>
      <c r="E8"/>
      <c r="F8"/>
      <c r="G8"/>
      <c r="H8"/>
      <c r="I8"/>
      <c r="J8" t="inlineStr">
        <is>
          <t>0</t>
        </is>
      </c>
      <c r="K8"/>
      <c r="L8"/>
      <c r="M8" t="inlineStr">
        <is>
          <t>启用</t>
        </is>
      </c>
      <c r="N8" t="inlineStr">
        <is>
          <t>V1.0</t>
        </is>
      </c>
      <c r="O8"/>
      <c r="P8" s="4"/>
      <c r="Q8"/>
    </row>
    <row r="9" ht="25.5" customHeight="1">
      <c r="A9" t="inlineStr">
        <is>
          <t>SC-001</t>
        </is>
      </c>
      <c r="B9" t="inlineStr">
        <is>
          <t>用户场景</t>
        </is>
      </c>
      <c r="C9" t="inlineStr">
        <is>
          <t>下班独饮</t>
        </is>
      </c>
      <c r="D9"/>
      <c r="E9"/>
      <c r="F9"/>
      <c r="G9"/>
      <c r="H9"/>
      <c r="I9"/>
      <c r="J9" t="inlineStr">
        <is>
          <t>1</t>
        </is>
      </c>
      <c r="K9"/>
      <c r="L9"/>
      <c r="M9" t="inlineStr">
        <is>
          <t>启用</t>
        </is>
      </c>
      <c r="N9" t="inlineStr">
        <is>
          <t>V1.0</t>
        </is>
      </c>
      <c r="O9"/>
      <c r="P9" s="4"/>
      <c r="Q9"/>
    </row>
    <row r="10" ht="25.5" customHeight="1">
      <c r="A10" t="inlineStr">
        <is>
          <t>SC-002</t>
        </is>
      </c>
      <c r="B10" t="inlineStr">
        <is>
          <t>用户场景</t>
        </is>
      </c>
      <c r="C10" t="inlineStr">
        <is>
          <t>居家追剧</t>
        </is>
      </c>
      <c r="D10"/>
      <c r="E10"/>
      <c r="F10"/>
      <c r="G10"/>
      <c r="H10"/>
      <c r="I10"/>
      <c r="J10" t="inlineStr">
        <is>
          <t>1</t>
        </is>
      </c>
      <c r="K10"/>
      <c r="L10"/>
      <c r="M10" t="inlineStr">
        <is>
          <t>启用</t>
        </is>
      </c>
      <c r="N10" t="inlineStr">
        <is>
          <t>V1.0</t>
        </is>
      </c>
      <c r="O10"/>
      <c r="P10" s="4"/>
      <c r="Q10"/>
    </row>
    <row r="11" ht="25.5" customHeight="1">
      <c r="A11" t="inlineStr">
        <is>
          <t>SC-003</t>
        </is>
      </c>
      <c r="B11" t="inlineStr">
        <is>
          <t>用户场景</t>
        </is>
      </c>
      <c r="C11" t="inlineStr">
        <is>
          <t>朋友小聚</t>
        </is>
      </c>
      <c r="D11"/>
      <c r="E11"/>
      <c r="F11"/>
      <c r="G11"/>
      <c r="H11"/>
      <c r="I11"/>
      <c r="J11" t="inlineStr">
        <is>
          <t>1</t>
        </is>
      </c>
      <c r="K11"/>
      <c r="L11"/>
      <c r="M11" t="inlineStr">
        <is>
          <t>启用</t>
        </is>
      </c>
      <c r="N11" t="inlineStr">
        <is>
          <t>V1.0</t>
        </is>
      </c>
      <c r="O11"/>
      <c r="P11" s="4"/>
      <c r="Q11"/>
    </row>
    <row r="12" ht="25.5" customHeight="1">
      <c r="A12" t="inlineStr">
        <is>
          <t>SC-004</t>
        </is>
      </c>
      <c r="B12" t="inlineStr">
        <is>
          <t>用户场景</t>
        </is>
      </c>
      <c r="C12" t="inlineStr">
        <is>
          <t>女生局</t>
        </is>
      </c>
      <c r="D12"/>
      <c r="E12"/>
      <c r="F12"/>
      <c r="G12"/>
      <c r="H12"/>
      <c r="I12"/>
      <c r="J12" t="inlineStr">
        <is>
          <t>1</t>
        </is>
      </c>
      <c r="K12"/>
      <c r="L12"/>
      <c r="M12" t="inlineStr">
        <is>
          <t>启用</t>
        </is>
      </c>
      <c r="N12" t="inlineStr">
        <is>
          <t>V1.0</t>
        </is>
      </c>
      <c r="O12"/>
      <c r="P12" s="4"/>
      <c r="Q12"/>
    </row>
    <row r="13" ht="25.5" customHeight="1">
      <c r="A13" t="inlineStr">
        <is>
          <t>SC-005</t>
        </is>
      </c>
      <c r="B13" t="inlineStr">
        <is>
          <t>用户场景</t>
        </is>
      </c>
      <c r="C13" t="inlineStr">
        <is>
          <t>聚餐</t>
        </is>
      </c>
      <c r="D13"/>
      <c r="E13"/>
      <c r="F13"/>
      <c r="G13"/>
      <c r="H13"/>
      <c r="I13"/>
      <c r="J13" t="inlineStr">
        <is>
          <t>1</t>
        </is>
      </c>
      <c r="K13"/>
      <c r="L13"/>
      <c r="M13" t="inlineStr">
        <is>
          <t>启用</t>
        </is>
      </c>
      <c r="N13" t="inlineStr">
        <is>
          <t>V1.0</t>
        </is>
      </c>
      <c r="O13"/>
      <c r="P13" s="4"/>
      <c r="Q13"/>
    </row>
    <row r="14" ht="25.5" customHeight="1">
      <c r="A14" t="inlineStr">
        <is>
          <t>SC-006</t>
        </is>
      </c>
      <c r="B14" t="inlineStr">
        <is>
          <t>用户场景</t>
        </is>
      </c>
      <c r="C14" t="inlineStr">
        <is>
          <t>职场饭局</t>
        </is>
      </c>
      <c r="D14"/>
      <c r="E14"/>
      <c r="F14"/>
      <c r="G14"/>
      <c r="H14"/>
      <c r="I14"/>
      <c r="J14" t="inlineStr">
        <is>
          <t>1</t>
        </is>
      </c>
      <c r="K14"/>
      <c r="L14"/>
      <c r="M14" t="inlineStr">
        <is>
          <t>启用</t>
        </is>
      </c>
      <c r="N14" t="inlineStr">
        <is>
          <t>V1.0</t>
        </is>
      </c>
      <c r="O14"/>
      <c r="P14" s="4"/>
      <c r="Q14"/>
    </row>
    <row r="15" ht="25.5" customHeight="1">
      <c r="A15" t="inlineStr">
        <is>
          <t>SC-007</t>
        </is>
      </c>
      <c r="B15" t="inlineStr">
        <is>
          <t>用户场景</t>
        </is>
      </c>
      <c r="C15" t="inlineStr">
        <is>
          <t>家宴</t>
        </is>
      </c>
      <c r="D15"/>
      <c r="E15"/>
      <c r="F15"/>
      <c r="G15"/>
      <c r="H15"/>
      <c r="I15"/>
      <c r="J15" t="inlineStr">
        <is>
          <t>1</t>
        </is>
      </c>
      <c r="K15"/>
      <c r="L15"/>
      <c r="M15" t="inlineStr">
        <is>
          <t>启用</t>
        </is>
      </c>
      <c r="N15" t="inlineStr">
        <is>
          <t>V1.0</t>
        </is>
      </c>
      <c r="O15"/>
      <c r="P15" s="4"/>
      <c r="Q15"/>
    </row>
    <row r="16" ht="25.5" customHeight="1">
      <c r="A16" t="inlineStr">
        <is>
          <t>SC-008</t>
        </is>
      </c>
      <c r="B16" t="inlineStr">
        <is>
          <t>用户场景</t>
        </is>
      </c>
      <c r="C16" t="inlineStr">
        <is>
          <t>火锅烧烤</t>
        </is>
      </c>
      <c r="D16"/>
      <c r="E16"/>
      <c r="F16"/>
      <c r="G16"/>
      <c r="H16"/>
      <c r="I16"/>
      <c r="J16" t="inlineStr">
        <is>
          <t>1</t>
        </is>
      </c>
      <c r="K16"/>
      <c r="L16"/>
      <c r="M16" t="inlineStr">
        <is>
          <t>启用</t>
        </is>
      </c>
      <c r="N16" t="inlineStr">
        <is>
          <t>V1.0</t>
        </is>
      </c>
      <c r="O16"/>
      <c r="P16" s="4"/>
      <c r="Q16"/>
    </row>
    <row r="17" ht="25.5" customHeight="1">
      <c r="A17" t="inlineStr">
        <is>
          <t>SC-009</t>
        </is>
      </c>
      <c r="B17" t="inlineStr">
        <is>
          <t>用户场景</t>
        </is>
      </c>
      <c r="C17" t="inlineStr">
        <is>
          <t>露营小聚</t>
        </is>
      </c>
      <c r="D17"/>
      <c r="E17"/>
      <c r="F17"/>
      <c r="G17"/>
      <c r="H17"/>
      <c r="I17"/>
      <c r="J17" t="inlineStr">
        <is>
          <t>1</t>
        </is>
      </c>
      <c r="K17"/>
      <c r="L17"/>
      <c r="M17" t="inlineStr">
        <is>
          <t>启用</t>
        </is>
      </c>
      <c r="N17" t="inlineStr">
        <is>
          <t>V1.0</t>
        </is>
      </c>
      <c r="O17"/>
      <c r="P17" s="4"/>
      <c r="Q17"/>
    </row>
    <row r="18" ht="25.5" customHeight="1">
      <c r="A18" t="inlineStr">
        <is>
          <t>SC-010</t>
        </is>
      </c>
      <c r="B18" t="inlineStr">
        <is>
          <t>用户场景</t>
        </is>
      </c>
      <c r="C18" t="inlineStr">
        <is>
          <t>轻约会</t>
        </is>
      </c>
      <c r="D18"/>
      <c r="E18"/>
      <c r="F18"/>
      <c r="G18"/>
      <c r="H18"/>
      <c r="I18"/>
      <c r="J18" t="inlineStr">
        <is>
          <t>1</t>
        </is>
      </c>
      <c r="K18"/>
      <c r="L18"/>
      <c r="M18" t="inlineStr">
        <is>
          <t>启用</t>
        </is>
      </c>
      <c r="N18" t="inlineStr">
        <is>
          <t>V1.0</t>
        </is>
      </c>
      <c r="O18"/>
      <c r="P18" s="4"/>
      <c r="Q18"/>
    </row>
    <row r="19" ht="25.5" customHeight="1">
      <c r="A19" t="inlineStr">
        <is>
          <t>SC-011</t>
        </is>
      </c>
      <c r="B19" t="inlineStr">
        <is>
          <t>用户场景</t>
        </is>
      </c>
      <c r="C19" t="inlineStr">
        <is>
          <t>节日礼赠</t>
        </is>
      </c>
      <c r="D19"/>
      <c r="E19"/>
      <c r="F19"/>
      <c r="G19"/>
      <c r="H19"/>
      <c r="I19"/>
      <c r="J19" t="inlineStr">
        <is>
          <t>1</t>
        </is>
      </c>
      <c r="K19"/>
      <c r="L19"/>
      <c r="M19" t="inlineStr">
        <is>
          <t>启用</t>
        </is>
      </c>
      <c r="N19" t="inlineStr">
        <is>
          <t>V1.0</t>
        </is>
      </c>
      <c r="O19"/>
      <c r="P19" s="4"/>
      <c r="Q19"/>
    </row>
    <row r="20" ht="25.5" customHeight="1">
      <c r="A20" t="inlineStr">
        <is>
          <t>SC-012</t>
        </is>
      </c>
      <c r="B20" t="inlineStr">
        <is>
          <t>用户场景</t>
        </is>
      </c>
      <c r="C20" t="inlineStr">
        <is>
          <t>便利店调饮</t>
        </is>
      </c>
      <c r="D20"/>
      <c r="E20"/>
      <c r="F20"/>
      <c r="G20"/>
      <c r="H20"/>
      <c r="I20"/>
      <c r="J20" t="inlineStr">
        <is>
          <t>1</t>
        </is>
      </c>
      <c r="K20"/>
      <c r="L20"/>
      <c r="M20" t="inlineStr">
        <is>
          <t>启用</t>
        </is>
      </c>
      <c r="N20" t="inlineStr">
        <is>
          <t>V1.0</t>
        </is>
      </c>
      <c r="O20"/>
      <c r="P20" s="4"/>
      <c r="Q20"/>
    </row>
    <row r="21" ht="25.5" customHeight="1">
      <c r="A21" t="inlineStr">
        <is>
          <t>SC-013</t>
        </is>
      </c>
      <c r="B21" t="inlineStr">
        <is>
          <t>用户场景</t>
        </is>
      </c>
      <c r="C21" t="inlineStr">
        <is>
          <t>其他</t>
        </is>
      </c>
      <c r="D21"/>
      <c r="E21"/>
      <c r="F21"/>
      <c r="G21"/>
      <c r="H21"/>
      <c r="I21"/>
      <c r="J21" t="inlineStr">
        <is>
          <t>1</t>
        </is>
      </c>
      <c r="K21"/>
      <c r="L21"/>
      <c r="M21" t="inlineStr">
        <is>
          <t>启用</t>
        </is>
      </c>
      <c r="N21" t="inlineStr">
        <is>
          <t>V1.0</t>
        </is>
      </c>
      <c r="O21"/>
      <c r="P21" s="4"/>
      <c r="Q21"/>
    </row>
    <row r="22" ht="25.5" customHeight="1">
      <c r="A22" t="inlineStr">
        <is>
          <t>EM-001</t>
        </is>
      </c>
      <c r="B22" t="inlineStr">
        <is>
          <t>真实情绪</t>
        </is>
      </c>
      <c r="C22" t="inlineStr">
        <is>
          <t>轻松放松</t>
        </is>
      </c>
      <c r="D22"/>
      <c r="E22"/>
      <c r="F22"/>
      <c r="G22"/>
      <c r="H22"/>
      <c r="I22"/>
      <c r="J22" t="inlineStr">
        <is>
          <t>1</t>
        </is>
      </c>
      <c r="K22"/>
      <c r="L22"/>
      <c r="M22" t="inlineStr">
        <is>
          <t>启用</t>
        </is>
      </c>
      <c r="N22" t="inlineStr">
        <is>
          <t>V1.0</t>
        </is>
      </c>
      <c r="O22"/>
      <c r="P22" s="4"/>
      <c r="Q22"/>
    </row>
    <row r="23" ht="25.5" customHeight="1">
      <c r="A23" t="inlineStr">
        <is>
          <t>EM-002</t>
        </is>
      </c>
      <c r="B23" t="inlineStr">
        <is>
          <t>真实情绪</t>
        </is>
      </c>
      <c r="C23" t="inlineStr">
        <is>
          <t>害怕失控</t>
        </is>
      </c>
      <c r="D23"/>
      <c r="E23"/>
      <c r="F23"/>
      <c r="G23"/>
      <c r="H23"/>
      <c r="I23"/>
      <c r="J23" t="inlineStr">
        <is>
          <t>1</t>
        </is>
      </c>
      <c r="K23"/>
      <c r="L23"/>
      <c r="M23" t="inlineStr">
        <is>
          <t>启用</t>
        </is>
      </c>
      <c r="N23" t="inlineStr">
        <is>
          <t>V1.0</t>
        </is>
      </c>
      <c r="O23"/>
      <c r="P23" s="4"/>
      <c r="Q23"/>
    </row>
    <row r="24" ht="25.5" customHeight="1">
      <c r="A24" t="inlineStr">
        <is>
          <t>EM-003</t>
        </is>
      </c>
      <c r="B24" t="inlineStr">
        <is>
          <t>真实情绪</t>
        </is>
      </c>
      <c r="C24" t="inlineStr">
        <is>
          <t>害怕踩雷</t>
        </is>
      </c>
      <c r="D24"/>
      <c r="E24"/>
      <c r="F24"/>
      <c r="G24"/>
      <c r="H24"/>
      <c r="I24"/>
      <c r="J24" t="inlineStr">
        <is>
          <t>1</t>
        </is>
      </c>
      <c r="K24"/>
      <c r="L24"/>
      <c r="M24" t="inlineStr">
        <is>
          <t>启用</t>
        </is>
      </c>
      <c r="N24" t="inlineStr">
        <is>
          <t>V1.0</t>
        </is>
      </c>
      <c r="O24"/>
      <c r="P24" s="4"/>
      <c r="Q24"/>
    </row>
    <row r="25" ht="25.5" customHeight="1">
      <c r="A25" t="inlineStr">
        <is>
          <t>EM-004</t>
        </is>
      </c>
      <c r="B25" t="inlineStr">
        <is>
          <t>真实情绪</t>
        </is>
      </c>
      <c r="C25" t="inlineStr">
        <is>
          <t>社交尴尬</t>
        </is>
      </c>
      <c r="D25"/>
      <c r="E25"/>
      <c r="F25"/>
      <c r="G25"/>
      <c r="H25"/>
      <c r="I25"/>
      <c r="J25" t="inlineStr">
        <is>
          <t>1</t>
        </is>
      </c>
      <c r="K25"/>
      <c r="L25"/>
      <c r="M25" t="inlineStr">
        <is>
          <t>启用</t>
        </is>
      </c>
      <c r="N25" t="inlineStr">
        <is>
          <t>V1.0</t>
        </is>
      </c>
      <c r="O25"/>
      <c r="P25" s="4"/>
      <c r="Q25"/>
    </row>
    <row r="26" ht="25.5" customHeight="1">
      <c r="A26" t="inlineStr">
        <is>
          <t>EM-005</t>
        </is>
      </c>
      <c r="B26" t="inlineStr">
        <is>
          <t>真实情绪</t>
        </is>
      </c>
      <c r="C26" t="inlineStr">
        <is>
          <t>想要合群</t>
        </is>
      </c>
      <c r="D26"/>
      <c r="E26"/>
      <c r="F26"/>
      <c r="G26"/>
      <c r="H26"/>
      <c r="I26"/>
      <c r="J26" t="inlineStr">
        <is>
          <t>1</t>
        </is>
      </c>
      <c r="K26"/>
      <c r="L26"/>
      <c r="M26" t="inlineStr">
        <is>
          <t>启用</t>
        </is>
      </c>
      <c r="N26" t="inlineStr">
        <is>
          <t>V1.0</t>
        </is>
      </c>
      <c r="O26"/>
      <c r="P26" s="4"/>
      <c r="Q26"/>
    </row>
    <row r="27" ht="25.5" customHeight="1">
      <c r="A27" t="inlineStr">
        <is>
          <t>EM-006</t>
        </is>
      </c>
      <c r="B27" t="inlineStr">
        <is>
          <t>真实情绪</t>
        </is>
      </c>
      <c r="C27" t="inlineStr">
        <is>
          <t>保留边界</t>
        </is>
      </c>
      <c r="D27"/>
      <c r="E27"/>
      <c r="F27"/>
      <c r="G27"/>
      <c r="H27"/>
      <c r="I27"/>
      <c r="J27" t="inlineStr">
        <is>
          <t>1</t>
        </is>
      </c>
      <c r="K27"/>
      <c r="L27"/>
      <c r="M27" t="inlineStr">
        <is>
          <t>启用</t>
        </is>
      </c>
      <c r="N27" t="inlineStr">
        <is>
          <t>V1.0</t>
        </is>
      </c>
      <c r="O27"/>
      <c r="P27" s="4"/>
      <c r="Q27"/>
    </row>
    <row r="28" ht="25.5" customHeight="1">
      <c r="A28" t="inlineStr">
        <is>
          <t>EM-007</t>
        </is>
      </c>
      <c r="B28" t="inlineStr">
        <is>
          <t>真实情绪</t>
        </is>
      </c>
      <c r="C28" t="inlineStr">
        <is>
          <t>审美满足</t>
        </is>
      </c>
      <c r="D28"/>
      <c r="E28"/>
      <c r="F28"/>
      <c r="G28"/>
      <c r="H28"/>
      <c r="I28"/>
      <c r="J28" t="inlineStr">
        <is>
          <t>1</t>
        </is>
      </c>
      <c r="K28"/>
      <c r="L28"/>
      <c r="M28" t="inlineStr">
        <is>
          <t>启用</t>
        </is>
      </c>
      <c r="N28" t="inlineStr">
        <is>
          <t>V1.0</t>
        </is>
      </c>
      <c r="O28"/>
      <c r="P28" s="4"/>
      <c r="Q28"/>
    </row>
    <row r="29" ht="25.5" customHeight="1">
      <c r="A29" t="inlineStr">
        <is>
          <t>EM-008</t>
        </is>
      </c>
      <c r="B29" t="inlineStr">
        <is>
          <t>真实情绪</t>
        </is>
      </c>
      <c r="C29" t="inlineStr">
        <is>
          <t>追求体面</t>
        </is>
      </c>
      <c r="D29"/>
      <c r="E29"/>
      <c r="F29"/>
      <c r="G29"/>
      <c r="H29"/>
      <c r="I29"/>
      <c r="J29" t="inlineStr">
        <is>
          <t>1</t>
        </is>
      </c>
      <c r="K29"/>
      <c r="L29"/>
      <c r="M29" t="inlineStr">
        <is>
          <t>启用</t>
        </is>
      </c>
      <c r="N29" t="inlineStr">
        <is>
          <t>V1.0</t>
        </is>
      </c>
      <c r="O29"/>
      <c r="P29" s="4"/>
      <c r="Q29"/>
    </row>
    <row r="30" ht="25.5" customHeight="1">
      <c r="A30" t="inlineStr">
        <is>
          <t>EM-009</t>
        </is>
      </c>
      <c r="B30" t="inlineStr">
        <is>
          <t>真实情绪</t>
        </is>
      </c>
      <c r="C30" t="inlineStr">
        <is>
          <t>好奇尝试</t>
        </is>
      </c>
      <c r="D30"/>
      <c r="E30"/>
      <c r="F30"/>
      <c r="G30"/>
      <c r="H30"/>
      <c r="I30"/>
      <c r="J30" t="inlineStr">
        <is>
          <t>1</t>
        </is>
      </c>
      <c r="K30"/>
      <c r="L30"/>
      <c r="M30" t="inlineStr">
        <is>
          <t>启用</t>
        </is>
      </c>
      <c r="N30" t="inlineStr">
        <is>
          <t>V1.0</t>
        </is>
      </c>
      <c r="O30"/>
      <c r="P30" s="4"/>
      <c r="Q30"/>
    </row>
    <row r="31" ht="25.5" customHeight="1">
      <c r="A31" t="inlineStr">
        <is>
          <t>EM-010</t>
        </is>
      </c>
      <c r="B31" t="inlineStr">
        <is>
          <t>真实情绪</t>
        </is>
      </c>
      <c r="C31" t="inlineStr">
        <is>
          <t>失望后悔</t>
        </is>
      </c>
      <c r="D31"/>
      <c r="E31"/>
      <c r="F31"/>
      <c r="G31"/>
      <c r="H31"/>
      <c r="I31"/>
      <c r="J31" t="inlineStr">
        <is>
          <t>1</t>
        </is>
      </c>
      <c r="K31"/>
      <c r="L31"/>
      <c r="M31" t="inlineStr">
        <is>
          <t>启用</t>
        </is>
      </c>
      <c r="N31" t="inlineStr">
        <is>
          <t>V1.0</t>
        </is>
      </c>
      <c r="O31"/>
      <c r="P31" s="4"/>
      <c r="Q31"/>
    </row>
    <row r="32" ht="25.5" customHeight="1">
      <c r="A32" t="inlineStr">
        <is>
          <t>EM-011</t>
        </is>
      </c>
      <c r="B32" t="inlineStr">
        <is>
          <t>真实情绪</t>
        </is>
      </c>
      <c r="C32" t="inlineStr">
        <is>
          <t>身体负担焦虑</t>
        </is>
      </c>
      <c r="D32"/>
      <c r="E32"/>
      <c r="F32"/>
      <c r="G32"/>
      <c r="H32"/>
      <c r="I32"/>
      <c r="J32" t="inlineStr">
        <is>
          <t>1</t>
        </is>
      </c>
      <c r="K32"/>
      <c r="L32"/>
      <c r="M32" t="inlineStr">
        <is>
          <t>启用</t>
        </is>
      </c>
      <c r="N32" t="inlineStr">
        <is>
          <t>V1.0</t>
        </is>
      </c>
      <c r="O32"/>
      <c r="P32" s="4"/>
      <c r="Q32"/>
    </row>
    <row r="33" ht="25.5" customHeight="1">
      <c r="A33" t="inlineStr">
        <is>
          <t>EM-012</t>
        </is>
      </c>
      <c r="B33" t="inlineStr">
        <is>
          <t>真实情绪</t>
        </is>
      </c>
      <c r="C33" t="inlineStr">
        <is>
          <t>仪式感</t>
        </is>
      </c>
      <c r="D33"/>
      <c r="E33"/>
      <c r="F33"/>
      <c r="G33"/>
      <c r="H33"/>
      <c r="I33"/>
      <c r="J33" t="inlineStr">
        <is>
          <t>1</t>
        </is>
      </c>
      <c r="K33"/>
      <c r="L33"/>
      <c r="M33" t="inlineStr">
        <is>
          <t>启用</t>
        </is>
      </c>
      <c r="N33" t="inlineStr">
        <is>
          <t>V1.0</t>
        </is>
      </c>
      <c r="O33"/>
      <c r="P33" s="4"/>
      <c r="Q33"/>
    </row>
    <row r="34" ht="25.5" customHeight="1">
      <c r="A34" t="inlineStr">
        <is>
          <t>ID-001</t>
        </is>
      </c>
      <c r="B34" t="inlineStr">
        <is>
          <t>身份需求</t>
        </is>
      </c>
      <c r="C34" t="inlineStr">
        <is>
          <t>有边界感</t>
        </is>
      </c>
      <c r="D34"/>
      <c r="E34"/>
      <c r="F34"/>
      <c r="G34"/>
      <c r="H34"/>
      <c r="I34"/>
      <c r="J34" t="inlineStr">
        <is>
          <t>1</t>
        </is>
      </c>
      <c r="K34"/>
      <c r="L34"/>
      <c r="M34" t="inlineStr">
        <is>
          <t>启用</t>
        </is>
      </c>
      <c r="N34" t="inlineStr">
        <is>
          <t>V1.0</t>
        </is>
      </c>
      <c r="O34"/>
      <c r="P34" s="4"/>
      <c r="Q34"/>
    </row>
    <row r="35" ht="25.5" customHeight="1">
      <c r="A35" t="inlineStr">
        <is>
          <t>ID-002</t>
        </is>
      </c>
      <c r="B35" t="inlineStr">
        <is>
          <t>身份需求</t>
        </is>
      </c>
      <c r="C35" t="inlineStr">
        <is>
          <t>有审美</t>
        </is>
      </c>
      <c r="D35"/>
      <c r="E35"/>
      <c r="F35"/>
      <c r="G35"/>
      <c r="H35"/>
      <c r="I35"/>
      <c r="J35" t="inlineStr">
        <is>
          <t>1</t>
        </is>
      </c>
      <c r="K35"/>
      <c r="L35"/>
      <c r="M35" t="inlineStr">
        <is>
          <t>启用</t>
        </is>
      </c>
      <c r="N35" t="inlineStr">
        <is>
          <t>V1.0</t>
        </is>
      </c>
      <c r="O35"/>
      <c r="P35" s="4"/>
      <c r="Q35"/>
    </row>
    <row r="36" ht="25.5" customHeight="1">
      <c r="A36" t="inlineStr">
        <is>
          <t>ID-003</t>
        </is>
      </c>
      <c r="B36" t="inlineStr">
        <is>
          <t>身份需求</t>
        </is>
      </c>
      <c r="C36" t="inlineStr">
        <is>
          <t>不迎合传统酒局</t>
        </is>
      </c>
      <c r="D36"/>
      <c r="E36"/>
      <c r="F36"/>
      <c r="G36"/>
      <c r="H36"/>
      <c r="I36"/>
      <c r="J36" t="inlineStr">
        <is>
          <t>1</t>
        </is>
      </c>
      <c r="K36"/>
      <c r="L36"/>
      <c r="M36" t="inlineStr">
        <is>
          <t>启用</t>
        </is>
      </c>
      <c r="N36" t="inlineStr">
        <is>
          <t>V1.0</t>
        </is>
      </c>
      <c r="O36"/>
      <c r="P36" s="4"/>
      <c r="Q36"/>
    </row>
    <row r="37" ht="25.5" customHeight="1">
      <c r="A37" t="inlineStr">
        <is>
          <t>ID-004</t>
        </is>
      </c>
      <c r="B37" t="inlineStr">
        <is>
          <t>身份需求</t>
        </is>
      </c>
      <c r="C37" t="inlineStr">
        <is>
          <t>懂得适量</t>
        </is>
      </c>
      <c r="D37"/>
      <c r="E37"/>
      <c r="F37"/>
      <c r="G37"/>
      <c r="H37"/>
      <c r="I37"/>
      <c r="J37" t="inlineStr">
        <is>
          <t>1</t>
        </is>
      </c>
      <c r="K37"/>
      <c r="L37"/>
      <c r="M37" t="inlineStr">
        <is>
          <t>启用</t>
        </is>
      </c>
      <c r="N37" t="inlineStr">
        <is>
          <t>V1.0</t>
        </is>
      </c>
      <c r="O37"/>
      <c r="P37" s="4"/>
      <c r="Q37"/>
    </row>
    <row r="38" ht="25.5" customHeight="1">
      <c r="A38" t="inlineStr">
        <is>
          <t>ID-005</t>
        </is>
      </c>
      <c r="B38" t="inlineStr">
        <is>
          <t>身份需求</t>
        </is>
      </c>
      <c r="C38" t="inlineStr">
        <is>
          <t>会挑选口味</t>
        </is>
      </c>
      <c r="D38"/>
      <c r="E38"/>
      <c r="F38"/>
      <c r="G38"/>
      <c r="H38"/>
      <c r="I38"/>
      <c r="J38" t="inlineStr">
        <is>
          <t>1</t>
        </is>
      </c>
      <c r="K38"/>
      <c r="L38"/>
      <c r="M38" t="inlineStr">
        <is>
          <t>启用</t>
        </is>
      </c>
      <c r="N38" t="inlineStr">
        <is>
          <t>V1.0</t>
        </is>
      </c>
      <c r="O38"/>
      <c r="P38" s="4"/>
      <c r="Q38"/>
    </row>
    <row r="39" ht="25.5" customHeight="1">
      <c r="A39" t="inlineStr">
        <is>
          <t>ID-006</t>
        </is>
      </c>
      <c r="B39" t="inlineStr">
        <is>
          <t>身份需求</t>
        </is>
      </c>
      <c r="C39" t="inlineStr">
        <is>
          <t>重视性价比</t>
        </is>
      </c>
      <c r="D39"/>
      <c r="E39"/>
      <c r="F39"/>
      <c r="G39"/>
      <c r="H39"/>
      <c r="I39"/>
      <c r="J39" t="inlineStr">
        <is>
          <t>1</t>
        </is>
      </c>
      <c r="K39"/>
      <c r="L39"/>
      <c r="M39" t="inlineStr">
        <is>
          <t>启用</t>
        </is>
      </c>
      <c r="N39" t="inlineStr">
        <is>
          <t>V1.0</t>
        </is>
      </c>
      <c r="O39"/>
      <c r="P39" s="4"/>
      <c r="Q39"/>
    </row>
    <row r="40" ht="25.5" customHeight="1">
      <c r="A40" t="inlineStr">
        <is>
          <t>ID-007</t>
        </is>
      </c>
      <c r="B40" t="inlineStr">
        <is>
          <t>身份需求</t>
        </is>
      </c>
      <c r="C40" t="inlineStr">
        <is>
          <t>重视产品品质</t>
        </is>
      </c>
      <c r="D40"/>
      <c r="E40"/>
      <c r="F40"/>
      <c r="G40"/>
      <c r="H40"/>
      <c r="I40"/>
      <c r="J40" t="inlineStr">
        <is>
          <t>1</t>
        </is>
      </c>
      <c r="K40"/>
      <c r="L40"/>
      <c r="M40" t="inlineStr">
        <is>
          <t>启用</t>
        </is>
      </c>
      <c r="N40" t="inlineStr">
        <is>
          <t>V1.0</t>
        </is>
      </c>
      <c r="O40"/>
      <c r="P40" s="4"/>
      <c r="Q40"/>
    </row>
    <row r="41" ht="25.5" customHeight="1">
      <c r="A41" t="inlineStr">
        <is>
          <t>ID-008</t>
        </is>
      </c>
      <c r="B41" t="inlineStr">
        <is>
          <t>身份需求</t>
        </is>
      </c>
      <c r="C41" t="inlineStr">
        <is>
          <t>愿意创造和分享喝法</t>
        </is>
      </c>
      <c r="D41"/>
      <c r="E41"/>
      <c r="F41"/>
      <c r="G41"/>
      <c r="H41"/>
      <c r="I41"/>
      <c r="J41" t="inlineStr">
        <is>
          <t>1</t>
        </is>
      </c>
      <c r="K41"/>
      <c r="L41"/>
      <c r="M41" t="inlineStr">
        <is>
          <t>启用</t>
        </is>
      </c>
      <c r="N41" t="inlineStr">
        <is>
          <t>V1.0</t>
        </is>
      </c>
      <c r="O41"/>
      <c r="P41" s="4"/>
      <c r="Q41"/>
    </row>
    <row r="42" ht="25.5" customHeight="1">
      <c r="A42" t="inlineStr">
        <is>
          <t>AT-001</t>
        </is>
      </c>
      <c r="B42" t="inlineStr">
        <is>
          <t>饮酒态度</t>
        </is>
      </c>
      <c r="C42" t="inlineStr">
        <is>
          <t>接受低度</t>
        </is>
      </c>
      <c r="D42"/>
      <c r="E42"/>
      <c r="F42"/>
      <c r="G42"/>
      <c r="H42"/>
      <c r="I42"/>
      <c r="J42" t="inlineStr">
        <is>
          <t>0</t>
        </is>
      </c>
      <c r="K42"/>
      <c r="L42"/>
      <c r="M42" t="inlineStr">
        <is>
          <t>启用</t>
        </is>
      </c>
      <c r="N42" t="inlineStr">
        <is>
          <t>V1.0</t>
        </is>
      </c>
      <c r="O42"/>
      <c r="P42" s="4"/>
      <c r="Q42"/>
    </row>
    <row r="43" ht="25.5" customHeight="1">
      <c r="A43" t="inlineStr">
        <is>
          <t>AT-002</t>
        </is>
      </c>
      <c r="B43" t="inlineStr">
        <is>
          <t>饮酒态度</t>
        </is>
      </c>
      <c r="C43" t="inlineStr">
        <is>
          <t>喜欢微醺</t>
        </is>
      </c>
      <c r="D43"/>
      <c r="E43"/>
      <c r="F43"/>
      <c r="G43"/>
      <c r="H43"/>
      <c r="I43"/>
      <c r="J43" t="inlineStr">
        <is>
          <t>0</t>
        </is>
      </c>
      <c r="K43"/>
      <c r="L43"/>
      <c r="M43" t="inlineStr">
        <is>
          <t>启用</t>
        </is>
      </c>
      <c r="N43" t="inlineStr">
        <is>
          <t>V1.0</t>
        </is>
      </c>
      <c r="O43"/>
      <c r="P43" s="4"/>
      <c r="Q43"/>
    </row>
    <row r="44" ht="25.5" customHeight="1">
      <c r="A44" t="inlineStr">
        <is>
          <t>AT-003</t>
        </is>
      </c>
      <c r="B44" t="inlineStr">
        <is>
          <t>饮酒态度</t>
        </is>
      </c>
      <c r="C44" t="inlineStr">
        <is>
          <t>偶尔小酌</t>
        </is>
      </c>
      <c r="D44"/>
      <c r="E44"/>
      <c r="F44"/>
      <c r="G44"/>
      <c r="H44"/>
      <c r="I44"/>
      <c r="J44" t="inlineStr">
        <is>
          <t>0</t>
        </is>
      </c>
      <c r="K44"/>
      <c r="L44"/>
      <c r="M44" t="inlineStr">
        <is>
          <t>启用</t>
        </is>
      </c>
      <c r="N44" t="inlineStr">
        <is>
          <t>V1.0</t>
        </is>
      </c>
      <c r="O44"/>
      <c r="P44" s="4"/>
      <c r="Q44"/>
    </row>
    <row r="45" ht="25.5" customHeight="1">
      <c r="A45" t="inlineStr">
        <is>
          <t>AT-004</t>
        </is>
      </c>
      <c r="B45" t="inlineStr">
        <is>
          <t>饮酒态度</t>
        </is>
      </c>
      <c r="C45" t="inlineStr">
        <is>
          <t>担心失控</t>
        </is>
      </c>
      <c r="D45"/>
      <c r="E45"/>
      <c r="F45"/>
      <c r="G45"/>
      <c r="H45"/>
      <c r="I45"/>
      <c r="J45" t="inlineStr">
        <is>
          <t>0</t>
        </is>
      </c>
      <c r="K45"/>
      <c r="L45"/>
      <c r="M45" t="inlineStr">
        <is>
          <t>启用</t>
        </is>
      </c>
      <c r="N45" t="inlineStr">
        <is>
          <t>V1.0</t>
        </is>
      </c>
      <c r="O45"/>
      <c r="P45" s="4"/>
      <c r="Q45"/>
    </row>
    <row r="46" ht="25.5" customHeight="1">
      <c r="A46" t="inlineStr">
        <is>
          <t>AT-005</t>
        </is>
      </c>
      <c r="B46" t="inlineStr">
        <is>
          <t>饮酒态度</t>
        </is>
      </c>
      <c r="C46" t="inlineStr">
        <is>
          <t>不喜欢酒味</t>
        </is>
      </c>
      <c r="D46"/>
      <c r="E46"/>
      <c r="F46"/>
      <c r="G46"/>
      <c r="H46"/>
      <c r="I46"/>
      <c r="J46" t="inlineStr">
        <is>
          <t>0</t>
        </is>
      </c>
      <c r="K46"/>
      <c r="L46"/>
      <c r="M46" t="inlineStr">
        <is>
          <t>启用</t>
        </is>
      </c>
      <c r="N46" t="inlineStr">
        <is>
          <t>V1.0</t>
        </is>
      </c>
      <c r="O46"/>
      <c r="P46" s="4"/>
      <c r="Q46"/>
    </row>
    <row r="47" ht="25.5" customHeight="1">
      <c r="A47" t="inlineStr">
        <is>
          <t>AT-006</t>
        </is>
      </c>
      <c r="B47" t="inlineStr">
        <is>
          <t>饮酒态度</t>
        </is>
      </c>
      <c r="C47" t="inlineStr">
        <is>
          <t>不主动喝酒</t>
        </is>
      </c>
      <c r="D47"/>
      <c r="E47"/>
      <c r="F47"/>
      <c r="G47"/>
      <c r="H47"/>
      <c r="I47"/>
      <c r="J47" t="inlineStr">
        <is>
          <t>0</t>
        </is>
      </c>
      <c r="K47"/>
      <c r="L47"/>
      <c r="M47" t="inlineStr">
        <is>
          <t>启用</t>
        </is>
      </c>
      <c r="N47" t="inlineStr">
        <is>
          <t>V1.0</t>
        </is>
      </c>
      <c r="O47"/>
      <c r="P47" s="4"/>
      <c r="Q47"/>
    </row>
    <row r="48" ht="25.5" customHeight="1">
      <c r="A48" t="inlineStr">
        <is>
          <t>AT-007</t>
        </is>
      </c>
      <c r="B48" t="inlineStr">
        <is>
          <t>饮酒态度</t>
        </is>
      </c>
      <c r="C48" t="inlineStr">
        <is>
          <t>明确拒酒</t>
        </is>
      </c>
      <c r="D48"/>
      <c r="E48"/>
      <c r="F48"/>
      <c r="G48"/>
      <c r="H48"/>
      <c r="I48"/>
      <c r="J48" t="inlineStr">
        <is>
          <t>0</t>
        </is>
      </c>
      <c r="K48"/>
      <c r="L48"/>
      <c r="M48" t="inlineStr">
        <is>
          <t>启用</t>
        </is>
      </c>
      <c r="N48" t="inlineStr">
        <is>
          <t>V1.0</t>
        </is>
      </c>
      <c r="O48"/>
      <c r="P48" s="4"/>
      <c r="Q48"/>
    </row>
    <row r="49" ht="25.5" customHeight="1">
      <c r="A49" t="inlineStr">
        <is>
          <t>AT-008</t>
        </is>
      </c>
      <c r="B49" t="inlineStr">
        <is>
          <t>饮酒态度</t>
        </is>
      </c>
      <c r="C49" t="inlineStr">
        <is>
          <t>习惯高度酒</t>
        </is>
      </c>
      <c r="D49"/>
      <c r="E49"/>
      <c r="F49"/>
      <c r="G49"/>
      <c r="H49"/>
      <c r="I49"/>
      <c r="J49" t="inlineStr">
        <is>
          <t>0</t>
        </is>
      </c>
      <c r="K49"/>
      <c r="L49"/>
      <c r="M49" t="inlineStr">
        <is>
          <t>启用</t>
        </is>
      </c>
      <c r="N49" t="inlineStr">
        <is>
          <t>V1.0</t>
        </is>
      </c>
      <c r="O49"/>
      <c r="P49" s="4"/>
      <c r="Q49"/>
    </row>
    <row r="50" ht="25.5" customHeight="1">
      <c r="A50" t="inlineStr">
        <is>
          <t>CO-001</t>
        </is>
      </c>
      <c r="B50" t="inlineStr">
        <is>
          <t>产品顾虑</t>
        </is>
      </c>
      <c r="C50" t="inlineStr">
        <is>
          <t>单喝难入口</t>
        </is>
      </c>
      <c r="D50"/>
      <c r="E50"/>
      <c r="F50"/>
      <c r="G50"/>
      <c r="H50"/>
      <c r="I50"/>
      <c r="J50" t="inlineStr">
        <is>
          <t>1</t>
        </is>
      </c>
      <c r="K50"/>
      <c r="L50"/>
      <c r="M50" t="inlineStr">
        <is>
          <t>启用</t>
        </is>
      </c>
      <c r="N50" t="inlineStr">
        <is>
          <t>V1.0</t>
        </is>
      </c>
      <c r="O50"/>
      <c r="P50" s="4"/>
      <c r="Q50"/>
    </row>
    <row r="51" ht="25.5" customHeight="1">
      <c r="A51" t="inlineStr">
        <is>
          <t>CO-002</t>
        </is>
      </c>
      <c r="B51" t="inlineStr">
        <is>
          <t>产品顾虑</t>
        </is>
      </c>
      <c r="C51" t="inlineStr">
        <is>
          <t>口味偏甜</t>
        </is>
      </c>
      <c r="D51"/>
      <c r="E51"/>
      <c r="F51"/>
      <c r="G51"/>
      <c r="H51"/>
      <c r="I51"/>
      <c r="J51" t="inlineStr">
        <is>
          <t>1</t>
        </is>
      </c>
      <c r="K51"/>
      <c r="L51"/>
      <c r="M51" t="inlineStr">
        <is>
          <t>启用</t>
        </is>
      </c>
      <c r="N51" t="inlineStr">
        <is>
          <t>V1.0</t>
        </is>
      </c>
      <c r="O51"/>
      <c r="P51" s="4"/>
      <c r="Q51"/>
    </row>
    <row r="52" ht="25.5" customHeight="1">
      <c r="A52" t="inlineStr">
        <is>
          <t>CO-003</t>
        </is>
      </c>
      <c r="B52" t="inlineStr">
        <is>
          <t>产品顾虑</t>
        </is>
      </c>
      <c r="C52" t="inlineStr">
        <is>
          <t>药味或草本味</t>
        </is>
      </c>
      <c r="D52"/>
      <c r="E52"/>
      <c r="F52"/>
      <c r="G52"/>
      <c r="H52"/>
      <c r="I52"/>
      <c r="J52" t="inlineStr">
        <is>
          <t>1</t>
        </is>
      </c>
      <c r="K52"/>
      <c r="L52"/>
      <c r="M52" t="inlineStr">
        <is>
          <t>启用</t>
        </is>
      </c>
      <c r="N52" t="inlineStr">
        <is>
          <t>V1.0</t>
        </is>
      </c>
      <c r="O52"/>
      <c r="P52" s="4"/>
      <c r="Q52"/>
    </row>
    <row r="53" ht="25.5" customHeight="1">
      <c r="A53" t="inlineStr">
        <is>
          <t>CO-004</t>
        </is>
      </c>
      <c r="B53" t="inlineStr">
        <is>
          <t>产品顾虑</t>
        </is>
      </c>
      <c r="C53" t="inlineStr">
        <is>
          <t>苦涩后味</t>
        </is>
      </c>
      <c r="D53"/>
      <c r="E53"/>
      <c r="F53"/>
      <c r="G53"/>
      <c r="H53"/>
      <c r="I53"/>
      <c r="J53" t="inlineStr">
        <is>
          <t>1</t>
        </is>
      </c>
      <c r="K53"/>
      <c r="L53"/>
      <c r="M53" t="inlineStr">
        <is>
          <t>启用</t>
        </is>
      </c>
      <c r="N53" t="inlineStr">
        <is>
          <t>V1.0</t>
        </is>
      </c>
      <c r="O53"/>
      <c r="P53" s="4"/>
      <c r="Q53"/>
    </row>
    <row r="54" ht="25.5" customHeight="1">
      <c r="A54" t="inlineStr">
        <is>
          <t>CO-005</t>
        </is>
      </c>
      <c r="B54" t="inlineStr">
        <is>
          <t>产品顾虑</t>
        </is>
      </c>
      <c r="C54" t="inlineStr">
        <is>
          <t>酒精感明显</t>
        </is>
      </c>
      <c r="D54"/>
      <c r="E54"/>
      <c r="F54"/>
      <c r="G54"/>
      <c r="H54"/>
      <c r="I54"/>
      <c r="J54" t="inlineStr">
        <is>
          <t>1</t>
        </is>
      </c>
      <c r="K54"/>
      <c r="L54"/>
      <c r="M54" t="inlineStr">
        <is>
          <t>启用</t>
        </is>
      </c>
      <c r="N54" t="inlineStr">
        <is>
          <t>V1.0</t>
        </is>
      </c>
      <c r="O54"/>
      <c r="P54" s="4"/>
      <c r="Q54"/>
    </row>
    <row r="55" ht="25.5" customHeight="1">
      <c r="A55" t="inlineStr">
        <is>
          <t>CO-006</t>
        </is>
      </c>
      <c r="B55" t="inlineStr">
        <is>
          <t>产品顾虑</t>
        </is>
      </c>
      <c r="C55" t="inlineStr">
        <is>
          <t>辣喉</t>
        </is>
      </c>
      <c r="D55"/>
      <c r="E55"/>
      <c r="F55"/>
      <c r="G55"/>
      <c r="H55"/>
      <c r="I55"/>
      <c r="J55" t="inlineStr">
        <is>
          <t>1</t>
        </is>
      </c>
      <c r="K55"/>
      <c r="L55"/>
      <c r="M55" t="inlineStr">
        <is>
          <t>启用</t>
        </is>
      </c>
      <c r="N55" t="inlineStr">
        <is>
          <t>V1.0</t>
        </is>
      </c>
      <c r="O55"/>
      <c r="P55" s="4"/>
      <c r="Q55"/>
    </row>
    <row r="56" ht="25.5" customHeight="1">
      <c r="A56" t="inlineStr">
        <is>
          <t>CO-007</t>
        </is>
      </c>
      <c r="B56" t="inlineStr">
        <is>
          <t>产品顾虑</t>
        </is>
      </c>
      <c r="C56" t="inlineStr">
        <is>
          <t>容易上头</t>
        </is>
      </c>
      <c r="D56"/>
      <c r="E56"/>
      <c r="F56"/>
      <c r="G56"/>
      <c r="H56"/>
      <c r="I56"/>
      <c r="J56" t="inlineStr">
        <is>
          <t>1</t>
        </is>
      </c>
      <c r="K56"/>
      <c r="L56"/>
      <c r="M56" t="inlineStr">
        <is>
          <t>启用</t>
        </is>
      </c>
      <c r="N56" t="inlineStr">
        <is>
          <t>V1.0</t>
        </is>
      </c>
      <c r="O56"/>
      <c r="P56" s="4"/>
      <c r="Q56"/>
    </row>
    <row r="57" ht="25.5" customHeight="1">
      <c r="A57" t="inlineStr">
        <is>
          <t>CO-008</t>
        </is>
      </c>
      <c r="B57" t="inlineStr">
        <is>
          <t>产品顾虑</t>
        </is>
      </c>
      <c r="C57" t="inlineStr">
        <is>
          <t>第二天头疼</t>
        </is>
      </c>
      <c r="D57"/>
      <c r="E57"/>
      <c r="F57"/>
      <c r="G57"/>
      <c r="H57"/>
      <c r="I57"/>
      <c r="J57" t="inlineStr">
        <is>
          <t>1</t>
        </is>
      </c>
      <c r="K57"/>
      <c r="L57"/>
      <c r="M57" t="inlineStr">
        <is>
          <t>启用</t>
        </is>
      </c>
      <c r="N57" t="inlineStr">
        <is>
          <t>V1.0</t>
        </is>
      </c>
      <c r="O57"/>
      <c r="P57" s="4"/>
      <c r="Q57"/>
    </row>
    <row r="58" ht="25.5" customHeight="1">
      <c r="A58" t="inlineStr">
        <is>
          <t>CO-009</t>
        </is>
      </c>
      <c r="B58" t="inlineStr">
        <is>
          <t>产品顾虑</t>
        </is>
      </c>
      <c r="C58" t="inlineStr">
        <is>
          <t>风味融合不足</t>
        </is>
      </c>
      <c r="D58"/>
      <c r="E58"/>
      <c r="F58"/>
      <c r="G58"/>
      <c r="H58"/>
      <c r="I58"/>
      <c r="J58" t="inlineStr">
        <is>
          <t>1</t>
        </is>
      </c>
      <c r="K58"/>
      <c r="L58"/>
      <c r="M58" t="inlineStr">
        <is>
          <t>启用</t>
        </is>
      </c>
      <c r="N58" t="inlineStr">
        <is>
          <t>V1.0</t>
        </is>
      </c>
      <c r="O58"/>
      <c r="P58" s="4"/>
      <c r="Q58"/>
    </row>
    <row r="59" ht="25.5" customHeight="1">
      <c r="A59" t="inlineStr">
        <is>
          <t>CO-010</t>
        </is>
      </c>
      <c r="B59" t="inlineStr">
        <is>
          <t>产品顾虑</t>
        </is>
      </c>
      <c r="C59" t="inlineStr">
        <is>
          <t>配料不可信</t>
        </is>
      </c>
      <c r="D59"/>
      <c r="E59"/>
      <c r="F59"/>
      <c r="G59"/>
      <c r="H59"/>
      <c r="I59"/>
      <c r="J59" t="inlineStr">
        <is>
          <t>1</t>
        </is>
      </c>
      <c r="K59"/>
      <c r="L59"/>
      <c r="M59" t="inlineStr">
        <is>
          <t>启用</t>
        </is>
      </c>
      <c r="N59" t="inlineStr">
        <is>
          <t>V1.0</t>
        </is>
      </c>
      <c r="O59"/>
      <c r="P59" s="4"/>
      <c r="Q59"/>
    </row>
    <row r="60" ht="25.5" customHeight="1">
      <c r="A60" t="inlineStr">
        <is>
          <t>CO-011</t>
        </is>
      </c>
      <c r="B60" t="inlineStr">
        <is>
          <t>产品顾虑</t>
        </is>
      </c>
      <c r="C60" t="inlineStr">
        <is>
          <t>价格偏高</t>
        </is>
      </c>
      <c r="D60"/>
      <c r="E60"/>
      <c r="F60"/>
      <c r="G60"/>
      <c r="H60"/>
      <c r="I60"/>
      <c r="J60" t="inlineStr">
        <is>
          <t>1</t>
        </is>
      </c>
      <c r="K60"/>
      <c r="L60"/>
      <c r="M60" t="inlineStr">
        <is>
          <t>启用</t>
        </is>
      </c>
      <c r="N60" t="inlineStr">
        <is>
          <t>V1.0</t>
        </is>
      </c>
      <c r="O60"/>
      <c r="P60" s="4"/>
      <c r="Q60"/>
    </row>
    <row r="61" ht="25.5" customHeight="1">
      <c r="A61" t="inlineStr">
        <is>
          <t>CO-012</t>
        </is>
      </c>
      <c r="B61" t="inlineStr">
        <is>
          <t>产品顾虑</t>
        </is>
      </c>
      <c r="C61" t="inlineStr">
        <is>
          <t>不知道怎么选择</t>
        </is>
      </c>
      <c r="D61"/>
      <c r="E61"/>
      <c r="F61"/>
      <c r="G61"/>
      <c r="H61"/>
      <c r="I61"/>
      <c r="J61" t="inlineStr">
        <is>
          <t>1</t>
        </is>
      </c>
      <c r="K61"/>
      <c r="L61"/>
      <c r="M61" t="inlineStr">
        <is>
          <t>启用</t>
        </is>
      </c>
      <c r="N61" t="inlineStr">
        <is>
          <t>V1.0</t>
        </is>
      </c>
      <c r="O61"/>
      <c r="P61" s="4"/>
      <c r="Q61"/>
    </row>
    <row r="62" ht="25.5" customHeight="1">
      <c r="A62" t="inlineStr">
        <is>
          <t>CO-013</t>
        </is>
      </c>
      <c r="B62" t="inlineStr">
        <is>
          <t>产品顾虑</t>
        </is>
      </c>
      <c r="C62" t="inlineStr">
        <is>
          <t>需要调饮</t>
        </is>
      </c>
      <c r="D62"/>
      <c r="E62"/>
      <c r="F62"/>
      <c r="G62"/>
      <c r="H62"/>
      <c r="I62"/>
      <c r="J62" t="inlineStr">
        <is>
          <t>1</t>
        </is>
      </c>
      <c r="K62"/>
      <c r="L62"/>
      <c r="M62" t="inlineStr">
        <is>
          <t>启用</t>
        </is>
      </c>
      <c r="N62" t="inlineStr">
        <is>
          <t>V1.0</t>
        </is>
      </c>
      <c r="O62"/>
      <c r="P62" s="4"/>
      <c r="Q62"/>
    </row>
    <row r="63" ht="25.5" customHeight="1">
      <c r="A63" t="inlineStr">
        <is>
          <t>CF-001</t>
        </is>
      </c>
      <c r="B63" t="inlineStr">
        <is>
          <t>核心冲突</t>
        </is>
      </c>
      <c r="C63" t="inlineStr">
        <is>
          <t>想微醺但不想真醉</t>
        </is>
      </c>
      <c r="D63"/>
      <c r="E63"/>
      <c r="F63"/>
      <c r="G63"/>
      <c r="H63"/>
      <c r="I63"/>
      <c r="J63" t="inlineStr">
        <is>
          <t>1</t>
        </is>
      </c>
      <c r="K63"/>
      <c r="L63"/>
      <c r="M63" t="inlineStr">
        <is>
          <t>启用</t>
        </is>
      </c>
      <c r="N63" t="inlineStr">
        <is>
          <t>V1.0</t>
        </is>
      </c>
      <c r="O63"/>
      <c r="P63" s="4"/>
      <c r="Q63"/>
    </row>
    <row r="64" ht="25.5" customHeight="1">
      <c r="A64" t="inlineStr">
        <is>
          <t>CF-002</t>
        </is>
      </c>
      <c r="B64" t="inlineStr">
        <is>
          <t>核心冲突</t>
        </is>
      </c>
      <c r="C64" t="inlineStr">
        <is>
          <t>想参与社交但不想被劝酒</t>
        </is>
      </c>
      <c r="D64"/>
      <c r="E64"/>
      <c r="F64"/>
      <c r="G64"/>
      <c r="H64"/>
      <c r="I64"/>
      <c r="J64" t="inlineStr">
        <is>
          <t>1</t>
        </is>
      </c>
      <c r="K64"/>
      <c r="L64"/>
      <c r="M64" t="inlineStr">
        <is>
          <t>启用</t>
        </is>
      </c>
      <c r="N64" t="inlineStr">
        <is>
          <t>V1.0</t>
        </is>
      </c>
      <c r="O64"/>
      <c r="P64" s="4"/>
      <c r="Q64"/>
    </row>
    <row r="65" ht="25.5" customHeight="1">
      <c r="A65" t="inlineStr">
        <is>
          <t>CF-003</t>
        </is>
      </c>
      <c r="B65" t="inlineStr">
        <is>
          <t>核心冲突</t>
        </is>
      </c>
      <c r="C65" t="inlineStr">
        <is>
          <t>想有氛围但不想失去边界</t>
        </is>
      </c>
      <c r="D65"/>
      <c r="E65"/>
      <c r="F65"/>
      <c r="G65"/>
      <c r="H65"/>
      <c r="I65"/>
      <c r="J65" t="inlineStr">
        <is>
          <t>1</t>
        </is>
      </c>
      <c r="K65"/>
      <c r="L65"/>
      <c r="M65" t="inlineStr">
        <is>
          <t>启用</t>
        </is>
      </c>
      <c r="N65" t="inlineStr">
        <is>
          <t>V1.0</t>
        </is>
      </c>
      <c r="O65"/>
      <c r="P65" s="4"/>
      <c r="Q65"/>
    </row>
    <row r="66" ht="25.5" customHeight="1">
      <c r="A66" t="inlineStr">
        <is>
          <t>CF-004</t>
        </is>
      </c>
      <c r="B66" t="inlineStr">
        <is>
          <t>核心冲突</t>
        </is>
      </c>
      <c r="C66" t="inlineStr">
        <is>
          <t>想好入口但害怕怪味</t>
        </is>
      </c>
      <c r="D66"/>
      <c r="E66"/>
      <c r="F66"/>
      <c r="G66"/>
      <c r="H66"/>
      <c r="I66"/>
      <c r="J66" t="inlineStr">
        <is>
          <t>1</t>
        </is>
      </c>
      <c r="K66"/>
      <c r="L66"/>
      <c r="M66" t="inlineStr">
        <is>
          <t>启用</t>
        </is>
      </c>
      <c r="N66" t="inlineStr">
        <is>
          <t>V1.0</t>
        </is>
      </c>
      <c r="O66"/>
      <c r="P66" s="4"/>
      <c r="Q66"/>
    </row>
    <row r="67" ht="25.5" customHeight="1">
      <c r="A67" t="inlineStr">
        <is>
          <t>CF-005</t>
        </is>
      </c>
      <c r="B67" t="inlineStr">
        <is>
          <t>核心冲突</t>
        </is>
      </c>
      <c r="C67" t="inlineStr">
        <is>
          <t>想放松但不想承担饮后负担</t>
        </is>
      </c>
      <c r="D67"/>
      <c r="E67"/>
      <c r="F67"/>
      <c r="G67"/>
      <c r="H67"/>
      <c r="I67"/>
      <c r="J67" t="inlineStr">
        <is>
          <t>1</t>
        </is>
      </c>
      <c r="K67"/>
      <c r="L67"/>
      <c r="M67" t="inlineStr">
        <is>
          <t>启用</t>
        </is>
      </c>
      <c r="N67" t="inlineStr">
        <is>
          <t>V1.0</t>
        </is>
      </c>
      <c r="O67"/>
      <c r="P67" s="4"/>
      <c r="Q67"/>
    </row>
    <row r="68" ht="25.5" customHeight="1">
      <c r="A68" t="inlineStr">
        <is>
          <t>CF-006</t>
        </is>
      </c>
      <c r="B68" t="inlineStr">
        <is>
          <t>核心冲突</t>
        </is>
      </c>
      <c r="C68" t="inlineStr">
        <is>
          <t>想尝试但害怕踩雷</t>
        </is>
      </c>
      <c r="D68"/>
      <c r="E68"/>
      <c r="F68"/>
      <c r="G68"/>
      <c r="H68"/>
      <c r="I68"/>
      <c r="J68" t="inlineStr">
        <is>
          <t>1</t>
        </is>
      </c>
      <c r="K68"/>
      <c r="L68"/>
      <c r="M68" t="inlineStr">
        <is>
          <t>启用</t>
        </is>
      </c>
      <c r="N68" t="inlineStr">
        <is>
          <t>V1.0</t>
        </is>
      </c>
      <c r="O68"/>
      <c r="P68" s="4"/>
      <c r="Q68"/>
    </row>
    <row r="69" ht="25.5" customHeight="1">
      <c r="A69" t="inlineStr">
        <is>
          <t>CF-007</t>
        </is>
      </c>
      <c r="B69" t="inlineStr">
        <is>
          <t>核心冲突</t>
        </is>
      </c>
      <c r="C69" t="inlineStr">
        <is>
          <t>想要颜值但口味必须可信</t>
        </is>
      </c>
      <c r="D69"/>
      <c r="E69"/>
      <c r="F69"/>
      <c r="G69"/>
      <c r="H69"/>
      <c r="I69"/>
      <c r="J69" t="inlineStr">
        <is>
          <t>1</t>
        </is>
      </c>
      <c r="K69"/>
      <c r="L69"/>
      <c r="M69" t="inlineStr">
        <is>
          <t>启用</t>
        </is>
      </c>
      <c r="N69" t="inlineStr">
        <is>
          <t>V1.0</t>
        </is>
      </c>
      <c r="O69"/>
      <c r="P69" s="4"/>
      <c r="Q69"/>
    </row>
    <row r="70" ht="25.5" customHeight="1">
      <c r="A70" t="inlineStr">
        <is>
          <t>CF-008</t>
        </is>
      </c>
      <c r="B70" t="inlineStr">
        <is>
          <t>核心冲突</t>
        </is>
      </c>
      <c r="C70" t="inlineStr">
        <is>
          <t>想调饮分享但不想过于复杂</t>
        </is>
      </c>
      <c r="D70"/>
      <c r="E70"/>
      <c r="F70"/>
      <c r="G70"/>
      <c r="H70"/>
      <c r="I70"/>
      <c r="J70" t="inlineStr">
        <is>
          <t>1</t>
        </is>
      </c>
      <c r="K70"/>
      <c r="L70"/>
      <c r="M70" t="inlineStr">
        <is>
          <t>启用</t>
        </is>
      </c>
      <c r="N70" t="inlineStr">
        <is>
          <t>V1.0</t>
        </is>
      </c>
      <c r="O70"/>
      <c r="P70" s="4"/>
      <c r="Q70"/>
    </row>
  </sheetData>
  <dataValidations count="2">
    <dataValidation allowBlank="false" sqref="B2:B69" type="list">
      <formula1>"用户类型,用户场景,真实情绪,身份需求,用户想要,用户拒绝,饮酒态度,产品顾虑,品牌反馈,核心冲突"</formula1>
    </dataValidation>
    <dataValidation allowBlank="false" sqref="M2:M69" type="list">
      <formula1>"草稿,启用,待修改,停用"</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s>
  <sheetData>
    <row r="1" ht="13" customHeight="1">
      <c r="A1" s="1" t="inlineStr">
        <is>
          <t>分析编号</t>
        </is>
      </c>
      <c r="B1" s="1" t="inlineStr">
        <is>
          <t>清洗后文本</t>
        </is>
      </c>
      <c r="C1" s="1" t="inlineStr">
        <is>
          <t>用户类型</t>
        </is>
      </c>
      <c r="D1" s="1" t="inlineStr">
        <is>
          <t>用户场景</t>
        </is>
      </c>
      <c r="E1" s="1" t="inlineStr">
        <is>
          <t>表层需求</t>
        </is>
      </c>
      <c r="F1" s="1" t="inlineStr">
        <is>
          <t>真实情绪</t>
        </is>
      </c>
      <c r="G1" s="1" t="inlineStr">
        <is>
          <t>身份需求</t>
        </is>
      </c>
      <c r="H1" s="1" t="inlineStr">
        <is>
          <t>用户想要</t>
        </is>
      </c>
      <c r="I1" s="1" t="inlineStr">
        <is>
          <t>用户拒绝</t>
        </is>
      </c>
      <c r="J1" s="1" t="inlineStr">
        <is>
          <t>核心冲突</t>
        </is>
      </c>
      <c r="K1" s="1" t="inlineStr">
        <is>
          <t>饮酒态度</t>
        </is>
      </c>
      <c r="L1" s="1" t="inlineStr">
        <is>
          <t>产品顾虑</t>
        </is>
      </c>
      <c r="M1" s="1" t="inlineStr">
        <is>
          <t>目标品牌反馈</t>
        </is>
      </c>
      <c r="N1" s="1" t="inlineStr">
        <is>
          <t>竞品品牌</t>
        </is>
      </c>
      <c r="O1" s="1" t="inlineStr">
        <is>
          <t>竞品反馈</t>
        </is>
      </c>
      <c r="P1" s="1" t="inlineStr">
        <is>
          <t>局部品牌启发</t>
        </is>
      </c>
      <c r="Q1" s="1" t="inlineStr">
        <is>
          <t>有效证据原句</t>
        </is>
      </c>
      <c r="R1" s="1" t="inlineStr">
        <is>
          <t>信息有效等级</t>
        </is>
      </c>
      <c r="S1" s="1" t="inlineStr">
        <is>
          <t>AI置信度</t>
        </is>
      </c>
      <c r="T1" s="1" t="inlineStr">
        <is>
          <t>AI分析版本</t>
        </is>
      </c>
      <c r="U1" s="1" t="inlineStr">
        <is>
          <t>人工复核结果</t>
        </is>
      </c>
      <c r="V1" s="1" t="inlineStr">
        <is>
          <t>人工修改内容</t>
        </is>
      </c>
      <c r="W1" s="1" t="inlineStr">
        <is>
          <t>复核人员</t>
        </is>
      </c>
      <c r="X1" s="1" t="inlineStr">
        <is>
          <t>语料编号</t>
        </is>
      </c>
      <c r="Y1" s="1" t="inlineStr">
        <is>
          <t>对应洞察编号</t>
        </is>
      </c>
      <c r="Z1" s="1" t="inlineStr">
        <is>
          <t>匹配洞察编号</t>
        </is>
      </c>
      <c r="AA1" s="1" t="inlineStr">
        <is>
          <t>增量关系</t>
        </is>
      </c>
      <c r="AB1" s="1" t="inlineStr">
        <is>
          <t>新增价值</t>
        </is>
      </c>
      <c r="AC1" s="1" t="inlineStr">
        <is>
          <t>修正建议</t>
        </is>
      </c>
      <c r="AD1" s="1" t="inlineStr">
        <is>
          <t>是否进入新需求候选池</t>
        </is>
      </c>
      <c r="AE1" s="1" t="inlineStr">
        <is>
          <t>候选需求名称</t>
        </is>
      </c>
      <c r="AF1" s="1" t="inlineStr">
        <is>
          <t>标注来源</t>
        </is>
      </c>
      <c r="AG1" s="1" t="inlineStr">
        <is>
          <t>数据集名称</t>
        </is>
      </c>
      <c r="AH1" s="1" t="inlineStr">
        <is>
          <t>Routing</t>
        </is>
      </c>
      <c r="AI1" s="1" t="inlineStr">
        <is>
          <t>体验范围</t>
        </is>
      </c>
      <c r="AJ1" s="1" t="inlineStr">
        <is>
          <t>证据等级</t>
        </is>
      </c>
      <c r="AK1" s="1" t="inlineStr">
        <is>
          <t>解释</t>
        </is>
      </c>
      <c r="AL1" s="1" t="inlineStr">
        <is>
          <t>人工标签</t>
        </is>
      </c>
      <c r="AM1" s="1" t="inlineStr">
        <is>
          <t>来源文件</t>
        </is>
      </c>
    </row>
    <row r="2" ht="25.5" customHeight="1">
      <c r="A2" t="inlineStr">
        <is>
          <t>MJ-RAW-0003_ANALYSIS_BASELINE_formal-attempt-0001_AI</t>
        </is>
      </c>
      <c r="B2" t="inlineStr">
        <is>
          <t>“梅见酒后劲大吗”“梅见喝了第二天头疼吗”“梅见兑什么喝”“梅见哪个口味最好喝”“梅见青梅酒喝完容易上头吗”</t>
        </is>
      </c>
      <c r="C2"/>
      <c r="D2"/>
      <c r="E2"/>
      <c r="F2"/>
      <c r="G2"/>
      <c r="H2"/>
      <c r="I2"/>
      <c r="J2"/>
      <c r="K2"/>
      <c r="L2"/>
      <c r="M2"/>
      <c r="N2"/>
      <c r="O2"/>
      <c r="P2"/>
      <c r="Q2"/>
      <c r="R2"/>
      <c r="S2">
        <v>0.7</v>
      </c>
      <c r="T2" t="inlineStr">
        <is>
          <t>formal-attempt-0001</t>
        </is>
      </c>
      <c r="U2"/>
      <c r="V2"/>
      <c r="W2"/>
      <c r="X2" t="inlineStr">
        <is>
          <t>MJ-RAW-0003</t>
        </is>
      </c>
      <c r="Y2"/>
      <c r="Z2"/>
      <c r="AA2"/>
      <c r="AB2"/>
      <c r="AC2"/>
      <c r="AD2"/>
      <c r="AE2"/>
      <c r="AF2" t="inlineStr">
        <is>
          <t>AI</t>
        </is>
      </c>
      <c r="AG2" t="inlineStr">
        <is>
          <t>ANALYSIS_BASELINE</t>
        </is>
      </c>
      <c r="AH2" t="inlineStr">
        <is>
          <t>OTHER</t>
        </is>
      </c>
      <c r="AI2" t="inlineStr">
        <is>
          <t>UNKNOWN</t>
        </is>
      </c>
      <c r="AJ2" t="inlineStr">
        <is>
          <t>C</t>
        </is>
      </c>
      <c r="AK2" t="inlineStr">
        <is>
          <t>核心对象：未发生的饮用推荐询问；体验：原文仅提出问题，未表明实际使用；证据强度：只有问题列表，没有明确评价或可复核依据。</t>
        </is>
      </c>
      <c r="AL2"/>
      <c r="AM2" t="inlineStr">
        <is>
          <t>ANALYSIS_BASELINE_229.xlsx</t>
        </is>
      </c>
    </row>
    <row r="3" ht="25.5" customHeight="1">
      <c r="A3" t="inlineStr">
        <is>
          <t>MJ-RAW-0007_ANALYSIS_BASELINE_formal-attempt-0001_AI</t>
        </is>
      </c>
      <c r="B3" t="inlineStr">
        <is>
          <t>”挺好喝的，果酒里面算度数高的了,我从十几块喝到现在三十多，涨价涨的喝不动了，偶尔喝一会"</t>
        </is>
      </c>
      <c r="C3"/>
      <c r="D3"/>
      <c r="E3"/>
      <c r="F3"/>
      <c r="G3"/>
      <c r="H3"/>
      <c r="I3"/>
      <c r="J3"/>
      <c r="K3"/>
      <c r="L3"/>
      <c r="M3"/>
      <c r="N3"/>
      <c r="O3"/>
      <c r="P3"/>
      <c r="Q3"/>
      <c r="R3"/>
      <c r="S3">
        <v>0.9</v>
      </c>
      <c r="T3" t="inlineStr">
        <is>
          <t>formal-attempt-0001</t>
        </is>
      </c>
      <c r="U3"/>
      <c r="V3"/>
      <c r="W3"/>
      <c r="X3" t="inlineStr">
        <is>
          <t>MJ-RAW-0007</t>
        </is>
      </c>
      <c r="Y3"/>
      <c r="Z3"/>
      <c r="AA3"/>
      <c r="AB3"/>
      <c r="AC3"/>
      <c r="AD3"/>
      <c r="AE3"/>
      <c r="AF3" t="inlineStr">
        <is>
          <t>AI</t>
        </is>
      </c>
      <c r="AG3" t="inlineStr">
        <is>
          <t>ANALYSIS_BASELINE</t>
        </is>
      </c>
      <c r="AH3" t="inlineStr">
        <is>
          <t>PRODUCT</t>
        </is>
      </c>
      <c r="AI3" t="inlineStr">
        <is>
          <t>ACTUAL_USE</t>
        </is>
      </c>
      <c r="AJ3" t="inlineStr">
        <is>
          <t>A</t>
        </is>
      </c>
      <c r="AK3" t="inlineStr">
        <is>
          <t>核心对象：产品的口味、酒精度与价格体验；体验：原文以第一人称说明实际饮用；证据强度：包含口味、度数和价格变化的具体判断，信息链完整。</t>
        </is>
      </c>
      <c r="AL3"/>
      <c r="AM3" t="inlineStr">
        <is>
          <t>ANALYSIS_BASELINE_229.xlsx</t>
        </is>
      </c>
    </row>
    <row r="4" ht="25.5" customHeight="1">
      <c r="A4" t="inlineStr">
        <is>
          <t>MJ-RAW-0019_ANALYSIS_BASELINE_formal-attempt-0001_AI</t>
        </is>
      </c>
      <c r="B4" t="inlineStr">
        <is>
          <t>单喝梅见真的很难喝</t>
        </is>
      </c>
      <c r="C4"/>
      <c r="D4"/>
      <c r="E4"/>
      <c r="F4"/>
      <c r="G4"/>
      <c r="H4"/>
      <c r="I4"/>
      <c r="J4"/>
      <c r="K4"/>
      <c r="L4"/>
      <c r="M4"/>
      <c r="N4"/>
      <c r="O4"/>
      <c r="P4"/>
      <c r="Q4"/>
      <c r="R4"/>
      <c r="S4">
        <v>0.9</v>
      </c>
      <c r="T4" t="inlineStr">
        <is>
          <t>formal-attempt-0001</t>
        </is>
      </c>
      <c r="U4"/>
      <c r="V4"/>
      <c r="W4"/>
      <c r="X4" t="inlineStr">
        <is>
          <t>MJ-RAW-0019</t>
        </is>
      </c>
      <c r="Y4"/>
      <c r="Z4"/>
      <c r="AA4"/>
      <c r="AB4"/>
      <c r="AC4"/>
      <c r="AD4"/>
      <c r="AE4"/>
      <c r="AF4" t="inlineStr">
        <is>
          <t>AI</t>
        </is>
      </c>
      <c r="AG4" t="inlineStr">
        <is>
          <t>ANALYSIS_BASELINE</t>
        </is>
      </c>
      <c r="AH4" t="inlineStr">
        <is>
          <t>PRODUCT</t>
        </is>
      </c>
      <c r="AI4" t="inlineStr">
        <is>
          <t>ACTUAL_USE</t>
        </is>
      </c>
      <c r="AJ4" t="inlineStr">
        <is>
          <t>C</t>
        </is>
      </c>
      <c r="AK4" t="inlineStr">
        <is>
          <t>核心对象：单喝时的产品口感；体验：直接口感判断表明实际饮用；证据强度：只有笼统口感判断，缺少具体依据。</t>
        </is>
      </c>
      <c r="AL4"/>
      <c r="AM4" t="inlineStr">
        <is>
          <t>ANALYSIS_BASELINE_229.xlsx</t>
        </is>
      </c>
    </row>
    <row r="5" ht="25.5" customHeight="1">
      <c r="A5" t="inlineStr">
        <is>
          <t>MJ-RAW-0021_ANALYSIS_BASELINE_formal-attempt-0001_AI</t>
        </is>
      </c>
      <c r="B5" t="inlineStr">
        <is>
          <t>这款150毫升的小瓶梅见实在是太可爱啦，对于一个梅见迷来说，小瓶刚刚好，一次喝完，不怕会变味，7种味道，本人最喜欢烟熏风味的，超酸的也不错，送的山岩杯颜值也很高！</t>
        </is>
      </c>
      <c r="C5"/>
      <c r="D5"/>
      <c r="E5"/>
      <c r="F5"/>
      <c r="G5"/>
      <c r="H5"/>
      <c r="I5"/>
      <c r="J5"/>
      <c r="K5"/>
      <c r="L5"/>
      <c r="M5"/>
      <c r="N5"/>
      <c r="O5"/>
      <c r="P5"/>
      <c r="Q5"/>
      <c r="R5"/>
      <c r="S5">
        <v>0.9</v>
      </c>
      <c r="T5" t="inlineStr">
        <is>
          <t>formal-attempt-0001</t>
        </is>
      </c>
      <c r="U5"/>
      <c r="V5"/>
      <c r="W5"/>
      <c r="X5" t="inlineStr">
        <is>
          <t>MJ-RAW-0021</t>
        </is>
      </c>
      <c r="Y5"/>
      <c r="Z5"/>
      <c r="AA5"/>
      <c r="AB5"/>
      <c r="AC5"/>
      <c r="AD5"/>
      <c r="AE5"/>
      <c r="AF5" t="inlineStr">
        <is>
          <t>AI</t>
        </is>
      </c>
      <c r="AG5" t="inlineStr">
        <is>
          <t>ANALYSIS_BASELINE</t>
        </is>
      </c>
      <c r="AH5" t="inlineStr">
        <is>
          <t>PRODUCT</t>
        </is>
      </c>
      <c r="AI5" t="inlineStr">
        <is>
          <t>ACTUAL_USE</t>
        </is>
      </c>
      <c r="AJ5" t="inlineStr">
        <is>
          <t>A</t>
        </is>
      </c>
      <c r="AK5" t="inlineStr">
        <is>
          <t>核心对象：产品的规格、口味与外观体验；体验：原文明确写到一次喝完并给出直接评价；证据强度：有容量、口味和外观等具体依据及明确判断，信息链完整。</t>
        </is>
      </c>
      <c r="AL5"/>
      <c r="AM5" t="inlineStr">
        <is>
          <t>ANALYSIS_BASELINE_229.xlsx</t>
        </is>
      </c>
    </row>
    <row r="6" ht="25.5" customHeight="1">
      <c r="A6" t="inlineStr">
        <is>
          <t>MJ-RAW-0024_ANALYSIS_BASELINE_formal-attempt-0001_AI</t>
        </is>
      </c>
      <c r="B6" t="inlineStr">
        <is>
          <t>梅见梅子酒酸甜恰到好处，果香浓郁清新，入口顺滑不涩，冰镇后口感更佳。它完美诠释青梅本味，佐餐解腻效果出众。瓶身简约大气，12度微醺刚刚好，轻松惬意无压力。不论是热闹聚餐还是安静独处，来上一杯都非常舒心，亲民定价却有不俗品质，已经多次回购。</t>
        </is>
      </c>
      <c r="C6"/>
      <c r="D6"/>
      <c r="E6"/>
      <c r="F6"/>
      <c r="G6"/>
      <c r="H6"/>
      <c r="I6"/>
      <c r="J6"/>
      <c r="K6"/>
      <c r="L6"/>
      <c r="M6"/>
      <c r="N6"/>
      <c r="O6"/>
      <c r="P6"/>
      <c r="Q6"/>
      <c r="R6"/>
      <c r="S6">
        <v>0.9</v>
      </c>
      <c r="T6" t="inlineStr">
        <is>
          <t>formal-attempt-0001</t>
        </is>
      </c>
      <c r="U6"/>
      <c r="V6"/>
      <c r="W6"/>
      <c r="X6" t="inlineStr">
        <is>
          <t>MJ-RAW-0024</t>
        </is>
      </c>
      <c r="Y6"/>
      <c r="Z6"/>
      <c r="AA6"/>
      <c r="AB6"/>
      <c r="AC6"/>
      <c r="AD6"/>
      <c r="AE6"/>
      <c r="AF6" t="inlineStr">
        <is>
          <t>AI</t>
        </is>
      </c>
      <c r="AG6" t="inlineStr">
        <is>
          <t>ANALYSIS_BASELINE</t>
        </is>
      </c>
      <c r="AH6" t="inlineStr">
        <is>
          <t>PRODUCT</t>
        </is>
      </c>
      <c r="AI6" t="inlineStr">
        <is>
          <t>ACTUAL_USE</t>
        </is>
      </c>
      <c r="AJ6" t="inlineStr">
        <is>
          <t>A</t>
        </is>
      </c>
      <c r="AK6" t="inlineStr">
        <is>
          <t>核心对象：产品的口味、酒精感、包装与调饮或佐餐体验；体验：原文给出多项直接体验并说明多次回购；证据强度：有具体口感、度数、场景和回购依据，信息链完整。</t>
        </is>
      </c>
      <c r="AL6"/>
      <c r="AM6" t="inlineStr">
        <is>
          <t>ANALYSIS_BASELINE_229.xlsx</t>
        </is>
      </c>
    </row>
    <row r="7" ht="25.5" customHeight="1">
      <c r="A7" t="inlineStr">
        <is>
          <t>MJ-RAW-0032_ANALYSIS_BASELINE_formal-attempt-0001_AI</t>
        </is>
      </c>
      <c r="B7" t="inlineStr">
        <is>
          <t>单喝有点酸，兑过元气森林葡萄水和水溶C西柚，味道都不错，还有淡淡的梅子香，好喝不辣口（没有照片了，已经喝完了）</t>
        </is>
      </c>
      <c r="C7"/>
      <c r="D7"/>
      <c r="E7"/>
      <c r="F7"/>
      <c r="G7"/>
      <c r="H7"/>
      <c r="I7"/>
      <c r="J7"/>
      <c r="K7"/>
      <c r="L7"/>
      <c r="M7"/>
      <c r="N7"/>
      <c r="O7"/>
      <c r="P7"/>
      <c r="Q7"/>
      <c r="R7"/>
      <c r="S7">
        <v>0.9</v>
      </c>
      <c r="T7" t="inlineStr">
        <is>
          <t>formal-attempt-0001</t>
        </is>
      </c>
      <c r="U7"/>
      <c r="V7"/>
      <c r="W7"/>
      <c r="X7" t="inlineStr">
        <is>
          <t>MJ-RAW-0032</t>
        </is>
      </c>
      <c r="Y7"/>
      <c r="Z7"/>
      <c r="AA7"/>
      <c r="AB7"/>
      <c r="AC7"/>
      <c r="AD7"/>
      <c r="AE7"/>
      <c r="AF7" t="inlineStr">
        <is>
          <t>AI</t>
        </is>
      </c>
      <c r="AG7" t="inlineStr">
        <is>
          <t>ANALYSIS_BASELINE</t>
        </is>
      </c>
      <c r="AH7" t="inlineStr">
        <is>
          <t>PRODUCT</t>
        </is>
      </c>
      <c r="AI7" t="inlineStr">
        <is>
          <t>ACTUAL_USE</t>
        </is>
      </c>
      <c r="AJ7" t="inlineStr">
        <is>
          <t>A</t>
        </is>
      </c>
      <c r="AK7" t="inlineStr">
        <is>
          <t>核心对象：产品的口感与调饮结果；体验：原文明确写到兑饮并已喝完；证据强度：有具体兑饮对象、口感判断和饮用结果，信息链完整。</t>
        </is>
      </c>
      <c r="AL7"/>
      <c r="AM7" t="inlineStr">
        <is>
          <t>ANALYSIS_BASELINE_229.xlsx</t>
        </is>
      </c>
    </row>
    <row r="8" ht="25.5" customHeight="1">
      <c r="A8" t="inlineStr">
        <is>
          <t>MJ-RAW-0033_ANALYSIS_BASELINE_formal-attempt-0001_AI</t>
        </is>
      </c>
      <c r="B8" t="inlineStr">
        <is>
          <t>我感觉有点酸，不太适合喜欢甜口的人。</t>
        </is>
      </c>
      <c r="C8"/>
      <c r="D8"/>
      <c r="E8"/>
      <c r="F8"/>
      <c r="G8"/>
      <c r="H8"/>
      <c r="I8"/>
      <c r="J8"/>
      <c r="K8"/>
      <c r="L8"/>
      <c r="M8"/>
      <c r="N8"/>
      <c r="O8"/>
      <c r="P8"/>
      <c r="Q8"/>
      <c r="R8"/>
      <c r="S8">
        <v>0.9</v>
      </c>
      <c r="T8" t="inlineStr">
        <is>
          <t>formal-attempt-0001</t>
        </is>
      </c>
      <c r="U8"/>
      <c r="V8"/>
      <c r="W8"/>
      <c r="X8" t="inlineStr">
        <is>
          <t>MJ-RAW-0033</t>
        </is>
      </c>
      <c r="Y8"/>
      <c r="Z8"/>
      <c r="AA8"/>
      <c r="AB8"/>
      <c r="AC8"/>
      <c r="AD8"/>
      <c r="AE8"/>
      <c r="AF8" t="inlineStr">
        <is>
          <t>AI</t>
        </is>
      </c>
      <c r="AG8" t="inlineStr">
        <is>
          <t>ANALYSIS_BASELINE</t>
        </is>
      </c>
      <c r="AH8" t="inlineStr">
        <is>
          <t>PRODUCT</t>
        </is>
      </c>
      <c r="AI8" t="inlineStr">
        <is>
          <t>ACTUAL_USE</t>
        </is>
      </c>
      <c r="AJ8" t="inlineStr">
        <is>
          <t>B</t>
        </is>
      </c>
      <c r="AK8" t="inlineStr">
        <is>
          <t>核心对象：产品的酸度与甜口适配；体验：第一人称口感判断表明实际饮用；证据强度：判断明确，但缺少更具体的饮用情境或依据。</t>
        </is>
      </c>
      <c r="AL8"/>
      <c r="AM8" t="inlineStr">
        <is>
          <t>ANALYSIS_BASELINE_229.xlsx</t>
        </is>
      </c>
    </row>
    <row r="9" ht="25.5" customHeight="1">
      <c r="A9" t="inlineStr">
        <is>
          <t>MJ-RAW-0036_ANALYSIS_BASELINE_formal-attempt-0001_AI</t>
        </is>
      </c>
      <c r="B9" t="inlineStr">
        <is>
          <t>这酒度数刚刚好，喝着不冲也不淡。</t>
        </is>
      </c>
      <c r="C9"/>
      <c r="D9"/>
      <c r="E9"/>
      <c r="F9"/>
      <c r="G9"/>
      <c r="H9"/>
      <c r="I9"/>
      <c r="J9"/>
      <c r="K9"/>
      <c r="L9"/>
      <c r="M9"/>
      <c r="N9"/>
      <c r="O9"/>
      <c r="P9"/>
      <c r="Q9"/>
      <c r="R9"/>
      <c r="S9">
        <v>0.9</v>
      </c>
      <c r="T9" t="inlineStr">
        <is>
          <t>formal-attempt-0001</t>
        </is>
      </c>
      <c r="U9"/>
      <c r="V9"/>
      <c r="W9"/>
      <c r="X9" t="inlineStr">
        <is>
          <t>MJ-RAW-0036</t>
        </is>
      </c>
      <c r="Y9"/>
      <c r="Z9"/>
      <c r="AA9"/>
      <c r="AB9"/>
      <c r="AC9"/>
      <c r="AD9"/>
      <c r="AE9"/>
      <c r="AF9" t="inlineStr">
        <is>
          <t>AI</t>
        </is>
      </c>
      <c r="AG9" t="inlineStr">
        <is>
          <t>ANALYSIS_BASELINE</t>
        </is>
      </c>
      <c r="AH9" t="inlineStr">
        <is>
          <t>PRODUCT</t>
        </is>
      </c>
      <c r="AI9" t="inlineStr">
        <is>
          <t>ACTUAL_USE</t>
        </is>
      </c>
      <c r="AJ9" t="inlineStr">
        <is>
          <t>C</t>
        </is>
      </c>
      <c r="AK9" t="inlineStr">
        <is>
          <t>核心对象：产品的酒精感；体验：直接酒精感判断表明实际饮用；证据强度：只有笼统的度数判断，缺少具体情境或依据。</t>
        </is>
      </c>
      <c r="AL9"/>
      <c r="AM9" t="inlineStr">
        <is>
          <t>ANALYSIS_BASELINE_229.xlsx</t>
        </is>
      </c>
    </row>
    <row r="10" ht="25.5" customHeight="1">
      <c r="A10" t="inlineStr">
        <is>
          <t>MJ-RAW-0037_ANALYSIS_BASELINE_formal-attempt-0001_AI</t>
        </is>
      </c>
      <c r="B10" t="inlineStr">
        <is>
          <t>除了小贵，其他没毛病，微醺最好。</t>
        </is>
      </c>
      <c r="C10"/>
      <c r="D10"/>
      <c r="E10"/>
      <c r="F10"/>
      <c r="G10"/>
      <c r="H10"/>
      <c r="I10"/>
      <c r="J10"/>
      <c r="K10"/>
      <c r="L10"/>
      <c r="M10"/>
      <c r="N10"/>
      <c r="O10"/>
      <c r="P10"/>
      <c r="Q10"/>
      <c r="R10"/>
      <c r="S10">
        <v>0.9</v>
      </c>
      <c r="T10" t="inlineStr">
        <is>
          <t>formal-attempt-0001</t>
        </is>
      </c>
      <c r="U10"/>
      <c r="V10"/>
      <c r="W10"/>
      <c r="X10" t="inlineStr">
        <is>
          <t>MJ-RAW-0037</t>
        </is>
      </c>
      <c r="Y10"/>
      <c r="Z10"/>
      <c r="AA10"/>
      <c r="AB10"/>
      <c r="AC10"/>
      <c r="AD10"/>
      <c r="AE10"/>
      <c r="AF10" t="inlineStr">
        <is>
          <t>AI</t>
        </is>
      </c>
      <c r="AG10" t="inlineStr">
        <is>
          <t>ANALYSIS_BASELINE</t>
        </is>
      </c>
      <c r="AH10" t="inlineStr">
        <is>
          <t>PRODUCT</t>
        </is>
      </c>
      <c r="AI10" t="inlineStr">
        <is>
          <t>ACTUAL_USE</t>
        </is>
      </c>
      <c r="AJ10" t="inlineStr">
        <is>
          <t>C</t>
        </is>
      </c>
      <c r="AK10" t="inlineStr">
        <is>
          <t>核心对象：产品的价格与酒精感；体验：直接评价表明实际使用；证据强度：评价简短，缺少具体依据。</t>
        </is>
      </c>
      <c r="AL10"/>
      <c r="AM10" t="inlineStr">
        <is>
          <t>ANALYSIS_BASELINE_229.xlsx</t>
        </is>
      </c>
    </row>
    <row r="11" ht="25.5" customHeight="1">
      <c r="A11" t="inlineStr">
        <is>
          <t>MJ-RAW-0039_ANALYSIS_BASELINE_formal-attempt-0001_AI</t>
        </is>
      </c>
      <c r="B11" t="inlineStr">
        <is>
          <t>喝完确实有点微醺，挺舒服的，适合放松时喝。</t>
        </is>
      </c>
      <c r="C11"/>
      <c r="D11"/>
      <c r="E11"/>
      <c r="F11"/>
      <c r="G11"/>
      <c r="H11"/>
      <c r="I11"/>
      <c r="J11"/>
      <c r="K11"/>
      <c r="L11"/>
      <c r="M11"/>
      <c r="N11"/>
      <c r="O11"/>
      <c r="P11"/>
      <c r="Q11"/>
      <c r="R11"/>
      <c r="S11">
        <v>0.9</v>
      </c>
      <c r="T11" t="inlineStr">
        <is>
          <t>formal-attempt-0001</t>
        </is>
      </c>
      <c r="U11"/>
      <c r="V11"/>
      <c r="W11"/>
      <c r="X11" t="inlineStr">
        <is>
          <t>MJ-RAW-0039</t>
        </is>
      </c>
      <c r="Y11"/>
      <c r="Z11"/>
      <c r="AA11"/>
      <c r="AB11"/>
      <c r="AC11"/>
      <c r="AD11"/>
      <c r="AE11"/>
      <c r="AF11" t="inlineStr">
        <is>
          <t>AI</t>
        </is>
      </c>
      <c r="AG11" t="inlineStr">
        <is>
          <t>ANALYSIS_BASELINE</t>
        </is>
      </c>
      <c r="AH11" t="inlineStr">
        <is>
          <t>SCENE</t>
        </is>
      </c>
      <c r="AI11" t="inlineStr">
        <is>
          <t>ACTUAL_USE</t>
        </is>
      </c>
      <c r="AJ11" t="inlineStr">
        <is>
          <t>A</t>
        </is>
      </c>
      <c r="AK11" t="inlineStr">
        <is>
          <t>核心对象：饮后状态与放松饮用情境；体验：原文明确写到喝完后的感受；证据强度：包含饮后时点、状态判断和适用情境，信息链完整。</t>
        </is>
      </c>
      <c r="AL11"/>
      <c r="AM11" t="inlineStr">
        <is>
          <t>ANALYSIS_BASELINE_229.xlsx</t>
        </is>
      </c>
    </row>
    <row r="12" ht="25.5" customHeight="1">
      <c r="A12" t="inlineStr">
        <is>
          <t>MJ-RAW-0044_ANALYSIS_BASELINE_formal-attempt-0001_AI</t>
        </is>
      </c>
      <c r="B12" t="inlineStr">
        <is>
          <t>2.青梅绿茶+梅见 比例3:1</t>
        </is>
      </c>
      <c r="C12"/>
      <c r="D12"/>
      <c r="E12"/>
      <c r="F12"/>
      <c r="G12"/>
      <c r="H12"/>
      <c r="I12"/>
      <c r="J12"/>
      <c r="K12"/>
      <c r="L12"/>
      <c r="M12"/>
      <c r="N12"/>
      <c r="O12"/>
      <c r="P12"/>
      <c r="Q12"/>
      <c r="R12"/>
      <c r="S12">
        <v>0.9</v>
      </c>
      <c r="T12" t="inlineStr">
        <is>
          <t>formal-attempt-0001</t>
        </is>
      </c>
      <c r="U12"/>
      <c r="V12"/>
      <c r="W12"/>
      <c r="X12" t="inlineStr">
        <is>
          <t>MJ-RAW-0044</t>
        </is>
      </c>
      <c r="Y12"/>
      <c r="Z12"/>
      <c r="AA12"/>
      <c r="AB12"/>
      <c r="AC12"/>
      <c r="AD12"/>
      <c r="AE12"/>
      <c r="AF12" t="inlineStr">
        <is>
          <t>AI</t>
        </is>
      </c>
      <c r="AG12" t="inlineStr">
        <is>
          <t>ANALYSIS_BASELINE</t>
        </is>
      </c>
      <c r="AH12" t="inlineStr">
        <is>
          <t>SCENE</t>
        </is>
      </c>
      <c r="AI12" t="inlineStr">
        <is>
          <t>UNKNOWN</t>
        </is>
      </c>
      <c r="AJ12" t="inlineStr">
        <is>
          <t>C</t>
        </is>
      </c>
      <c r="AK12" t="inlineStr">
        <is>
          <t>核心对象：饮用方式；体验：原文仅给出调饮比例，未说明实际饮用；证据强度：只有配方比例，没有调饮结果或评价。</t>
        </is>
      </c>
      <c r="AL12"/>
      <c r="AM12" t="inlineStr">
        <is>
          <t>ANALYSIS_BASELINE_229.xlsx</t>
        </is>
      </c>
    </row>
    <row r="13" ht="25.5" customHeight="1">
      <c r="A13" t="inlineStr">
        <is>
          <t>MJ-RAW-0045_ANALYSIS_BASELINE_formal-attempt-0001_AI</t>
        </is>
      </c>
      <c r="B13" t="inlineStr">
        <is>
          <t>3.酸梅汤+梅见 比例2:1</t>
        </is>
      </c>
      <c r="C13"/>
      <c r="D13"/>
      <c r="E13"/>
      <c r="F13"/>
      <c r="G13"/>
      <c r="H13"/>
      <c r="I13"/>
      <c r="J13"/>
      <c r="K13"/>
      <c r="L13"/>
      <c r="M13"/>
      <c r="N13"/>
      <c r="O13"/>
      <c r="P13"/>
      <c r="Q13"/>
      <c r="R13"/>
      <c r="S13">
        <v>0.9</v>
      </c>
      <c r="T13" t="inlineStr">
        <is>
          <t>formal-attempt-0001</t>
        </is>
      </c>
      <c r="U13"/>
      <c r="V13"/>
      <c r="W13"/>
      <c r="X13" t="inlineStr">
        <is>
          <t>MJ-RAW-0045</t>
        </is>
      </c>
      <c r="Y13"/>
      <c r="Z13"/>
      <c r="AA13"/>
      <c r="AB13"/>
      <c r="AC13"/>
      <c r="AD13"/>
      <c r="AE13"/>
      <c r="AF13" t="inlineStr">
        <is>
          <t>AI</t>
        </is>
      </c>
      <c r="AG13" t="inlineStr">
        <is>
          <t>ANALYSIS_BASELINE</t>
        </is>
      </c>
      <c r="AH13" t="inlineStr">
        <is>
          <t>SCENE</t>
        </is>
      </c>
      <c r="AI13" t="inlineStr">
        <is>
          <t>UNKNOWN</t>
        </is>
      </c>
      <c r="AJ13" t="inlineStr">
        <is>
          <t>C</t>
        </is>
      </c>
      <c r="AK13" t="inlineStr">
        <is>
          <t>核心对象：饮用方式；体验：原文仅给出调饮比例，未说明实际饮用；证据强度：只有配方比例，没有调饮结果或评价。</t>
        </is>
      </c>
      <c r="AL13"/>
      <c r="AM13" t="inlineStr">
        <is>
          <t>ANALYSIS_BASELINE_229.xlsx</t>
        </is>
      </c>
    </row>
    <row r="14" ht="25.5" customHeight="1">
      <c r="A14" t="inlineStr">
        <is>
          <t>MJ-RAW-0046_ANALYSIS_BASELINE_formal-attempt-0001_AI</t>
        </is>
      </c>
      <c r="B14" t="inlineStr">
        <is>
          <t>4.冰红茶+梅见 比例1:1</t>
        </is>
      </c>
      <c r="C14"/>
      <c r="D14"/>
      <c r="E14"/>
      <c r="F14"/>
      <c r="G14"/>
      <c r="H14"/>
      <c r="I14"/>
      <c r="J14"/>
      <c r="K14"/>
      <c r="L14"/>
      <c r="M14"/>
      <c r="N14"/>
      <c r="O14"/>
      <c r="P14"/>
      <c r="Q14"/>
      <c r="R14"/>
      <c r="S14">
        <v>0.9</v>
      </c>
      <c r="T14" t="inlineStr">
        <is>
          <t>formal-attempt-0001</t>
        </is>
      </c>
      <c r="U14"/>
      <c r="V14"/>
      <c r="W14"/>
      <c r="X14" t="inlineStr">
        <is>
          <t>MJ-RAW-0046</t>
        </is>
      </c>
      <c r="Y14"/>
      <c r="Z14"/>
      <c r="AA14"/>
      <c r="AB14"/>
      <c r="AC14"/>
      <c r="AD14"/>
      <c r="AE14"/>
      <c r="AF14" t="inlineStr">
        <is>
          <t>AI</t>
        </is>
      </c>
      <c r="AG14" t="inlineStr">
        <is>
          <t>ANALYSIS_BASELINE</t>
        </is>
      </c>
      <c r="AH14" t="inlineStr">
        <is>
          <t>SCENE</t>
        </is>
      </c>
      <c r="AI14" t="inlineStr">
        <is>
          <t>UNKNOWN</t>
        </is>
      </c>
      <c r="AJ14" t="inlineStr">
        <is>
          <t>C</t>
        </is>
      </c>
      <c r="AK14" t="inlineStr">
        <is>
          <t>核心对象：饮用方式；体验：原文仅给出调饮比例，未说明实际饮用；证据强度：只有配方比例，没有调饮结果或评价。</t>
        </is>
      </c>
      <c r="AL14"/>
      <c r="AM14" t="inlineStr">
        <is>
          <t>ANALYSIS_BASELINE_229.xlsx</t>
        </is>
      </c>
    </row>
    <row r="15" ht="25.5" customHeight="1">
      <c r="A15" t="inlineStr">
        <is>
          <t>XHS-SOC-0021_ANALYSIS_BASELINE_formal-attempt-0001_AI</t>
        </is>
      </c>
      <c r="B15" t="inlineStr">
        <is>
          <t>你相信我姐妹，这个比原味好喝太多</t>
        </is>
      </c>
      <c r="C15"/>
      <c r="D15"/>
      <c r="E15"/>
      <c r="F15"/>
      <c r="G15"/>
      <c r="H15"/>
      <c r="I15"/>
      <c r="J15"/>
      <c r="K15"/>
      <c r="L15"/>
      <c r="M15"/>
      <c r="N15"/>
      <c r="O15"/>
      <c r="P15"/>
      <c r="Q15"/>
      <c r="R15"/>
      <c r="S15">
        <v>0.9</v>
      </c>
      <c r="T15" t="inlineStr">
        <is>
          <t>formal-attempt-0001</t>
        </is>
      </c>
      <c r="U15"/>
      <c r="V15"/>
      <c r="W15"/>
      <c r="X15" t="inlineStr">
        <is>
          <t>XHS-SOC-0021</t>
        </is>
      </c>
      <c r="Y15"/>
      <c r="Z15"/>
      <c r="AA15"/>
      <c r="AB15"/>
      <c r="AC15"/>
      <c r="AD15"/>
      <c r="AE15"/>
      <c r="AF15" t="inlineStr">
        <is>
          <t>AI</t>
        </is>
      </c>
      <c r="AG15" t="inlineStr">
        <is>
          <t>ANALYSIS_BASELINE</t>
        </is>
      </c>
      <c r="AH15" t="inlineStr">
        <is>
          <t>PRODUCT</t>
        </is>
      </c>
      <c r="AI15" t="inlineStr">
        <is>
          <t>ACTUAL_USE</t>
        </is>
      </c>
      <c r="AJ15" t="inlineStr">
        <is>
          <t>B</t>
        </is>
      </c>
      <c r="AK15" t="inlineStr">
        <is>
          <t>核心对象：产品口味比较；体验：直接口感比较表明实际使用；证据强度：比较判断明确，但指代对象和具体依据不完整。</t>
        </is>
      </c>
      <c r="AL15"/>
      <c r="AM15" t="inlineStr">
        <is>
          <t>ANALYSIS_BASELINE_229.xlsx</t>
        </is>
      </c>
    </row>
    <row r="16" ht="25.5" customHeight="1">
      <c r="A16" t="inlineStr">
        <is>
          <t>XHS-SOC-0025_ANALYSIS_BASELINE_formal-attempt-0001_AI</t>
        </is>
      </c>
      <c r="B16" t="inlineStr">
        <is>
          <t>好难喝这个直接喝</t>
        </is>
      </c>
      <c r="C16"/>
      <c r="D16"/>
      <c r="E16"/>
      <c r="F16"/>
      <c r="G16"/>
      <c r="H16"/>
      <c r="I16"/>
      <c r="J16"/>
      <c r="K16"/>
      <c r="L16"/>
      <c r="M16"/>
      <c r="N16"/>
      <c r="O16"/>
      <c r="P16"/>
      <c r="Q16"/>
      <c r="R16"/>
      <c r="S16">
        <v>0.9</v>
      </c>
      <c r="T16" t="inlineStr">
        <is>
          <t>formal-attempt-0001</t>
        </is>
      </c>
      <c r="U16"/>
      <c r="V16"/>
      <c r="W16"/>
      <c r="X16" t="inlineStr">
        <is>
          <t>XHS-SOC-0025</t>
        </is>
      </c>
      <c r="Y16"/>
      <c r="Z16"/>
      <c r="AA16"/>
      <c r="AB16"/>
      <c r="AC16"/>
      <c r="AD16"/>
      <c r="AE16"/>
      <c r="AF16" t="inlineStr">
        <is>
          <t>AI</t>
        </is>
      </c>
      <c r="AG16" t="inlineStr">
        <is>
          <t>ANALYSIS_BASELINE</t>
        </is>
      </c>
      <c r="AH16" t="inlineStr">
        <is>
          <t>PRODUCT</t>
        </is>
      </c>
      <c r="AI16" t="inlineStr">
        <is>
          <t>ACTUAL_USE</t>
        </is>
      </c>
      <c r="AJ16" t="inlineStr">
        <is>
          <t>C</t>
        </is>
      </c>
      <c r="AK16" t="inlineStr">
        <is>
          <t>核心对象：直接饮用时的产品口感；体验：直接口感判断表明实际饮用；证据强度：只有笼统负面判断，缺少具体依据。</t>
        </is>
      </c>
      <c r="AL16"/>
      <c r="AM16" t="inlineStr">
        <is>
          <t>ANALYSIS_BASELINE_229.xlsx</t>
        </is>
      </c>
    </row>
    <row r="17" ht="25.5" customHeight="1">
      <c r="A17" t="inlineStr">
        <is>
          <t>XHS-SOC-0030_ANALYSIS_BASELINE_formal-attempt-0001_AI</t>
        </is>
      </c>
      <c r="B17" t="inlineStr">
        <is>
          <t>当喝酒已经没有酒味的时候 不过这种时候已经晚了</t>
        </is>
      </c>
      <c r="C17"/>
      <c r="D17"/>
      <c r="E17"/>
      <c r="F17"/>
      <c r="G17"/>
      <c r="H17"/>
      <c r="I17"/>
      <c r="J17"/>
      <c r="K17"/>
      <c r="L17"/>
      <c r="M17"/>
      <c r="N17"/>
      <c r="O17"/>
      <c r="P17"/>
      <c r="Q17"/>
      <c r="R17"/>
      <c r="S17">
        <v>0.7</v>
      </c>
      <c r="T17" t="inlineStr">
        <is>
          <t>formal-attempt-0001</t>
        </is>
      </c>
      <c r="U17"/>
      <c r="V17"/>
      <c r="W17"/>
      <c r="X17" t="inlineStr">
        <is>
          <t>XHS-SOC-0030</t>
        </is>
      </c>
      <c r="Y17"/>
      <c r="Z17"/>
      <c r="AA17"/>
      <c r="AB17"/>
      <c r="AC17"/>
      <c r="AD17"/>
      <c r="AE17"/>
      <c r="AF17" t="inlineStr">
        <is>
          <t>AI</t>
        </is>
      </c>
      <c r="AG17" t="inlineStr">
        <is>
          <t>ANALYSIS_BASELINE</t>
        </is>
      </c>
      <c r="AH17" t="inlineStr">
        <is>
          <t>SCENE</t>
        </is>
      </c>
      <c r="AI17" t="inlineStr">
        <is>
          <t>UNKNOWN</t>
        </is>
      </c>
      <c r="AJ17" t="inlineStr">
        <is>
          <t>C</t>
        </is>
      </c>
      <c r="AK17" t="inlineStr">
        <is>
          <t>核心对象：饮酒后的状态；体验：原文是泛化表述，未表明本人实际饮用；证据强度：只有笼统状态判断，缺少具体情境或依据。</t>
        </is>
      </c>
      <c r="AL17"/>
      <c r="AM17" t="inlineStr">
        <is>
          <t>ANALYSIS_BASELINE_229.xlsx</t>
        </is>
      </c>
    </row>
    <row r="18" ht="25.5" customHeight="1">
      <c r="A18" t="inlineStr">
        <is>
          <t>XHS-SOC-0037_ANALYSIS_BASELINE_formal-attempt-0001_AI</t>
        </is>
      </c>
      <c r="B18" t="inlineStr">
        <is>
          <t>说白了，单喝不好喝。加什么都好喝</t>
        </is>
      </c>
      <c r="C18"/>
      <c r="D18"/>
      <c r="E18"/>
      <c r="F18"/>
      <c r="G18"/>
      <c r="H18"/>
      <c r="I18"/>
      <c r="J18"/>
      <c r="K18"/>
      <c r="L18"/>
      <c r="M18"/>
      <c r="N18"/>
      <c r="O18"/>
      <c r="P18"/>
      <c r="Q18"/>
      <c r="R18"/>
      <c r="S18">
        <v>0.9</v>
      </c>
      <c r="T18" t="inlineStr">
        <is>
          <t>formal-attempt-0001</t>
        </is>
      </c>
      <c r="U18"/>
      <c r="V18"/>
      <c r="W18"/>
      <c r="X18" t="inlineStr">
        <is>
          <t>XHS-SOC-0037</t>
        </is>
      </c>
      <c r="Y18"/>
      <c r="Z18"/>
      <c r="AA18"/>
      <c r="AB18"/>
      <c r="AC18"/>
      <c r="AD18"/>
      <c r="AE18"/>
      <c r="AF18" t="inlineStr">
        <is>
          <t>AI</t>
        </is>
      </c>
      <c r="AG18" t="inlineStr">
        <is>
          <t>ANALYSIS_BASELINE</t>
        </is>
      </c>
      <c r="AH18" t="inlineStr">
        <is>
          <t>PRODUCT</t>
        </is>
      </c>
      <c r="AI18" t="inlineStr">
        <is>
          <t>ACTUAL_USE</t>
        </is>
      </c>
      <c r="AJ18" t="inlineStr">
        <is>
          <t>B</t>
        </is>
      </c>
      <c r="AK18" t="inlineStr">
        <is>
          <t>核心对象：单喝和调饮后的产品口感；体验：直接口感判断表明实际使用；证据强度：有单喝与调饮的比较判断，但缺少具体调饮依据。</t>
        </is>
      </c>
      <c r="AL18"/>
      <c r="AM18" t="inlineStr">
        <is>
          <t>ANALYSIS_BASELINE_229.xlsx</t>
        </is>
      </c>
    </row>
    <row r="19" ht="25.5" customHeight="1">
      <c r="A19" t="inlineStr">
        <is>
          <t>XHS-SOC-0040_ANALYSIS_BASELINE_formal-attempt-0001_AI</t>
        </is>
      </c>
      <c r="B19" t="inlineStr">
        <is>
          <t>我觉得要加很多冰块，很好喝</t>
        </is>
      </c>
      <c r="C19"/>
      <c r="D19"/>
      <c r="E19"/>
      <c r="F19"/>
      <c r="G19"/>
      <c r="H19"/>
      <c r="I19"/>
      <c r="J19"/>
      <c r="K19"/>
      <c r="L19"/>
      <c r="M19"/>
      <c r="N19"/>
      <c r="O19"/>
      <c r="P19"/>
      <c r="Q19"/>
      <c r="R19"/>
      <c r="S19">
        <v>0.9</v>
      </c>
      <c r="T19" t="inlineStr">
        <is>
          <t>formal-attempt-0001</t>
        </is>
      </c>
      <c r="U19"/>
      <c r="V19"/>
      <c r="W19"/>
      <c r="X19" t="inlineStr">
        <is>
          <t>XHS-SOC-0040</t>
        </is>
      </c>
      <c r="Y19"/>
      <c r="Z19"/>
      <c r="AA19"/>
      <c r="AB19"/>
      <c r="AC19"/>
      <c r="AD19"/>
      <c r="AE19"/>
      <c r="AF19" t="inlineStr">
        <is>
          <t>AI</t>
        </is>
      </c>
      <c r="AG19" t="inlineStr">
        <is>
          <t>ANALYSIS_BASELINE</t>
        </is>
      </c>
      <c r="AH19" t="inlineStr">
        <is>
          <t>PRODUCT</t>
        </is>
      </c>
      <c r="AI19" t="inlineStr">
        <is>
          <t>ACTUAL_USE</t>
        </is>
      </c>
      <c r="AJ19" t="inlineStr">
        <is>
          <t>A</t>
        </is>
      </c>
      <c r="AK19" t="inlineStr">
        <is>
          <t>核心对象：加冰后的产品口感；体验：直接口感判断表明实际使用；证据强度：有具体加冰方式和明确口感结果，信息链完整。</t>
        </is>
      </c>
      <c r="AL19"/>
      <c r="AM19" t="inlineStr">
        <is>
          <t>ANALYSIS_BASELINE_229.xlsx</t>
        </is>
      </c>
    </row>
    <row r="20" ht="25.5" customHeight="1">
      <c r="A20" t="inlineStr">
        <is>
          <t>XHS-SOC-0041_ANALYSIS_BASELINE_formal-attempt-0001_AI</t>
        </is>
      </c>
      <c r="B20" t="inlineStr">
        <is>
          <t>加青梅绿茶，我觉得挺好喝的</t>
        </is>
      </c>
      <c r="C20"/>
      <c r="D20"/>
      <c r="E20"/>
      <c r="F20"/>
      <c r="G20"/>
      <c r="H20"/>
      <c r="I20"/>
      <c r="J20"/>
      <c r="K20"/>
      <c r="L20"/>
      <c r="M20"/>
      <c r="N20"/>
      <c r="O20"/>
      <c r="P20"/>
      <c r="Q20"/>
      <c r="R20"/>
      <c r="S20">
        <v>0.9</v>
      </c>
      <c r="T20" t="inlineStr">
        <is>
          <t>formal-attempt-0001</t>
        </is>
      </c>
      <c r="U20"/>
      <c r="V20"/>
      <c r="W20"/>
      <c r="X20" t="inlineStr">
        <is>
          <t>XHS-SOC-0041</t>
        </is>
      </c>
      <c r="Y20"/>
      <c r="Z20"/>
      <c r="AA20"/>
      <c r="AB20"/>
      <c r="AC20"/>
      <c r="AD20"/>
      <c r="AE20"/>
      <c r="AF20" t="inlineStr">
        <is>
          <t>AI</t>
        </is>
      </c>
      <c r="AG20" t="inlineStr">
        <is>
          <t>ANALYSIS_BASELINE</t>
        </is>
      </c>
      <c r="AH20" t="inlineStr">
        <is>
          <t>PRODUCT</t>
        </is>
      </c>
      <c r="AI20" t="inlineStr">
        <is>
          <t>ACTUAL_USE</t>
        </is>
      </c>
      <c r="AJ20" t="inlineStr">
        <is>
          <t>A</t>
        </is>
      </c>
      <c r="AK20" t="inlineStr">
        <is>
          <t>核心对象：加入青梅绿茶后的产品口感；体验：直接口感判断表明实际使用；证据强度：有具体调饮方式和明确口感结果，信息链完整。</t>
        </is>
      </c>
      <c r="AL20"/>
      <c r="AM20" t="inlineStr">
        <is>
          <t>ANALYSIS_BASELINE_229.xlsx</t>
        </is>
      </c>
    </row>
    <row r="21" ht="25.5" customHeight="1">
      <c r="A21" t="inlineStr">
        <is>
          <t>XHS-SOC-0042_ANALYSIS_BASELINE_formal-attempt-0001_AI</t>
        </is>
      </c>
      <c r="B21" t="inlineStr">
        <is>
          <t>自己泡啊，比买的好喝太多了</t>
        </is>
      </c>
      <c r="C21"/>
      <c r="D21"/>
      <c r="E21"/>
      <c r="F21"/>
      <c r="G21"/>
      <c r="H21"/>
      <c r="I21"/>
      <c r="J21"/>
      <c r="K21"/>
      <c r="L21"/>
      <c r="M21"/>
      <c r="N21"/>
      <c r="O21"/>
      <c r="P21"/>
      <c r="Q21"/>
      <c r="R21"/>
      <c r="S21">
        <v>0.9</v>
      </c>
      <c r="T21" t="inlineStr">
        <is>
          <t>formal-attempt-0001</t>
        </is>
      </c>
      <c r="U21"/>
      <c r="V21"/>
      <c r="W21"/>
      <c r="X21" t="inlineStr">
        <is>
          <t>XHS-SOC-0042</t>
        </is>
      </c>
      <c r="Y21"/>
      <c r="Z21"/>
      <c r="AA21"/>
      <c r="AB21"/>
      <c r="AC21"/>
      <c r="AD21"/>
      <c r="AE21"/>
      <c r="AF21" t="inlineStr">
        <is>
          <t>AI</t>
        </is>
      </c>
      <c r="AG21" t="inlineStr">
        <is>
          <t>ANALYSIS_BASELINE</t>
        </is>
      </c>
      <c r="AH21" t="inlineStr">
        <is>
          <t>COMPETITOR</t>
        </is>
      </c>
      <c r="AI21" t="inlineStr">
        <is>
          <t>ACTUAL_USE</t>
        </is>
      </c>
      <c r="AJ21" t="inlineStr">
        <is>
          <t>B</t>
        </is>
      </c>
      <c r="AK21" t="inlineStr">
        <is>
          <t>核心对象：自制与购买选择的口感比较；体验：直接口感比较表明实际使用；证据强度：比较判断明确，但未说明具体自制方法和购买对象。</t>
        </is>
      </c>
      <c r="AL21"/>
      <c r="AM21" t="inlineStr">
        <is>
          <t>ANALYSIS_BASELINE_229.xlsx</t>
        </is>
      </c>
    </row>
    <row r="22" ht="25.5" customHeight="1">
      <c r="A22" t="inlineStr">
        <is>
          <t>DY-SOC-0048_ANALYSIS_BASELINE_formal-attempt-0001_AI</t>
        </is>
      </c>
      <c r="B22" t="inlineStr">
        <is>
          <t>喝酒对我而言就是成年人的糖水苦日子里的那点甜</t>
        </is>
      </c>
      <c r="C22"/>
      <c r="D22"/>
      <c r="E22"/>
      <c r="F22"/>
      <c r="G22"/>
      <c r="H22"/>
      <c r="I22"/>
      <c r="J22"/>
      <c r="K22"/>
      <c r="L22"/>
      <c r="M22"/>
      <c r="N22"/>
      <c r="O22"/>
      <c r="P22"/>
      <c r="Q22"/>
      <c r="R22"/>
      <c r="S22">
        <v>0.7</v>
      </c>
      <c r="T22" t="inlineStr">
        <is>
          <t>formal-attempt-0001</t>
        </is>
      </c>
      <c r="U22"/>
      <c r="V22"/>
      <c r="W22"/>
      <c r="X22" t="inlineStr">
        <is>
          <t>DY-SOC-0048</t>
        </is>
      </c>
      <c r="Y22"/>
      <c r="Z22"/>
      <c r="AA22"/>
      <c r="AB22"/>
      <c r="AC22"/>
      <c r="AD22"/>
      <c r="AE22"/>
      <c r="AF22" t="inlineStr">
        <is>
          <t>AI</t>
        </is>
      </c>
      <c r="AG22" t="inlineStr">
        <is>
          <t>ANALYSIS_BASELINE</t>
        </is>
      </c>
      <c r="AH22" t="inlineStr">
        <is>
          <t>SCENE</t>
        </is>
      </c>
      <c r="AI22" t="inlineStr">
        <is>
          <t>ACTUAL_USE</t>
        </is>
      </c>
      <c r="AJ22" t="inlineStr">
        <is>
          <t>C</t>
        </is>
      </c>
      <c r="AK22" t="inlineStr">
        <is>
          <t>核心对象：日常饮酒及其情绪价值；体验：第一人称表达对饮酒的感受，属于实际体验；证据强度：只有概括性的个人比喻，缺少具体饮酒情境或依据。</t>
        </is>
      </c>
      <c r="AL22"/>
      <c r="AM22" t="inlineStr">
        <is>
          <t>ANALYSIS_BASELINE_229.xlsx</t>
        </is>
      </c>
    </row>
    <row r="23" ht="25.5" customHeight="1">
      <c r="A23" t="inlineStr">
        <is>
          <t>DY-SOC-0050_ANALYSIS_BASELINE_formal-attempt-0001_AI</t>
        </is>
      </c>
      <c r="B23" t="inlineStr">
        <is>
          <t>红牛配劲酒好喝还是这个</t>
        </is>
      </c>
      <c r="C23"/>
      <c r="D23"/>
      <c r="E23"/>
      <c r="F23"/>
      <c r="G23"/>
      <c r="H23"/>
      <c r="I23"/>
      <c r="J23"/>
      <c r="K23"/>
      <c r="L23"/>
      <c r="M23"/>
      <c r="N23"/>
      <c r="O23"/>
      <c r="P23"/>
      <c r="Q23"/>
      <c r="R23"/>
      <c r="S23">
        <v>0.9</v>
      </c>
      <c r="T23" t="inlineStr">
        <is>
          <t>formal-attempt-0001</t>
        </is>
      </c>
      <c r="U23"/>
      <c r="V23"/>
      <c r="W23"/>
      <c r="X23" t="inlineStr">
        <is>
          <t>DY-SOC-0050</t>
        </is>
      </c>
      <c r="Y23"/>
      <c r="Z23"/>
      <c r="AA23"/>
      <c r="AB23"/>
      <c r="AC23"/>
      <c r="AD23"/>
      <c r="AE23"/>
      <c r="AF23" t="inlineStr">
        <is>
          <t>AI</t>
        </is>
      </c>
      <c r="AG23" t="inlineStr">
        <is>
          <t>ANALYSIS_BASELINE</t>
        </is>
      </c>
      <c r="AH23" t="inlineStr">
        <is>
          <t>COMPETITOR</t>
        </is>
      </c>
      <c r="AI23" t="inlineStr">
        <is>
          <t>UNKNOWN</t>
        </is>
      </c>
      <c r="AJ23" t="inlineStr">
        <is>
          <t>C</t>
        </is>
      </c>
      <c r="AK23" t="inlineStr">
        <is>
          <t>核心对象：红牛配劲酒与这个的口味比较；体验：未明示个人饮用体验；证据强度：仅提出比较问题，缺少实际口感依据。</t>
        </is>
      </c>
      <c r="AL23"/>
      <c r="AM23" t="inlineStr">
        <is>
          <t>ANALYSIS_BASELINE_229.xlsx</t>
        </is>
      </c>
    </row>
    <row r="24" ht="25.5" customHeight="1">
      <c r="A24" t="inlineStr">
        <is>
          <t>DY-SOC-0051_ANALYSIS_BASELINE_formal-attempt-0001_AI</t>
        </is>
      </c>
      <c r="B24" t="inlineStr">
        <is>
          <t>生活就像这杯酒酸甜都有但最后回味还是有点甜就行</t>
        </is>
      </c>
      <c r="C24"/>
      <c r="D24"/>
      <c r="E24"/>
      <c r="F24"/>
      <c r="G24"/>
      <c r="H24"/>
      <c r="I24"/>
      <c r="J24"/>
      <c r="K24"/>
      <c r="L24"/>
      <c r="M24"/>
      <c r="N24"/>
      <c r="O24"/>
      <c r="P24"/>
      <c r="Q24"/>
      <c r="R24"/>
      <c r="S24">
        <v>0.9</v>
      </c>
      <c r="T24" t="inlineStr">
        <is>
          <t>formal-attempt-0001</t>
        </is>
      </c>
      <c r="U24"/>
      <c r="V24"/>
      <c r="W24"/>
      <c r="X24" t="inlineStr">
        <is>
          <t>DY-SOC-0051</t>
        </is>
      </c>
      <c r="Y24"/>
      <c r="Z24"/>
      <c r="AA24"/>
      <c r="AB24"/>
      <c r="AC24"/>
      <c r="AD24"/>
      <c r="AE24"/>
      <c r="AF24" t="inlineStr">
        <is>
          <t>AI</t>
        </is>
      </c>
      <c r="AG24" t="inlineStr">
        <is>
          <t>ANALYSIS_BASELINE</t>
        </is>
      </c>
      <c r="AH24" t="inlineStr">
        <is>
          <t>PRODUCT</t>
        </is>
      </c>
      <c r="AI24" t="inlineStr">
        <is>
          <t>ACTUAL_USE</t>
        </is>
      </c>
      <c r="AJ24" t="inlineStr">
        <is>
          <t>A</t>
        </is>
      </c>
      <c r="AK24" t="inlineStr">
        <is>
          <t>核心对象：这杯酒的酸甜与回味；体验：直接作出口感和回味判断，属于实际体验；证据强度：明确写出酸甜并给出甜味回味结论，信息链完整。</t>
        </is>
      </c>
      <c r="AL24"/>
      <c r="AM24" t="inlineStr">
        <is>
          <t>ANALYSIS_BASELINE_229.xlsx</t>
        </is>
      </c>
    </row>
    <row r="25" ht="25.5" customHeight="1">
      <c r="A25" t="inlineStr">
        <is>
          <t>DY-SOC-0054_ANALYSIS_BASELINE_formal-attempt-0001_AI</t>
        </is>
      </c>
      <c r="B25" t="inlineStr">
        <is>
          <t>没想到梅见竟然有六种口味真是让人惊喜女生喝也超有感觉</t>
        </is>
      </c>
      <c r="C25"/>
      <c r="D25"/>
      <c r="E25"/>
      <c r="F25"/>
      <c r="G25"/>
      <c r="H25"/>
      <c r="I25"/>
      <c r="J25"/>
      <c r="K25"/>
      <c r="L25"/>
      <c r="M25"/>
      <c r="N25"/>
      <c r="O25"/>
      <c r="P25"/>
      <c r="Q25"/>
      <c r="R25"/>
      <c r="S25">
        <v>0.9</v>
      </c>
      <c r="T25" t="inlineStr">
        <is>
          <t>formal-attempt-0001</t>
        </is>
      </c>
      <c r="U25"/>
      <c r="V25"/>
      <c r="W25"/>
      <c r="X25" t="inlineStr">
        <is>
          <t>DY-SOC-0054</t>
        </is>
      </c>
      <c r="Y25"/>
      <c r="Z25"/>
      <c r="AA25"/>
      <c r="AB25"/>
      <c r="AC25"/>
      <c r="AD25"/>
      <c r="AE25"/>
      <c r="AF25" t="inlineStr">
        <is>
          <t>AI</t>
        </is>
      </c>
      <c r="AG25" t="inlineStr">
        <is>
          <t>ANALYSIS_BASELINE</t>
        </is>
      </c>
      <c r="AH25" t="inlineStr">
        <is>
          <t>PRODUCT</t>
        </is>
      </c>
      <c r="AI25" t="inlineStr">
        <is>
          <t>UNKNOWN</t>
        </is>
      </c>
      <c r="AJ25" t="inlineStr">
        <is>
          <t>A</t>
        </is>
      </c>
      <c r="AK25" t="inlineStr">
        <is>
          <t>核心对象：梅见的口味数量与女生饮用感受；体验：未明示个人饮用，属于泛化描述；证据强度：明确提到六种口味并给出惊喜判断，信息链完整。</t>
        </is>
      </c>
      <c r="AL25"/>
      <c r="AM25" t="inlineStr">
        <is>
          <t>ANALYSIS_BASELINE_229.xlsx</t>
        </is>
      </c>
    </row>
    <row r="26" ht="25.5" customHeight="1">
      <c r="A26" t="inlineStr">
        <is>
          <t>DY-SOC-0055_ANALYSIS_BASELINE_formal-attempt-0001_AI</t>
        </is>
      </c>
      <c r="B26" t="inlineStr">
        <is>
          <t>酸到眯眼睛了但看着就解腻夏天来一杯肯定舒服啊</t>
        </is>
      </c>
      <c r="C26"/>
      <c r="D26"/>
      <c r="E26"/>
      <c r="F26"/>
      <c r="G26"/>
      <c r="H26"/>
      <c r="I26"/>
      <c r="J26"/>
      <c r="K26"/>
      <c r="L26"/>
      <c r="M26"/>
      <c r="N26"/>
      <c r="O26"/>
      <c r="P26"/>
      <c r="Q26"/>
      <c r="R26"/>
      <c r="S26">
        <v>0.9</v>
      </c>
      <c r="T26" t="inlineStr">
        <is>
          <t>formal-attempt-0001</t>
        </is>
      </c>
      <c r="U26"/>
      <c r="V26"/>
      <c r="W26"/>
      <c r="X26" t="inlineStr">
        <is>
          <t>DY-SOC-0055</t>
        </is>
      </c>
      <c r="Y26"/>
      <c r="Z26"/>
      <c r="AA26"/>
      <c r="AB26"/>
      <c r="AC26"/>
      <c r="AD26"/>
      <c r="AE26"/>
      <c r="AF26" t="inlineStr">
        <is>
          <t>AI</t>
        </is>
      </c>
      <c r="AG26" t="inlineStr">
        <is>
          <t>ANALYSIS_BASELINE</t>
        </is>
      </c>
      <c r="AH26" t="inlineStr">
        <is>
          <t>PRODUCT</t>
        </is>
      </c>
      <c r="AI26" t="inlineStr">
        <is>
          <t>ACTUAL_USE</t>
        </is>
      </c>
      <c r="AJ26" t="inlineStr">
        <is>
          <t>B</t>
        </is>
      </c>
      <c r="AK26" t="inlineStr">
        <is>
          <t>核心对象：饮品的酸味与解腻感；体验：直接写出酸到眯眼的口感反应，属于实际体验；证据强度：有具体酸味依据，但产品对象和饮用情境未完整说明。</t>
        </is>
      </c>
      <c r="AL26"/>
      <c r="AM26" t="inlineStr">
        <is>
          <t>ANALYSIS_BASELINE_229.xlsx</t>
        </is>
      </c>
    </row>
    <row r="27" ht="25.5" customHeight="1">
      <c r="A27" t="inlineStr">
        <is>
          <t>DY-SOC-0056_ANALYSIS_BASELINE_formal-attempt-0001_AI</t>
        </is>
      </c>
      <c r="B27" t="inlineStr">
        <is>
          <t>这几种口味我只喝过两种[捂脸]</t>
        </is>
      </c>
      <c r="C27"/>
      <c r="D27"/>
      <c r="E27"/>
      <c r="F27"/>
      <c r="G27"/>
      <c r="H27"/>
      <c r="I27"/>
      <c r="J27"/>
      <c r="K27"/>
      <c r="L27"/>
      <c r="M27"/>
      <c r="N27"/>
      <c r="O27"/>
      <c r="P27"/>
      <c r="Q27"/>
      <c r="R27"/>
      <c r="S27">
        <v>0.9</v>
      </c>
      <c r="T27" t="inlineStr">
        <is>
          <t>formal-attempt-0001</t>
        </is>
      </c>
      <c r="U27"/>
      <c r="V27"/>
      <c r="W27"/>
      <c r="X27" t="inlineStr">
        <is>
          <t>DY-SOC-0056</t>
        </is>
      </c>
      <c r="Y27"/>
      <c r="Z27"/>
      <c r="AA27"/>
      <c r="AB27"/>
      <c r="AC27"/>
      <c r="AD27"/>
      <c r="AE27"/>
      <c r="AF27" t="inlineStr">
        <is>
          <t>AI</t>
        </is>
      </c>
      <c r="AG27" t="inlineStr">
        <is>
          <t>ANALYSIS_BASELINE</t>
        </is>
      </c>
      <c r="AH27" t="inlineStr">
        <is>
          <t>PRODUCT</t>
        </is>
      </c>
      <c r="AI27" t="inlineStr">
        <is>
          <t>ACTUAL_USE</t>
        </is>
      </c>
      <c r="AJ27" t="inlineStr">
        <is>
          <t>C</t>
        </is>
      </c>
      <c r="AK27" t="inlineStr">
        <is>
          <t>核心对象：产品的多种口味；体验：明确表示只喝过两种，属于实际体验；证据强度：只有饮用数量信息，缺少具体口感判断。</t>
        </is>
      </c>
      <c r="AL27"/>
      <c r="AM27" t="inlineStr">
        <is>
          <t>ANALYSIS_BASELINE_229.xlsx</t>
        </is>
      </c>
    </row>
    <row r="28" ht="25.5" customHeight="1">
      <c r="A28" t="inlineStr">
        <is>
          <t>DY-SOC-0057_ANALYSIS_BASELINE_formal-attempt-0001_AI</t>
        </is>
      </c>
      <c r="B28" t="inlineStr">
        <is>
          <t>我还挺喜欢喝这个味道的</t>
        </is>
      </c>
      <c r="C28"/>
      <c r="D28"/>
      <c r="E28"/>
      <c r="F28"/>
      <c r="G28"/>
      <c r="H28"/>
      <c r="I28"/>
      <c r="J28"/>
      <c r="K28"/>
      <c r="L28"/>
      <c r="M28"/>
      <c r="N28"/>
      <c r="O28"/>
      <c r="P28"/>
      <c r="Q28"/>
      <c r="R28"/>
      <c r="S28">
        <v>0.9</v>
      </c>
      <c r="T28" t="inlineStr">
        <is>
          <t>formal-attempt-0001</t>
        </is>
      </c>
      <c r="U28"/>
      <c r="V28"/>
      <c r="W28"/>
      <c r="X28" t="inlineStr">
        <is>
          <t>DY-SOC-0057</t>
        </is>
      </c>
      <c r="Y28"/>
      <c r="Z28"/>
      <c r="AA28"/>
      <c r="AB28"/>
      <c r="AC28"/>
      <c r="AD28"/>
      <c r="AE28"/>
      <c r="AF28" t="inlineStr">
        <is>
          <t>AI</t>
        </is>
      </c>
      <c r="AG28" t="inlineStr">
        <is>
          <t>ANALYSIS_BASELINE</t>
        </is>
      </c>
      <c r="AH28" t="inlineStr">
        <is>
          <t>PRODUCT</t>
        </is>
      </c>
      <c r="AI28" t="inlineStr">
        <is>
          <t>ACTUAL_USE</t>
        </is>
      </c>
      <c r="AJ28" t="inlineStr">
        <is>
          <t>C</t>
        </is>
      </c>
      <c r="AK28" t="inlineStr">
        <is>
          <t>核心对象：饮品的味道；体验：第一人称表达喜欢喝，属于实际体验；证据强度：只有笼统偏好判断，缺少具体口感依据。</t>
        </is>
      </c>
      <c r="AL28"/>
      <c r="AM28" t="inlineStr">
        <is>
          <t>ANALYSIS_BASELINE_229.xlsx</t>
        </is>
      </c>
    </row>
    <row r="29" ht="25.5" customHeight="1">
      <c r="A29" t="inlineStr">
        <is>
          <t>DY-SOC-0058_ANALYSIS_BASELINE_formal-attempt-0001_AI</t>
        </is>
      </c>
      <c r="B29" t="inlineStr">
        <is>
          <t>好喝的呀我喜欢的口味都有</t>
        </is>
      </c>
      <c r="C29"/>
      <c r="D29"/>
      <c r="E29"/>
      <c r="F29"/>
      <c r="G29"/>
      <c r="H29"/>
      <c r="I29"/>
      <c r="J29"/>
      <c r="K29"/>
      <c r="L29"/>
      <c r="M29"/>
      <c r="N29"/>
      <c r="O29"/>
      <c r="P29"/>
      <c r="Q29"/>
      <c r="R29"/>
      <c r="S29">
        <v>0.9</v>
      </c>
      <c r="T29" t="inlineStr">
        <is>
          <t>formal-attempt-0001</t>
        </is>
      </c>
      <c r="U29"/>
      <c r="V29"/>
      <c r="W29"/>
      <c r="X29" t="inlineStr">
        <is>
          <t>DY-SOC-0058</t>
        </is>
      </c>
      <c r="Y29"/>
      <c r="Z29"/>
      <c r="AA29"/>
      <c r="AB29"/>
      <c r="AC29"/>
      <c r="AD29"/>
      <c r="AE29"/>
      <c r="AF29" t="inlineStr">
        <is>
          <t>AI</t>
        </is>
      </c>
      <c r="AG29" t="inlineStr">
        <is>
          <t>ANALYSIS_BASELINE</t>
        </is>
      </c>
      <c r="AH29" t="inlineStr">
        <is>
          <t>PRODUCT</t>
        </is>
      </c>
      <c r="AI29" t="inlineStr">
        <is>
          <t>ACTUAL_USE</t>
        </is>
      </c>
      <c r="AJ29" t="inlineStr">
        <is>
          <t>C</t>
        </is>
      </c>
      <c r="AK29" t="inlineStr">
        <is>
          <t>核心对象：产品的口味；体验：直接说好喝并表示喜欢，属于实际体验；证据强度：只有笼统好喝判断，缺少具体口感依据。</t>
        </is>
      </c>
      <c r="AL29"/>
      <c r="AM29" t="inlineStr">
        <is>
          <t>ANALYSIS_BASELINE_229.xlsx</t>
        </is>
      </c>
    </row>
    <row r="30" ht="25.5" customHeight="1">
      <c r="A30" t="inlineStr">
        <is>
          <t>DY-SOC-0059_ANALYSIS_BASELINE_formal-attempt-0001_AI</t>
        </is>
      </c>
      <c r="B30" t="inlineStr">
        <is>
          <t>明天去买点想喝酒了</t>
        </is>
      </c>
      <c r="C30"/>
      <c r="D30"/>
      <c r="E30"/>
      <c r="F30"/>
      <c r="G30"/>
      <c r="H30"/>
      <c r="I30"/>
      <c r="J30"/>
      <c r="K30"/>
      <c r="L30"/>
      <c r="M30"/>
      <c r="N30"/>
      <c r="O30"/>
      <c r="P30"/>
      <c r="Q30"/>
      <c r="R30"/>
      <c r="S30">
        <v>0.9</v>
      </c>
      <c r="T30" t="inlineStr">
        <is>
          <t>formal-attempt-0001</t>
        </is>
      </c>
      <c r="U30"/>
      <c r="V30"/>
      <c r="W30"/>
      <c r="X30" t="inlineStr">
        <is>
          <t>DY-SOC-0059</t>
        </is>
      </c>
      <c r="Y30"/>
      <c r="Z30"/>
      <c r="AA30"/>
      <c r="AB30"/>
      <c r="AC30"/>
      <c r="AD30"/>
      <c r="AE30"/>
      <c r="AF30" t="inlineStr">
        <is>
          <t>AI</t>
        </is>
      </c>
      <c r="AG30" t="inlineStr">
        <is>
          <t>ANALYSIS_BASELINE</t>
        </is>
      </c>
      <c r="AH30" t="inlineStr">
        <is>
          <t>OTHER</t>
        </is>
      </c>
      <c r="AI30" t="inlineStr">
        <is>
          <t>UNKNOWN</t>
        </is>
      </c>
      <c r="AJ30" t="inlineStr">
        <is>
          <t>C</t>
        </is>
      </c>
      <c r="AK30" t="inlineStr">
        <is>
          <t>核心对象：尚未发生的饮酒与购买打算；体验：未明示已经饮用或未饮用；证据强度：仅有未来购买意向，信息量较低。</t>
        </is>
      </c>
      <c r="AL30"/>
      <c r="AM30" t="inlineStr">
        <is>
          <t>ANALYSIS_BASELINE_229.xlsx</t>
        </is>
      </c>
    </row>
    <row r="31" ht="25.5" customHeight="1">
      <c r="A31" t="inlineStr">
        <is>
          <t>DY-SOC-0061_ANALYSIS_BASELINE_formal-attempt-0001_AI</t>
        </is>
      </c>
      <c r="B31" t="inlineStr">
        <is>
          <t>准备买一瓶慢慢喝</t>
        </is>
      </c>
      <c r="C31"/>
      <c r="D31"/>
      <c r="E31"/>
      <c r="F31"/>
      <c r="G31"/>
      <c r="H31"/>
      <c r="I31"/>
      <c r="J31"/>
      <c r="K31"/>
      <c r="L31"/>
      <c r="M31"/>
      <c r="N31"/>
      <c r="O31"/>
      <c r="P31"/>
      <c r="Q31"/>
      <c r="R31"/>
      <c r="S31">
        <v>0.9</v>
      </c>
      <c r="T31" t="inlineStr">
        <is>
          <t>formal-attempt-0001</t>
        </is>
      </c>
      <c r="U31"/>
      <c r="V31"/>
      <c r="W31"/>
      <c r="X31" t="inlineStr">
        <is>
          <t>DY-SOC-0061</t>
        </is>
      </c>
      <c r="Y31"/>
      <c r="Z31"/>
      <c r="AA31"/>
      <c r="AB31"/>
      <c r="AC31"/>
      <c r="AD31"/>
      <c r="AE31"/>
      <c r="AF31" t="inlineStr">
        <is>
          <t>AI</t>
        </is>
      </c>
      <c r="AG31" t="inlineStr">
        <is>
          <t>ANALYSIS_BASELINE</t>
        </is>
      </c>
      <c r="AH31" t="inlineStr">
        <is>
          <t>OTHER</t>
        </is>
      </c>
      <c r="AI31" t="inlineStr">
        <is>
          <t>UNKNOWN</t>
        </is>
      </c>
      <c r="AJ31" t="inlineStr">
        <is>
          <t>C</t>
        </is>
      </c>
      <c r="AK31" t="inlineStr">
        <is>
          <t>核心对象：尚未发生的购买与饮用打算；体验：未明示已经饮用或未饮用；证据强度：仅有购买和饮用意向，缺少实际体验依据。</t>
        </is>
      </c>
      <c r="AL31"/>
      <c r="AM31" t="inlineStr">
        <is>
          <t>ANALYSIS_BASELINE_229.xlsx</t>
        </is>
      </c>
    </row>
    <row r="32" ht="25.5" customHeight="1">
      <c r="A32" t="inlineStr">
        <is>
          <t>DY-SOC-0062_ANALYSIS_BASELINE_formal-attempt-0001_AI</t>
        </is>
      </c>
      <c r="B32" t="inlineStr">
        <is>
          <t>平常也是没事儿来一瓶</t>
        </is>
      </c>
      <c r="C32"/>
      <c r="D32"/>
      <c r="E32"/>
      <c r="F32"/>
      <c r="G32"/>
      <c r="H32"/>
      <c r="I32"/>
      <c r="J32"/>
      <c r="K32"/>
      <c r="L32"/>
      <c r="M32"/>
      <c r="N32"/>
      <c r="O32"/>
      <c r="P32"/>
      <c r="Q32"/>
      <c r="R32"/>
      <c r="S32">
        <v>0.9</v>
      </c>
      <c r="T32" t="inlineStr">
        <is>
          <t>formal-attempt-0001</t>
        </is>
      </c>
      <c r="U32"/>
      <c r="V32"/>
      <c r="W32"/>
      <c r="X32" t="inlineStr">
        <is>
          <t>DY-SOC-0062</t>
        </is>
      </c>
      <c r="Y32"/>
      <c r="Z32"/>
      <c r="AA32"/>
      <c r="AB32"/>
      <c r="AC32"/>
      <c r="AD32"/>
      <c r="AE32"/>
      <c r="AF32" t="inlineStr">
        <is>
          <t>AI</t>
        </is>
      </c>
      <c r="AG32" t="inlineStr">
        <is>
          <t>ANALYSIS_BASELINE</t>
        </is>
      </c>
      <c r="AH32" t="inlineStr">
        <is>
          <t>SCENE</t>
        </is>
      </c>
      <c r="AI32" t="inlineStr">
        <is>
          <t>ACTUAL_USE</t>
        </is>
      </c>
      <c r="AJ32" t="inlineStr">
        <is>
          <t>C</t>
        </is>
      </c>
      <c r="AK32" t="inlineStr">
        <is>
          <t>核心对象：日常饮酒行为；体验：直接描述平常饮用，属于实际体验；证据强度：只有笼统行为描述，缺少具体情境或评价。</t>
        </is>
      </c>
      <c r="AL32"/>
      <c r="AM32" t="inlineStr">
        <is>
          <t>ANALYSIS_BASELINE_229.xlsx</t>
        </is>
      </c>
    </row>
    <row r="33" ht="25.5" customHeight="1">
      <c r="A33" t="inlineStr">
        <is>
          <t>DY-SOC-0063_ANALYSIS_BASELINE_formal-attempt-0001_AI</t>
        </is>
      </c>
      <c r="B33" t="inlineStr">
        <is>
          <t>看着真惬意和朋友一起小酌一杯心情都变好了</t>
        </is>
      </c>
      <c r="C33"/>
      <c r="D33"/>
      <c r="E33"/>
      <c r="F33"/>
      <c r="G33"/>
      <c r="H33"/>
      <c r="I33"/>
      <c r="J33"/>
      <c r="K33"/>
      <c r="L33"/>
      <c r="M33"/>
      <c r="N33"/>
      <c r="O33"/>
      <c r="P33"/>
      <c r="Q33"/>
      <c r="R33"/>
      <c r="S33">
        <v>0.9</v>
      </c>
      <c r="T33" t="inlineStr">
        <is>
          <t>formal-attempt-0001</t>
        </is>
      </c>
      <c r="U33"/>
      <c r="V33"/>
      <c r="W33"/>
      <c r="X33" t="inlineStr">
        <is>
          <t>DY-SOC-0063</t>
        </is>
      </c>
      <c r="Y33"/>
      <c r="Z33"/>
      <c r="AA33"/>
      <c r="AB33"/>
      <c r="AC33"/>
      <c r="AD33"/>
      <c r="AE33"/>
      <c r="AF33" t="inlineStr">
        <is>
          <t>AI</t>
        </is>
      </c>
      <c r="AG33" t="inlineStr">
        <is>
          <t>ANALYSIS_BASELINE</t>
        </is>
      </c>
      <c r="AH33" t="inlineStr">
        <is>
          <t>SCENE</t>
        </is>
      </c>
      <c r="AI33" t="inlineStr">
        <is>
          <t>UNKNOWN</t>
        </is>
      </c>
      <c r="AJ33" t="inlineStr">
        <is>
          <t>A</t>
        </is>
      </c>
      <c r="AK33" t="inlineStr">
        <is>
          <t>核心对象：和朋友小酌的饮酒场景；体验：未明示本人饮用，属于场景描述；证据强度：写明朋友同行、小酌和心情变化，判断与情境完整。</t>
        </is>
      </c>
      <c r="AL33"/>
      <c r="AM33" t="inlineStr">
        <is>
          <t>ANALYSIS_BASELINE_229.xlsx</t>
        </is>
      </c>
    </row>
    <row r="34" ht="25.5" customHeight="1">
      <c r="A34" t="inlineStr">
        <is>
          <t>DY-SOC-0064_ANALYSIS_BASELINE_formal-attempt-0001_AI</t>
        </is>
      </c>
      <c r="B34" t="inlineStr">
        <is>
          <t>我梅见大瓶3瓶倒[捂脸]</t>
        </is>
      </c>
      <c r="C34"/>
      <c r="D34"/>
      <c r="E34"/>
      <c r="F34"/>
      <c r="G34"/>
      <c r="H34"/>
      <c r="I34"/>
      <c r="J34"/>
      <c r="K34"/>
      <c r="L34"/>
      <c r="M34"/>
      <c r="N34"/>
      <c r="O34"/>
      <c r="P34"/>
      <c r="Q34"/>
      <c r="R34"/>
      <c r="S34">
        <v>0.9</v>
      </c>
      <c r="T34" t="inlineStr">
        <is>
          <t>formal-attempt-0001</t>
        </is>
      </c>
      <c r="U34"/>
      <c r="V34"/>
      <c r="W34"/>
      <c r="X34" t="inlineStr">
        <is>
          <t>DY-SOC-0064</t>
        </is>
      </c>
      <c r="Y34"/>
      <c r="Z34"/>
      <c r="AA34"/>
      <c r="AB34"/>
      <c r="AC34"/>
      <c r="AD34"/>
      <c r="AE34"/>
      <c r="AF34" t="inlineStr">
        <is>
          <t>AI</t>
        </is>
      </c>
      <c r="AG34" t="inlineStr">
        <is>
          <t>ANALYSIS_BASELINE</t>
        </is>
      </c>
      <c r="AH34" t="inlineStr">
        <is>
          <t>SCENE</t>
        </is>
      </c>
      <c r="AI34" t="inlineStr">
        <is>
          <t>ACTUAL_USE</t>
        </is>
      </c>
      <c r="AJ34" t="inlineStr">
        <is>
          <t>A</t>
        </is>
      </c>
      <c r="AK34" t="inlineStr">
        <is>
          <t>核心对象：饮酒后的倒地状态；体验：第一人称描述三瓶大瓶后的状态，属于实际体验；证据强度：写明品牌、规格、数量和结果，信息链完整。</t>
        </is>
      </c>
      <c r="AL34"/>
      <c r="AM34" t="inlineStr">
        <is>
          <t>ANALYSIS_BASELINE_229.xlsx</t>
        </is>
      </c>
    </row>
    <row r="35" ht="25.5" customHeight="1">
      <c r="A35" t="inlineStr">
        <is>
          <t>DY-SOC-0067_ANALYSIS_BASELINE_formal-attempt-0001_AI</t>
        </is>
      </c>
      <c r="B35" t="inlineStr">
        <is>
          <t>太会喝了我整瓶尝尝[舔屏]</t>
        </is>
      </c>
      <c r="C35"/>
      <c r="D35"/>
      <c r="E35"/>
      <c r="F35"/>
      <c r="G35"/>
      <c r="H35"/>
      <c r="I35"/>
      <c r="J35"/>
      <c r="K35"/>
      <c r="L35"/>
      <c r="M35"/>
      <c r="N35"/>
      <c r="O35"/>
      <c r="P35"/>
      <c r="Q35"/>
      <c r="R35"/>
      <c r="S35">
        <v>0.7</v>
      </c>
      <c r="T35" t="inlineStr">
        <is>
          <t>formal-attempt-0001</t>
        </is>
      </c>
      <c r="U35"/>
      <c r="V35"/>
      <c r="W35"/>
      <c r="X35" t="inlineStr">
        <is>
          <t>DY-SOC-0067</t>
        </is>
      </c>
      <c r="Y35"/>
      <c r="Z35"/>
      <c r="AA35"/>
      <c r="AB35"/>
      <c r="AC35"/>
      <c r="AD35"/>
      <c r="AE35"/>
      <c r="AF35" t="inlineStr">
        <is>
          <t>AI</t>
        </is>
      </c>
      <c r="AG35" t="inlineStr">
        <is>
          <t>ANALYSIS_BASELINE</t>
        </is>
      </c>
      <c r="AH35" t="inlineStr">
        <is>
          <t>OTHER</t>
        </is>
      </c>
      <c r="AI35" t="inlineStr">
        <is>
          <t>UNKNOWN</t>
        </is>
      </c>
      <c r="AJ35" t="inlineStr">
        <is>
          <t>C</t>
        </is>
      </c>
      <c r="AK35" t="inlineStr">
        <is>
          <t>核心对象：尚未发生的整瓶饮用打算；体验：未明示已经饮用；证据强度：主要是尝试意向，缺少实际体验依据。</t>
        </is>
      </c>
      <c r="AL35"/>
      <c r="AM35" t="inlineStr">
        <is>
          <t>ANALYSIS_BASELINE_229.xlsx</t>
        </is>
      </c>
    </row>
    <row r="36" ht="25.5" customHeight="1">
      <c r="A36" t="inlineStr">
        <is>
          <t>DY-SOC-0139_ANALYSIS_BASELINE_formal-attempt-0001_AI</t>
        </is>
      </c>
      <c r="B36" t="inlineStr">
        <is>
          <t>不好喝我喝着一股白酒味[捂脸]</t>
        </is>
      </c>
      <c r="C36"/>
      <c r="D36"/>
      <c r="E36"/>
      <c r="F36"/>
      <c r="G36"/>
      <c r="H36"/>
      <c r="I36"/>
      <c r="J36"/>
      <c r="K36"/>
      <c r="L36"/>
      <c r="M36"/>
      <c r="N36"/>
      <c r="O36"/>
      <c r="P36"/>
      <c r="Q36"/>
      <c r="R36"/>
      <c r="S36">
        <v>0.9</v>
      </c>
      <c r="T36" t="inlineStr">
        <is>
          <t>formal-attempt-0001</t>
        </is>
      </c>
      <c r="U36"/>
      <c r="V36"/>
      <c r="W36"/>
      <c r="X36" t="inlineStr">
        <is>
          <t>DY-SOC-0139</t>
        </is>
      </c>
      <c r="Y36"/>
      <c r="Z36"/>
      <c r="AA36"/>
      <c r="AB36"/>
      <c r="AC36"/>
      <c r="AD36"/>
      <c r="AE36"/>
      <c r="AF36" t="inlineStr">
        <is>
          <t>AI</t>
        </is>
      </c>
      <c r="AG36" t="inlineStr">
        <is>
          <t>ANALYSIS_BASELINE</t>
        </is>
      </c>
      <c r="AH36" t="inlineStr">
        <is>
          <t>PRODUCT</t>
        </is>
      </c>
      <c r="AI36" t="inlineStr">
        <is>
          <t>ACTUAL_USE</t>
        </is>
      </c>
      <c r="AJ36" t="inlineStr">
        <is>
          <t>B</t>
        </is>
      </c>
      <c r="AK36" t="inlineStr">
        <is>
          <t>核心对象：饮用对象的口感与酒味；体验：第一人称直接作出口感判断，属于实际体验；证据强度：有不好喝和白酒味的具体依据，但对象和情境不完整。</t>
        </is>
      </c>
      <c r="AL36"/>
      <c r="AM36" t="inlineStr">
        <is>
          <t>ANALYSIS_BASELINE_229.xlsx</t>
        </is>
      </c>
    </row>
    <row r="37" ht="25.5" customHeight="1">
      <c r="A37" t="inlineStr">
        <is>
          <t>DY-SOC-0146_ANALYSIS_BASELINE_formal-attempt-0001_AI</t>
        </is>
      </c>
      <c r="B37" t="inlineStr">
        <is>
          <t>那5000个陶坛的酒库也太壮观了</t>
        </is>
      </c>
      <c r="C37"/>
      <c r="D37"/>
      <c r="E37"/>
      <c r="F37"/>
      <c r="G37"/>
      <c r="H37"/>
      <c r="I37"/>
      <c r="J37"/>
      <c r="K37"/>
      <c r="L37"/>
      <c r="M37"/>
      <c r="N37"/>
      <c r="O37"/>
      <c r="P37"/>
      <c r="Q37"/>
      <c r="R37"/>
      <c r="S37">
        <v>0.9</v>
      </c>
      <c r="T37" t="inlineStr">
        <is>
          <t>formal-attempt-0001</t>
        </is>
      </c>
      <c r="U37"/>
      <c r="V37"/>
      <c r="W37"/>
      <c r="X37" t="inlineStr">
        <is>
          <t>DY-SOC-0146</t>
        </is>
      </c>
      <c r="Y37"/>
      <c r="Z37"/>
      <c r="AA37"/>
      <c r="AB37"/>
      <c r="AC37"/>
      <c r="AD37"/>
      <c r="AE37"/>
      <c r="AF37" t="inlineStr">
        <is>
          <t>AI</t>
        </is>
      </c>
      <c r="AG37" t="inlineStr">
        <is>
          <t>ANALYSIS_BASELINE</t>
        </is>
      </c>
      <c r="AH37" t="inlineStr">
        <is>
          <t>OTHER</t>
        </is>
      </c>
      <c r="AI37" t="inlineStr">
        <is>
          <t>UNKNOWN</t>
        </is>
      </c>
      <c r="AJ37" t="inlineStr">
        <is>
          <t>A</t>
        </is>
      </c>
      <c r="AK37" t="inlineStr">
        <is>
          <t>核心对象：酒库及陶坛规模；体验：未明示个人饮用体验，属于场景描述；证据强度：明确写出5000个陶坛并给出壮观判断，信息链完整。</t>
        </is>
      </c>
      <c r="AL37"/>
      <c r="AM37" t="inlineStr">
        <is>
          <t>ANALYSIS_BASELINE_229.xlsx</t>
        </is>
      </c>
    </row>
    <row r="38" ht="25.5" customHeight="1">
      <c r="A38" t="inlineStr">
        <is>
          <t>DY-SOC-0157_ANALYSIS_BASELINE_formal-attempt-0001_AI</t>
        </is>
      </c>
      <c r="B38" t="inlineStr">
        <is>
          <t>杯子好看酒的颜色也诱人</t>
        </is>
      </c>
      <c r="C38"/>
      <c r="D38"/>
      <c r="E38"/>
      <c r="F38"/>
      <c r="G38"/>
      <c r="H38"/>
      <c r="I38"/>
      <c r="J38"/>
      <c r="K38"/>
      <c r="L38"/>
      <c r="M38"/>
      <c r="N38"/>
      <c r="O38"/>
      <c r="P38"/>
      <c r="Q38"/>
      <c r="R38"/>
      <c r="S38">
        <v>0.9</v>
      </c>
      <c r="T38" t="inlineStr">
        <is>
          <t>formal-attempt-0001</t>
        </is>
      </c>
      <c r="U38"/>
      <c r="V38"/>
      <c r="W38"/>
      <c r="X38" t="inlineStr">
        <is>
          <t>DY-SOC-0157</t>
        </is>
      </c>
      <c r="Y38"/>
      <c r="Z38"/>
      <c r="AA38"/>
      <c r="AB38"/>
      <c r="AC38"/>
      <c r="AD38"/>
      <c r="AE38"/>
      <c r="AF38" t="inlineStr">
        <is>
          <t>AI</t>
        </is>
      </c>
      <c r="AG38" t="inlineStr">
        <is>
          <t>ANALYSIS_BASELINE</t>
        </is>
      </c>
      <c r="AH38" t="inlineStr">
        <is>
          <t>PRODUCT</t>
        </is>
      </c>
      <c r="AI38" t="inlineStr">
        <is>
          <t>UNKNOWN</t>
        </is>
      </c>
      <c r="AJ38" t="inlineStr">
        <is>
          <t>C</t>
        </is>
      </c>
      <c r="AK38" t="inlineStr">
        <is>
          <t>核心对象：杯子外观与酒的颜色；体验：未明示个人饮用体验；证据强度：只有外观与视觉吸引力判断，信息量较低。</t>
        </is>
      </c>
      <c r="AL38"/>
      <c r="AM38" t="inlineStr">
        <is>
          <t>ANALYSIS_BASELINE_229.xlsx</t>
        </is>
      </c>
    </row>
    <row r="39" ht="25.5" customHeight="1">
      <c r="A39" t="inlineStr">
        <is>
          <t>DY-SOC-0158_ANALYSIS_BASELINE_formal-attempt-0001_AI</t>
        </is>
      </c>
      <c r="B39" t="inlineStr">
        <is>
          <t>烟熏梅见好喝吗求真实口感</t>
        </is>
      </c>
      <c r="C39"/>
      <c r="D39"/>
      <c r="E39"/>
      <c r="F39"/>
      <c r="G39"/>
      <c r="H39"/>
      <c r="I39"/>
      <c r="J39"/>
      <c r="K39"/>
      <c r="L39"/>
      <c r="M39"/>
      <c r="N39"/>
      <c r="O39"/>
      <c r="P39"/>
      <c r="Q39"/>
      <c r="R39"/>
      <c r="S39">
        <v>0.9</v>
      </c>
      <c r="T39" t="inlineStr">
        <is>
          <t>formal-attempt-0001</t>
        </is>
      </c>
      <c r="U39"/>
      <c r="V39"/>
      <c r="W39"/>
      <c r="X39" t="inlineStr">
        <is>
          <t>DY-SOC-0158</t>
        </is>
      </c>
      <c r="Y39"/>
      <c r="Z39"/>
      <c r="AA39"/>
      <c r="AB39"/>
      <c r="AC39"/>
      <c r="AD39"/>
      <c r="AE39"/>
      <c r="AF39" t="inlineStr">
        <is>
          <t>AI</t>
        </is>
      </c>
      <c r="AG39" t="inlineStr">
        <is>
          <t>ANALYSIS_BASELINE</t>
        </is>
      </c>
      <c r="AH39" t="inlineStr">
        <is>
          <t>PRODUCT</t>
        </is>
      </c>
      <c r="AI39" t="inlineStr">
        <is>
          <t>UNKNOWN</t>
        </is>
      </c>
      <c r="AJ39" t="inlineStr">
        <is>
          <t>C</t>
        </is>
      </c>
      <c r="AK39" t="inlineStr">
        <is>
          <t>核心对象：烟熏梅见的口感；体验：仅询问是否好喝，未明示个人饮用体验；证据强度：只有求证口感的问题，缺少实际体验依据。</t>
        </is>
      </c>
      <c r="AL39"/>
      <c r="AM39" t="inlineStr">
        <is>
          <t>ANALYSIS_BASELINE_229.xlsx</t>
        </is>
      </c>
    </row>
    <row r="40" ht="25.5" customHeight="1">
      <c r="A40" t="inlineStr">
        <is>
          <t>DY-SOC-0159_ANALYSIS_BASELINE_formal-attempt-0001_AI</t>
        </is>
      </c>
      <c r="B40" t="inlineStr">
        <is>
          <t>梅见新口味一定要试试</t>
        </is>
      </c>
      <c r="C40"/>
      <c r="D40"/>
      <c r="E40"/>
      <c r="F40"/>
      <c r="G40"/>
      <c r="H40"/>
      <c r="I40"/>
      <c r="J40"/>
      <c r="K40"/>
      <c r="L40"/>
      <c r="M40"/>
      <c r="N40"/>
      <c r="O40"/>
      <c r="P40"/>
      <c r="Q40"/>
      <c r="R40"/>
      <c r="S40">
        <v>0.9</v>
      </c>
      <c r="T40" t="inlineStr">
        <is>
          <t>formal-attempt-0001</t>
        </is>
      </c>
      <c r="U40"/>
      <c r="V40"/>
      <c r="W40"/>
      <c r="X40" t="inlineStr">
        <is>
          <t>DY-SOC-0159</t>
        </is>
      </c>
      <c r="Y40"/>
      <c r="Z40"/>
      <c r="AA40"/>
      <c r="AB40"/>
      <c r="AC40"/>
      <c r="AD40"/>
      <c r="AE40"/>
      <c r="AF40" t="inlineStr">
        <is>
          <t>AI</t>
        </is>
      </c>
      <c r="AG40" t="inlineStr">
        <is>
          <t>ANALYSIS_BASELINE</t>
        </is>
      </c>
      <c r="AH40" t="inlineStr">
        <is>
          <t>OTHER</t>
        </is>
      </c>
      <c r="AI40" t="inlineStr">
        <is>
          <t>UNKNOWN</t>
        </is>
      </c>
      <c r="AJ40" t="inlineStr">
        <is>
          <t>C</t>
        </is>
      </c>
      <c r="AK40" t="inlineStr">
        <is>
          <t>核心对象：尝试梅见新口味的建议；体验：未明示实际饮用；证据强度：仅有推荐和尝试意向，缺少体验依据。</t>
        </is>
      </c>
      <c r="AL40"/>
      <c r="AM40" t="inlineStr">
        <is>
          <t>ANALYSIS_BASELINE_229.xlsx</t>
        </is>
      </c>
    </row>
    <row r="41" ht="25.5" customHeight="1">
      <c r="A41" t="inlineStr">
        <is>
          <t>XHS-SOC-0195_ANALYSIS_BASELINE_formal-attempt-0001_AI</t>
        </is>
      </c>
      <c r="B41" t="inlineStr">
        <is>
          <t>其实日本的梅见真的很好喝我感觉国内的梅见跟日本的梅见不是一个东西</t>
        </is>
      </c>
      <c r="C41"/>
      <c r="D41"/>
      <c r="E41"/>
      <c r="F41"/>
      <c r="G41"/>
      <c r="H41"/>
      <c r="I41"/>
      <c r="J41"/>
      <c r="K41"/>
      <c r="L41"/>
      <c r="M41"/>
      <c r="N41"/>
      <c r="O41"/>
      <c r="P41"/>
      <c r="Q41"/>
      <c r="R41"/>
      <c r="S41">
        <v>0.9</v>
      </c>
      <c r="T41" t="inlineStr">
        <is>
          <t>formal-attempt-0001</t>
        </is>
      </c>
      <c r="U41"/>
      <c r="V41"/>
      <c r="W41"/>
      <c r="X41" t="inlineStr">
        <is>
          <t>XHS-SOC-0195</t>
        </is>
      </c>
      <c r="Y41"/>
      <c r="Z41"/>
      <c r="AA41"/>
      <c r="AB41"/>
      <c r="AC41"/>
      <c r="AD41"/>
      <c r="AE41"/>
      <c r="AF41" t="inlineStr">
        <is>
          <t>AI</t>
        </is>
      </c>
      <c r="AG41" t="inlineStr">
        <is>
          <t>ANALYSIS_BASELINE</t>
        </is>
      </c>
      <c r="AH41" t="inlineStr">
        <is>
          <t>COMPETITOR</t>
        </is>
      </c>
      <c r="AI41" t="inlineStr">
        <is>
          <t>ACTUAL_USE</t>
        </is>
      </c>
      <c r="AJ41" t="inlineStr">
        <is>
          <t>A</t>
        </is>
      </c>
      <c r="AK41" t="inlineStr">
        <is>
          <t>核心对象：日本梅见与国内梅见的比较；体验：明确评价好喝并作出比较，属于实际体验；证据强度：给出比较对象、口感判断和比较结论，信息链完整。</t>
        </is>
      </c>
      <c r="AL41"/>
      <c r="AM41" t="inlineStr">
        <is>
          <t>ANALYSIS_BASELINE_229.xlsx</t>
        </is>
      </c>
    </row>
    <row r="42" ht="25.5" customHeight="1">
      <c r="A42" t="inlineStr">
        <is>
          <t>XHS-SOC-0250_ANALYSIS_BASELINE_formal-attempt-0001_AI</t>
        </is>
      </c>
      <c r="B42" t="inlineStr">
        <is>
          <t>哈哈哈哈，梅见现在高端产品线橡木桶梅见更好喝</t>
        </is>
      </c>
      <c r="C42"/>
      <c r="D42"/>
      <c r="E42"/>
      <c r="F42"/>
      <c r="G42"/>
      <c r="H42"/>
      <c r="I42"/>
      <c r="J42"/>
      <c r="K42"/>
      <c r="L42"/>
      <c r="M42"/>
      <c r="N42"/>
      <c r="O42"/>
      <c r="P42"/>
      <c r="Q42"/>
      <c r="R42"/>
      <c r="S42">
        <v>0.9</v>
      </c>
      <c r="T42" t="inlineStr">
        <is>
          <t>formal-attempt-0001</t>
        </is>
      </c>
      <c r="U42"/>
      <c r="V42"/>
      <c r="W42"/>
      <c r="X42" t="inlineStr">
        <is>
          <t>XHS-SOC-0250</t>
        </is>
      </c>
      <c r="Y42"/>
      <c r="Z42"/>
      <c r="AA42"/>
      <c r="AB42"/>
      <c r="AC42"/>
      <c r="AD42"/>
      <c r="AE42"/>
      <c r="AF42" t="inlineStr">
        <is>
          <t>AI</t>
        </is>
      </c>
      <c r="AG42" t="inlineStr">
        <is>
          <t>ANALYSIS_BASELINE</t>
        </is>
      </c>
      <c r="AH42" t="inlineStr">
        <is>
          <t>PRODUCT</t>
        </is>
      </c>
      <c r="AI42" t="inlineStr">
        <is>
          <t>ACTUAL_USE</t>
        </is>
      </c>
      <c r="AJ42" t="inlineStr">
        <is>
          <t>C</t>
        </is>
      </c>
      <c r="AK42" t="inlineStr">
        <is>
          <t>核心对象：产品口味；体验：原文直接评价更好喝，判为 ACTUAL_USE；证据强度：仅有笼统口味判断，信息链不完整，判为 C。</t>
        </is>
      </c>
      <c r="AL42"/>
      <c r="AM42" t="inlineStr">
        <is>
          <t>ANALYSIS_BASELINE_229.xlsx</t>
        </is>
      </c>
    </row>
    <row r="43" ht="25.5" customHeight="1">
      <c r="A43" t="inlineStr">
        <is>
          <t>XHS-SOC-0257_ANALYSIS_BASELINE_formal-attempt-0001_AI</t>
        </is>
      </c>
      <c r="B43" t="inlineStr">
        <is>
          <t>加椰子水 好喝</t>
        </is>
      </c>
      <c r="C43"/>
      <c r="D43"/>
      <c r="E43"/>
      <c r="F43"/>
      <c r="G43"/>
      <c r="H43"/>
      <c r="I43"/>
      <c r="J43"/>
      <c r="K43"/>
      <c r="L43"/>
      <c r="M43"/>
      <c r="N43"/>
      <c r="O43"/>
      <c r="P43"/>
      <c r="Q43"/>
      <c r="R43"/>
      <c r="S43">
        <v>0.9</v>
      </c>
      <c r="T43" t="inlineStr">
        <is>
          <t>formal-attempt-0001</t>
        </is>
      </c>
      <c r="U43"/>
      <c r="V43"/>
      <c r="W43"/>
      <c r="X43" t="inlineStr">
        <is>
          <t>XHS-SOC-0257</t>
        </is>
      </c>
      <c r="Y43"/>
      <c r="Z43"/>
      <c r="AA43"/>
      <c r="AB43"/>
      <c r="AC43"/>
      <c r="AD43"/>
      <c r="AE43"/>
      <c r="AF43" t="inlineStr">
        <is>
          <t>AI</t>
        </is>
      </c>
      <c r="AG43" t="inlineStr">
        <is>
          <t>ANALYSIS_BASELINE</t>
        </is>
      </c>
      <c r="AH43" t="inlineStr">
        <is>
          <t>PRODUCT</t>
        </is>
      </c>
      <c r="AI43" t="inlineStr">
        <is>
          <t>ACTUAL_USE</t>
        </is>
      </c>
      <c r="AJ43" t="inlineStr">
        <is>
          <t>C</t>
        </is>
      </c>
      <c r="AK43" t="inlineStr">
        <is>
          <t>核心对象：调饮后的产品体验；体验：原文直接评价加椰子水后好喝，判为 ACTUAL_USE；证据强度：仅有简短口味判断，信息链不完整，判为 C。</t>
        </is>
      </c>
      <c r="AL43"/>
      <c r="AM43" t="inlineStr">
        <is>
          <t>ANALYSIS_BASELINE_229.xlsx</t>
        </is>
      </c>
    </row>
    <row r="44" ht="25.5" customHeight="1">
      <c r="A44" t="inlineStr">
        <is>
          <t>XHS-SOC-0258_ANALYSIS_BASELINE_formal-attempt-0001_AI</t>
        </is>
      </c>
      <c r="B44" t="inlineStr">
        <is>
          <t>这个超好喝</t>
        </is>
      </c>
      <c r="C44"/>
      <c r="D44"/>
      <c r="E44"/>
      <c r="F44"/>
      <c r="G44"/>
      <c r="H44"/>
      <c r="I44"/>
      <c r="J44"/>
      <c r="K44"/>
      <c r="L44"/>
      <c r="M44"/>
      <c r="N44"/>
      <c r="O44"/>
      <c r="P44"/>
      <c r="Q44"/>
      <c r="R44"/>
      <c r="S44">
        <v>0.7</v>
      </c>
      <c r="T44" t="inlineStr">
        <is>
          <t>formal-attempt-0001</t>
        </is>
      </c>
      <c r="U44"/>
      <c r="V44"/>
      <c r="W44"/>
      <c r="X44" t="inlineStr">
        <is>
          <t>XHS-SOC-0258</t>
        </is>
      </c>
      <c r="Y44"/>
      <c r="Z44"/>
      <c r="AA44"/>
      <c r="AB44"/>
      <c r="AC44"/>
      <c r="AD44"/>
      <c r="AE44"/>
      <c r="AF44" t="inlineStr">
        <is>
          <t>AI</t>
        </is>
      </c>
      <c r="AG44" t="inlineStr">
        <is>
          <t>ANALYSIS_BASELINE</t>
        </is>
      </c>
      <c r="AH44" t="inlineStr">
        <is>
          <t>PRODUCT</t>
        </is>
      </c>
      <c r="AI44" t="inlineStr">
        <is>
          <t>ACTUAL_USE</t>
        </is>
      </c>
      <c r="AJ44" t="inlineStr">
        <is>
          <t>C</t>
        </is>
      </c>
      <c r="AK44" t="inlineStr">
        <is>
          <t>核心对象：产品口味；体验：原文直接评价好喝，判为 ACTUAL_USE；证据强度：评价对象和依据均未具体说明，判为 C。</t>
        </is>
      </c>
      <c r="AL44"/>
      <c r="AM44" t="inlineStr">
        <is>
          <t>ANALYSIS_BASELINE_229.xlsx</t>
        </is>
      </c>
    </row>
    <row r="45" ht="25.5" customHeight="1">
      <c r="A45" t="inlineStr">
        <is>
          <t>XHS-SOC-0259_ANALYSIS_BASELINE_formal-attempt-0001_AI</t>
        </is>
      </c>
      <c r="B45" t="inlineStr">
        <is>
          <t>这个好喝</t>
        </is>
      </c>
      <c r="C45"/>
      <c r="D45"/>
      <c r="E45"/>
      <c r="F45"/>
      <c r="G45"/>
      <c r="H45"/>
      <c r="I45"/>
      <c r="J45"/>
      <c r="K45"/>
      <c r="L45"/>
      <c r="M45"/>
      <c r="N45"/>
      <c r="O45"/>
      <c r="P45"/>
      <c r="Q45"/>
      <c r="R45"/>
      <c r="S45">
        <v>0.7</v>
      </c>
      <c r="T45" t="inlineStr">
        <is>
          <t>formal-attempt-0001</t>
        </is>
      </c>
      <c r="U45"/>
      <c r="V45"/>
      <c r="W45"/>
      <c r="X45" t="inlineStr">
        <is>
          <t>XHS-SOC-0259</t>
        </is>
      </c>
      <c r="Y45"/>
      <c r="Z45"/>
      <c r="AA45"/>
      <c r="AB45"/>
      <c r="AC45"/>
      <c r="AD45"/>
      <c r="AE45"/>
      <c r="AF45" t="inlineStr">
        <is>
          <t>AI</t>
        </is>
      </c>
      <c r="AG45" t="inlineStr">
        <is>
          <t>ANALYSIS_BASELINE</t>
        </is>
      </c>
      <c r="AH45" t="inlineStr">
        <is>
          <t>PRODUCT</t>
        </is>
      </c>
      <c r="AI45" t="inlineStr">
        <is>
          <t>ACTUAL_USE</t>
        </is>
      </c>
      <c r="AJ45" t="inlineStr">
        <is>
          <t>C</t>
        </is>
      </c>
      <c r="AK45" t="inlineStr">
        <is>
          <t>核心对象：产品口味；体验：原文直接评价好喝，判为 ACTUAL_USE；证据强度：评价对象和依据均未具体说明，判为 C。</t>
        </is>
      </c>
      <c r="AL45"/>
      <c r="AM45" t="inlineStr">
        <is>
          <t>ANALYSIS_BASELINE_229.xlsx</t>
        </is>
      </c>
    </row>
    <row r="46" ht="25.5" customHeight="1">
      <c r="A46" t="inlineStr">
        <is>
          <t>DY-SOC-0263_ANALYSIS_BASELINE_formal-attempt-0001_AI</t>
        </is>
      </c>
      <c r="B46" t="inlineStr">
        <is>
          <t>看完这个视频我已经在去买的的路上了</t>
        </is>
      </c>
      <c r="C46"/>
      <c r="D46"/>
      <c r="E46"/>
      <c r="F46"/>
      <c r="G46"/>
      <c r="H46"/>
      <c r="I46"/>
      <c r="J46"/>
      <c r="K46"/>
      <c r="L46"/>
      <c r="M46"/>
      <c r="N46"/>
      <c r="O46"/>
      <c r="P46"/>
      <c r="Q46"/>
      <c r="R46"/>
      <c r="S46">
        <v>0.9</v>
      </c>
      <c r="T46" t="inlineStr">
        <is>
          <t>formal-attempt-0001</t>
        </is>
      </c>
      <c r="U46"/>
      <c r="V46"/>
      <c r="W46"/>
      <c r="X46" t="inlineStr">
        <is>
          <t>DY-SOC-0263</t>
        </is>
      </c>
      <c r="Y46"/>
      <c r="Z46"/>
      <c r="AA46"/>
      <c r="AB46"/>
      <c r="AC46"/>
      <c r="AD46"/>
      <c r="AE46"/>
      <c r="AF46" t="inlineStr">
        <is>
          <t>AI</t>
        </is>
      </c>
      <c r="AG46" t="inlineStr">
        <is>
          <t>ANALYSIS_BASELINE</t>
        </is>
      </c>
      <c r="AH46" t="inlineStr">
        <is>
          <t>OTHER</t>
        </is>
      </c>
      <c r="AI46" t="inlineStr">
        <is>
          <t>UNKNOWN</t>
        </is>
      </c>
      <c r="AJ46" t="inlineStr">
        <is>
          <t>C</t>
        </is>
      </c>
      <c r="AK46" t="inlineStr">
        <is>
          <t>核心对象：购买意向；体验：原文表达购买意向，未明示饮用或未饮用，判为 UNKNOWN；证据强度：仅有购买意向，缺少具体判断和依据，判为 C。</t>
        </is>
      </c>
      <c r="AL46"/>
      <c r="AM46" t="inlineStr">
        <is>
          <t>ANALYSIS_BASELINE_229.xlsx</t>
        </is>
      </c>
    </row>
    <row r="47" ht="25.5" customHeight="1">
      <c r="A47" t="inlineStr">
        <is>
          <t>DY-SOC-0264_ANALYSIS_BASELINE_formal-attempt-0001_AI</t>
        </is>
      </c>
      <c r="B47" t="inlineStr">
        <is>
          <t>这到底是不是酒啊</t>
        </is>
      </c>
      <c r="C47"/>
      <c r="D47"/>
      <c r="E47"/>
      <c r="F47"/>
      <c r="G47"/>
      <c r="H47"/>
      <c r="I47"/>
      <c r="J47"/>
      <c r="K47"/>
      <c r="L47"/>
      <c r="M47"/>
      <c r="N47"/>
      <c r="O47"/>
      <c r="P47"/>
      <c r="Q47"/>
      <c r="R47"/>
      <c r="S47">
        <v>0.9</v>
      </c>
      <c r="T47" t="inlineStr">
        <is>
          <t>formal-attempt-0001</t>
        </is>
      </c>
      <c r="U47"/>
      <c r="V47"/>
      <c r="W47"/>
      <c r="X47" t="inlineStr">
        <is>
          <t>DY-SOC-0264</t>
        </is>
      </c>
      <c r="Y47"/>
      <c r="Z47"/>
      <c r="AA47"/>
      <c r="AB47"/>
      <c r="AC47"/>
      <c r="AD47"/>
      <c r="AE47"/>
      <c r="AF47" t="inlineStr">
        <is>
          <t>AI</t>
        </is>
      </c>
      <c r="AG47" t="inlineStr">
        <is>
          <t>ANALYSIS_BASELINE</t>
        </is>
      </c>
      <c r="AH47" t="inlineStr">
        <is>
          <t>PRODUCT</t>
        </is>
      </c>
      <c r="AI47" t="inlineStr">
        <is>
          <t>UNKNOWN</t>
        </is>
      </c>
      <c r="AJ47" t="inlineStr">
        <is>
          <t>C</t>
        </is>
      </c>
      <c r="AK47" t="inlineStr">
        <is>
          <t>核心对象：产品是否为酒；体验：原文仅提出询问，没有体验立场，判为 UNKNOWN；证据强度：仅有性质询问，没有判断依据，判为 C。</t>
        </is>
      </c>
      <c r="AL47"/>
      <c r="AM47" t="inlineStr">
        <is>
          <t>ANALYSIS_BASELINE_229.xlsx</t>
        </is>
      </c>
    </row>
    <row r="48" ht="25.5" customHeight="1">
      <c r="A48" t="inlineStr">
        <is>
          <t>DY-SOC-0265_ANALYSIS_BASELINE_formal-attempt-0001_AI</t>
        </is>
      </c>
      <c r="B48" t="inlineStr">
        <is>
          <t>真露的这个梅花秀我喝过很好喝适合女生</t>
        </is>
      </c>
      <c r="C48"/>
      <c r="D48"/>
      <c r="E48"/>
      <c r="F48"/>
      <c r="G48"/>
      <c r="H48"/>
      <c r="I48"/>
      <c r="J48"/>
      <c r="K48"/>
      <c r="L48"/>
      <c r="M48"/>
      <c r="N48"/>
      <c r="O48"/>
      <c r="P48"/>
      <c r="Q48"/>
      <c r="R48"/>
      <c r="S48">
        <v>0.9</v>
      </c>
      <c r="T48" t="inlineStr">
        <is>
          <t>formal-attempt-0001</t>
        </is>
      </c>
      <c r="U48"/>
      <c r="V48"/>
      <c r="W48"/>
      <c r="X48" t="inlineStr">
        <is>
          <t>DY-SOC-0265</t>
        </is>
      </c>
      <c r="Y48"/>
      <c r="Z48"/>
      <c r="AA48"/>
      <c r="AB48"/>
      <c r="AC48"/>
      <c r="AD48"/>
      <c r="AE48"/>
      <c r="AF48" t="inlineStr">
        <is>
          <t>AI</t>
        </is>
      </c>
      <c r="AG48" t="inlineStr">
        <is>
          <t>ANALYSIS_BASELINE</t>
        </is>
      </c>
      <c r="AH48" t="inlineStr">
        <is>
          <t>PRODUCT</t>
        </is>
      </c>
      <c r="AI48" t="inlineStr">
        <is>
          <t>ACTUAL_USE</t>
        </is>
      </c>
      <c r="AJ48" t="inlineStr">
        <is>
          <t>B</t>
        </is>
      </c>
      <c r="AK48" t="inlineStr">
        <is>
          <t>核心对象：产品口味与适饮评价；体验：明确表示喝过并评价好喝，判为 ACTUAL_USE；证据强度：评价对象和明确判断存在，但缺少具体情境或依据，判为 B。</t>
        </is>
      </c>
      <c r="AL48"/>
      <c r="AM48" t="inlineStr">
        <is>
          <t>ANALYSIS_BASELINE_229.xlsx</t>
        </is>
      </c>
    </row>
    <row r="49" ht="25.5" customHeight="1">
      <c r="A49" t="inlineStr">
        <is>
          <t>DY-SOC-0274_ANALYSIS_BASELINE_formal-attempt-0001_AI</t>
        </is>
      </c>
      <c r="B49" t="inlineStr">
        <is>
          <t>因为那些饮料里边儿都有大量的二氧化碳这些碳酸饮料可以加速酒精进入血液</t>
        </is>
      </c>
      <c r="C49"/>
      <c r="D49"/>
      <c r="E49"/>
      <c r="F49"/>
      <c r="G49"/>
      <c r="H49"/>
      <c r="I49"/>
      <c r="J49"/>
      <c r="K49"/>
      <c r="L49"/>
      <c r="M49"/>
      <c r="N49"/>
      <c r="O49"/>
      <c r="P49"/>
      <c r="Q49"/>
      <c r="R49"/>
      <c r="S49">
        <v>0.9</v>
      </c>
      <c r="T49" t="inlineStr">
        <is>
          <t>formal-attempt-0001</t>
        </is>
      </c>
      <c r="U49"/>
      <c r="V49"/>
      <c r="W49"/>
      <c r="X49" t="inlineStr">
        <is>
          <t>DY-SOC-0274</t>
        </is>
      </c>
      <c r="Y49"/>
      <c r="Z49"/>
      <c r="AA49"/>
      <c r="AB49"/>
      <c r="AC49"/>
      <c r="AD49"/>
      <c r="AE49"/>
      <c r="AF49" t="inlineStr">
        <is>
          <t>AI</t>
        </is>
      </c>
      <c r="AG49" t="inlineStr">
        <is>
          <t>ANALYSIS_BASELINE</t>
        </is>
      </c>
      <c r="AH49" t="inlineStr">
        <is>
          <t>OTHER</t>
        </is>
      </c>
      <c r="AI49" t="inlineStr">
        <is>
          <t>UNKNOWN</t>
        </is>
      </c>
      <c r="AJ49" t="inlineStr">
        <is>
          <t>C</t>
        </is>
      </c>
      <c r="AK49" t="inlineStr">
        <is>
          <t>核心对象：通用酒精科普；体验：原文没有个人体验立场，判为 UNKNOWN；证据强度：仅有泛化因果表述，缺少可复核依据，判为 C。</t>
        </is>
      </c>
      <c r="AL49"/>
      <c r="AM49" t="inlineStr">
        <is>
          <t>ANALYSIS_BASELINE_229.xlsx</t>
        </is>
      </c>
    </row>
    <row r="50" ht="25.5" customHeight="1">
      <c r="A50" t="inlineStr">
        <is>
          <t>JD-20260809-051_ANALYSIS_BASELINE_formal-attempt-0001_AI</t>
        </is>
      </c>
      <c r="B50" t="inlineStr">
        <is>
          <t>梅见这款原味青梅酒真是太适合女生小聚了！12度微醺刚刚好，不会醉却很有氛围。开瓶就是清新的青梅香气，入口酸甜柔顺，不涩不辣，加冰喝简直绝配。330ml小瓶装一人一瓶刚刚好，整箱囤货聚会随时开。冰镇后配火锅或烧烤特别解腻，比普通饮料更有仪式感。已经回购好几次了，闺蜜们都夸好喝。想找一款不踩雷的微醺甜酒，选梅见准没错！</t>
        </is>
      </c>
      <c r="C50"/>
      <c r="D50"/>
      <c r="E50"/>
      <c r="F50"/>
      <c r="G50"/>
      <c r="H50"/>
      <c r="I50"/>
      <c r="J50"/>
      <c r="K50"/>
      <c r="L50"/>
      <c r="M50"/>
      <c r="N50"/>
      <c r="O50"/>
      <c r="P50"/>
      <c r="Q50"/>
      <c r="R50"/>
      <c r="S50">
        <v>0.9</v>
      </c>
      <c r="T50" t="inlineStr">
        <is>
          <t>formal-attempt-0001</t>
        </is>
      </c>
      <c r="U50"/>
      <c r="V50"/>
      <c r="W50"/>
      <c r="X50" t="inlineStr">
        <is>
          <t>JD-20260809-051</t>
        </is>
      </c>
      <c r="Y50"/>
      <c r="Z50"/>
      <c r="AA50"/>
      <c r="AB50"/>
      <c r="AC50"/>
      <c r="AD50"/>
      <c r="AE50"/>
      <c r="AF50" t="inlineStr">
        <is>
          <t>AI</t>
        </is>
      </c>
      <c r="AG50" t="inlineStr">
        <is>
          <t>ANALYSIS_BASELINE</t>
        </is>
      </c>
      <c r="AH50" t="inlineStr">
        <is>
          <t>PRODUCT</t>
        </is>
      </c>
      <c r="AI50" t="inlineStr">
        <is>
          <t>ACTUAL_USE</t>
        </is>
      </c>
      <c r="AJ50" t="inlineStr">
        <is>
          <t>A</t>
        </is>
      </c>
      <c r="AK50" t="inlineStr">
        <is>
          <t>核心对象：产品口味、规格与饮用体验；体验：原文明示多项饮用感受且已回购，判为 ACTUAL_USE；证据强度：评价对象、饮用情境、具体依据和明确判断齐全，判为 A。</t>
        </is>
      </c>
      <c r="AL50"/>
      <c r="AM50" t="inlineStr">
        <is>
          <t>ANALYSIS_BASELINE_229.xlsx</t>
        </is>
      </c>
    </row>
    <row r="51" ht="25.5" customHeight="1">
      <c r="A51" t="inlineStr">
        <is>
          <t>JD-20260809-052_ANALYSIS_BASELINE_formal-attempt-0001_AI</t>
        </is>
      </c>
      <c r="B51" t="inlineStr">
        <is>
          <t>很好喝的一款梅子酒，味道不错，酸甜平衡，酒精度数也不高，香味醇厚很浓郁，甜度也合适，整体性价比很高，喝完很舒服 不难受，不错</t>
        </is>
      </c>
      <c r="C51"/>
      <c r="D51"/>
      <c r="E51"/>
      <c r="F51"/>
      <c r="G51"/>
      <c r="H51"/>
      <c r="I51"/>
      <c r="J51"/>
      <c r="K51"/>
      <c r="L51"/>
      <c r="M51"/>
      <c r="N51"/>
      <c r="O51"/>
      <c r="P51"/>
      <c r="Q51"/>
      <c r="R51"/>
      <c r="S51">
        <v>0.9</v>
      </c>
      <c r="T51" t="inlineStr">
        <is>
          <t>formal-attempt-0001</t>
        </is>
      </c>
      <c r="U51"/>
      <c r="V51"/>
      <c r="W51"/>
      <c r="X51" t="inlineStr">
        <is>
          <t>JD-20260809-052</t>
        </is>
      </c>
      <c r="Y51"/>
      <c r="Z51"/>
      <c r="AA51"/>
      <c r="AB51"/>
      <c r="AC51"/>
      <c r="AD51"/>
      <c r="AE51"/>
      <c r="AF51" t="inlineStr">
        <is>
          <t>AI</t>
        </is>
      </c>
      <c r="AG51" t="inlineStr">
        <is>
          <t>ANALYSIS_BASELINE</t>
        </is>
      </c>
      <c r="AH51" t="inlineStr">
        <is>
          <t>PRODUCT</t>
        </is>
      </c>
      <c r="AI51" t="inlineStr">
        <is>
          <t>ACTUAL_USE</t>
        </is>
      </c>
      <c r="AJ51" t="inlineStr">
        <is>
          <t>A</t>
        </is>
      </c>
      <c r="AK51" t="inlineStr">
        <is>
          <t>核心对象：产品口味与饮后体验；体验：原文明示喝完后的感受，判为 ACTUAL_USE；证据强度：评价对象、具体口感依据和明确判断齐全，判为 A。</t>
        </is>
      </c>
      <c r="AL51"/>
      <c r="AM51" t="inlineStr">
        <is>
          <t>ANALYSIS_BASELINE_229.xlsx</t>
        </is>
      </c>
    </row>
    <row r="52" ht="25.5" customHeight="1">
      <c r="A52" t="inlineStr">
        <is>
          <t>JD-20260809-061_ANALYSIS_BASELINE_formal-attempt-0001_AI</t>
        </is>
      </c>
      <c r="B52" t="inlineStr">
        <is>
          <t>第一次买这个酒，是在小红书种草的，还不错，冰一下很好喝，度数不高，很好入口。偶尔换换口味不错。京东配送真好。直接放到家门口。</t>
        </is>
      </c>
      <c r="C52"/>
      <c r="D52"/>
      <c r="E52"/>
      <c r="F52"/>
      <c r="G52"/>
      <c r="H52"/>
      <c r="I52"/>
      <c r="J52"/>
      <c r="K52"/>
      <c r="L52"/>
      <c r="M52"/>
      <c r="N52"/>
      <c r="O52"/>
      <c r="P52"/>
      <c r="Q52"/>
      <c r="R52"/>
      <c r="S52">
        <v>0.9</v>
      </c>
      <c r="T52" t="inlineStr">
        <is>
          <t>formal-attempt-0001</t>
        </is>
      </c>
      <c r="U52"/>
      <c r="V52"/>
      <c r="W52"/>
      <c r="X52" t="inlineStr">
        <is>
          <t>JD-20260809-061</t>
        </is>
      </c>
      <c r="Y52"/>
      <c r="Z52"/>
      <c r="AA52"/>
      <c r="AB52"/>
      <c r="AC52"/>
      <c r="AD52"/>
      <c r="AE52"/>
      <c r="AF52" t="inlineStr">
        <is>
          <t>AI</t>
        </is>
      </c>
      <c r="AG52" t="inlineStr">
        <is>
          <t>ANALYSIS_BASELINE</t>
        </is>
      </c>
      <c r="AH52" t="inlineStr">
        <is>
          <t>PRODUCT</t>
        </is>
      </c>
      <c r="AI52" t="inlineStr">
        <is>
          <t>ACTUAL_USE</t>
        </is>
      </c>
      <c r="AJ52" t="inlineStr">
        <is>
          <t>A</t>
        </is>
      </c>
      <c r="AK52" t="inlineStr">
        <is>
          <t>核心对象：产品口味与入口体验；体验：原文直接评价冰镇后好喝且好入口，判为 ACTUAL_USE；证据强度：评价对象、具体口感依据和明确判断齐全，判为 A。</t>
        </is>
      </c>
      <c r="AL52"/>
      <c r="AM52" t="inlineStr">
        <is>
          <t>ANALYSIS_BASELINE_229.xlsx</t>
        </is>
      </c>
    </row>
    <row r="53" ht="25.5" customHeight="1">
      <c r="A53" t="inlineStr">
        <is>
          <t>TB-20260809-041_ANALYSIS_BASELINE_formal-attempt-0001_AI</t>
        </is>
      </c>
      <c r="B53" t="inlineStr">
        <is>
          <t>果酒喝起来酸爽不刺口，挺适合我口味的。</t>
        </is>
      </c>
      <c r="C53"/>
      <c r="D53"/>
      <c r="E53"/>
      <c r="F53"/>
      <c r="G53"/>
      <c r="H53"/>
      <c r="I53"/>
      <c r="J53"/>
      <c r="K53"/>
      <c r="L53"/>
      <c r="M53"/>
      <c r="N53"/>
      <c r="O53"/>
      <c r="P53"/>
      <c r="Q53"/>
      <c r="R53"/>
      <c r="S53">
        <v>0.9</v>
      </c>
      <c r="T53" t="inlineStr">
        <is>
          <t>formal-attempt-0001</t>
        </is>
      </c>
      <c r="U53"/>
      <c r="V53"/>
      <c r="W53"/>
      <c r="X53" t="inlineStr">
        <is>
          <t>TB-20260809-041</t>
        </is>
      </c>
      <c r="Y53"/>
      <c r="Z53"/>
      <c r="AA53"/>
      <c r="AB53"/>
      <c r="AC53"/>
      <c r="AD53"/>
      <c r="AE53"/>
      <c r="AF53" t="inlineStr">
        <is>
          <t>AI</t>
        </is>
      </c>
      <c r="AG53" t="inlineStr">
        <is>
          <t>ANALYSIS_BASELINE</t>
        </is>
      </c>
      <c r="AH53" t="inlineStr">
        <is>
          <t>PRODUCT</t>
        </is>
      </c>
      <c r="AI53" t="inlineStr">
        <is>
          <t>ACTUAL_USE</t>
        </is>
      </c>
      <c r="AJ53" t="inlineStr">
        <is>
          <t>A</t>
        </is>
      </c>
      <c r="AK53" t="inlineStr">
        <is>
          <t>核心对象：产品口味；体验：原文直接描述喝起来的口感并评价适合自己口味，判为 ACTUAL_USE；证据强度：评价对象、具体口感依据和明确判断齐全，判为 A。</t>
        </is>
      </c>
      <c r="AL53"/>
      <c r="AM53" t="inlineStr">
        <is>
          <t>ANALYSIS_BASELINE_229.xlsx</t>
        </is>
      </c>
    </row>
    <row r="54" ht="25.5" customHeight="1">
      <c r="A54" t="inlineStr">
        <is>
          <t>TB-20260809-043_ANALYSIS_BASELINE_formal-attempt-0001_AI</t>
        </is>
      </c>
      <c r="B54" t="inlineStr">
        <is>
          <t>微酸偏甜，很清口，生产日期新鲜</t>
        </is>
      </c>
      <c r="C54"/>
      <c r="D54"/>
      <c r="E54"/>
      <c r="F54"/>
      <c r="G54"/>
      <c r="H54"/>
      <c r="I54"/>
      <c r="J54"/>
      <c r="K54"/>
      <c r="L54"/>
      <c r="M54"/>
      <c r="N54"/>
      <c r="O54"/>
      <c r="P54"/>
      <c r="Q54"/>
      <c r="R54"/>
      <c r="S54">
        <v>0.9</v>
      </c>
      <c r="T54" t="inlineStr">
        <is>
          <t>formal-attempt-0001</t>
        </is>
      </c>
      <c r="U54"/>
      <c r="V54"/>
      <c r="W54"/>
      <c r="X54" t="inlineStr">
        <is>
          <t>TB-20260809-043</t>
        </is>
      </c>
      <c r="Y54"/>
      <c r="Z54"/>
      <c r="AA54"/>
      <c r="AB54"/>
      <c r="AC54"/>
      <c r="AD54"/>
      <c r="AE54"/>
      <c r="AF54" t="inlineStr">
        <is>
          <t>AI</t>
        </is>
      </c>
      <c r="AG54" t="inlineStr">
        <is>
          <t>ANALYSIS_BASELINE</t>
        </is>
      </c>
      <c r="AH54" t="inlineStr">
        <is>
          <t>PRODUCT</t>
        </is>
      </c>
      <c r="AI54" t="inlineStr">
        <is>
          <t>ACTUAL_USE</t>
        </is>
      </c>
      <c r="AJ54" t="inlineStr">
        <is>
          <t>B</t>
        </is>
      </c>
      <c r="AK54" t="inlineStr">
        <is>
          <t>核心对象：产品口味与新鲜度；体验：原文直接评价口感和生产日期，判为 ACTUAL_USE；证据强度：判断较明确，但评价对象和具体依据不完整，判为 B。</t>
        </is>
      </c>
      <c r="AL54"/>
      <c r="AM54" t="inlineStr">
        <is>
          <t>ANALYSIS_BASELINE_229.xlsx</t>
        </is>
      </c>
    </row>
    <row r="55" ht="25.5" customHeight="1">
      <c r="A55" t="inlineStr">
        <is>
          <t>TB-20260809-044_ANALYSIS_BASELINE_formal-attempt-0001_AI</t>
        </is>
      </c>
      <c r="B55" t="inlineStr">
        <is>
          <t>小资产阶级，跟闺蜜吃饭时一人一瓶正好，酒量不好就是喝着开心，一瓶下肚微醺</t>
        </is>
      </c>
      <c r="C55"/>
      <c r="D55"/>
      <c r="E55"/>
      <c r="F55"/>
      <c r="G55"/>
      <c r="H55"/>
      <c r="I55"/>
      <c r="J55"/>
      <c r="K55"/>
      <c r="L55"/>
      <c r="M55"/>
      <c r="N55"/>
      <c r="O55"/>
      <c r="P55"/>
      <c r="Q55"/>
      <c r="R55"/>
      <c r="S55">
        <v>0.9</v>
      </c>
      <c r="T55" t="inlineStr">
        <is>
          <t>formal-attempt-0001</t>
        </is>
      </c>
      <c r="U55"/>
      <c r="V55"/>
      <c r="W55"/>
      <c r="X55" t="inlineStr">
        <is>
          <t>TB-20260809-044</t>
        </is>
      </c>
      <c r="Y55"/>
      <c r="Z55"/>
      <c r="AA55"/>
      <c r="AB55"/>
      <c r="AC55"/>
      <c r="AD55"/>
      <c r="AE55"/>
      <c r="AF55" t="inlineStr">
        <is>
          <t>AI</t>
        </is>
      </c>
      <c r="AG55" t="inlineStr">
        <is>
          <t>ANALYSIS_BASELINE</t>
        </is>
      </c>
      <c r="AH55" t="inlineStr">
        <is>
          <t>SCENE</t>
        </is>
      </c>
      <c r="AI55" t="inlineStr">
        <is>
          <t>ACTUAL_USE</t>
        </is>
      </c>
      <c r="AJ55" t="inlineStr">
        <is>
          <t>A</t>
        </is>
      </c>
      <c r="AK55" t="inlineStr">
        <is>
          <t>核心对象：饮用场景与饮后状态；体验：原文明示与闺蜜吃饭、一人一瓶及一瓶下肚微醺，判为 ACTUAL_USE；证据强度：饮用情境、行为和明确状态齐全，判为 A。</t>
        </is>
      </c>
      <c r="AL55"/>
      <c r="AM55" t="inlineStr">
        <is>
          <t>ANALYSIS_BASELINE_229.xlsx</t>
        </is>
      </c>
    </row>
    <row r="56" ht="25.5" customHeight="1">
      <c r="A56" t="inlineStr">
        <is>
          <t>TB-20260809-048_ANALYSIS_BASELINE_formal-attempt-0001_AI</t>
        </is>
      </c>
      <c r="B56" t="inlineStr">
        <is>
          <t>✨这款青梅酒真的超赞！🌟酸甜度刚刚好，入口顺滑不呛喉，低度微醺太适合女生啦～😋包装精致小巧，随身携带也方便，冰镇后口感更绝！💯喝完还想回购的神仙饮品～</t>
        </is>
      </c>
      <c r="C56"/>
      <c r="D56"/>
      <c r="E56"/>
      <c r="F56"/>
      <c r="G56"/>
      <c r="H56"/>
      <c r="I56"/>
      <c r="J56"/>
      <c r="K56"/>
      <c r="L56"/>
      <c r="M56"/>
      <c r="N56"/>
      <c r="O56"/>
      <c r="P56"/>
      <c r="Q56"/>
      <c r="R56"/>
      <c r="S56">
        <v>0.9</v>
      </c>
      <c r="T56" t="inlineStr">
        <is>
          <t>formal-attempt-0001</t>
        </is>
      </c>
      <c r="U56"/>
      <c r="V56"/>
      <c r="W56"/>
      <c r="X56" t="inlineStr">
        <is>
          <t>TB-20260809-048</t>
        </is>
      </c>
      <c r="Y56"/>
      <c r="Z56"/>
      <c r="AA56"/>
      <c r="AB56"/>
      <c r="AC56"/>
      <c r="AD56"/>
      <c r="AE56"/>
      <c r="AF56" t="inlineStr">
        <is>
          <t>AI</t>
        </is>
      </c>
      <c r="AG56" t="inlineStr">
        <is>
          <t>ANALYSIS_BASELINE</t>
        </is>
      </c>
      <c r="AH56" t="inlineStr">
        <is>
          <t>PRODUCT</t>
        </is>
      </c>
      <c r="AI56" t="inlineStr">
        <is>
          <t>ACTUAL_USE</t>
        </is>
      </c>
      <c r="AJ56" t="inlineStr">
        <is>
          <t>A</t>
        </is>
      </c>
      <c r="AK56" t="inlineStr">
        <is>
          <t>核心对象：产品口味、包装与饮用体验；体验：原文明示入口、冰镇后口感及喝完后的感受，判为 ACTUAL_USE；证据强度：评价对象、具体依据和明确判断齐全，判为 A。</t>
        </is>
      </c>
      <c r="AL56"/>
      <c r="AM56" t="inlineStr">
        <is>
          <t>ANALYSIS_BASELINE_229.xlsx</t>
        </is>
      </c>
    </row>
    <row r="57" ht="25.5" customHeight="1">
      <c r="A57" t="inlineStr">
        <is>
          <t>TB-20260809-049_ANALYSIS_BASELINE_formal-attempt-0001_AI</t>
        </is>
      </c>
      <c r="B57" t="inlineStr">
        <is>
          <t>烟熏乌梅风味儿青梅酒非常好喝，喝青梅酒就选梅见，好喝不贵，5分好评！</t>
        </is>
      </c>
      <c r="C57"/>
      <c r="D57"/>
      <c r="E57"/>
      <c r="F57"/>
      <c r="G57"/>
      <c r="H57"/>
      <c r="I57"/>
      <c r="J57"/>
      <c r="K57"/>
      <c r="L57"/>
      <c r="M57"/>
      <c r="N57"/>
      <c r="O57"/>
      <c r="P57"/>
      <c r="Q57"/>
      <c r="R57"/>
      <c r="S57">
        <v>0.9</v>
      </c>
      <c r="T57" t="inlineStr">
        <is>
          <t>formal-attempt-0001</t>
        </is>
      </c>
      <c r="U57"/>
      <c r="V57"/>
      <c r="W57"/>
      <c r="X57" t="inlineStr">
        <is>
          <t>TB-20260809-049</t>
        </is>
      </c>
      <c r="Y57"/>
      <c r="Z57"/>
      <c r="AA57"/>
      <c r="AB57"/>
      <c r="AC57"/>
      <c r="AD57"/>
      <c r="AE57"/>
      <c r="AF57" t="inlineStr">
        <is>
          <t>AI</t>
        </is>
      </c>
      <c r="AG57" t="inlineStr">
        <is>
          <t>ANALYSIS_BASELINE</t>
        </is>
      </c>
      <c r="AH57" t="inlineStr">
        <is>
          <t>PRODUCT</t>
        </is>
      </c>
      <c r="AI57" t="inlineStr">
        <is>
          <t>ACTUAL_USE</t>
        </is>
      </c>
      <c r="AJ57" t="inlineStr">
        <is>
          <t>B</t>
        </is>
      </c>
      <c r="AK57" t="inlineStr">
        <is>
          <t>核心对象：产品口味与价格体验；体验：原文直接评价青梅酒好喝，判为 ACTUAL_USE；证据强度：评价对象和判断明确，但具体情境或可复核依据不足，判为 B。</t>
        </is>
      </c>
      <c r="AL57"/>
      <c r="AM57" t="inlineStr">
        <is>
          <t>ANALYSIS_BASELINE_229.xlsx</t>
        </is>
      </c>
    </row>
    <row r="58" ht="25.5" customHeight="1">
      <c r="A58" t="inlineStr">
        <is>
          <t>MJ-RAW-0062_ANALYSIS_BASELINE_formal-attempt-0001_AI</t>
        </is>
      </c>
      <c r="B58" t="inlineStr">
        <is>
          <t>是好久梅见了</t>
        </is>
      </c>
      <c r="C58"/>
      <c r="D58"/>
      <c r="E58"/>
      <c r="F58"/>
      <c r="G58"/>
      <c r="H58"/>
      <c r="I58"/>
      <c r="J58"/>
      <c r="K58"/>
      <c r="L58"/>
      <c r="M58"/>
      <c r="N58"/>
      <c r="O58"/>
      <c r="P58"/>
      <c r="Q58"/>
      <c r="R58"/>
      <c r="S58">
        <v>0.5</v>
      </c>
      <c r="T58" t="inlineStr">
        <is>
          <t>formal-attempt-0001</t>
        </is>
      </c>
      <c r="U58"/>
      <c r="V58"/>
      <c r="W58"/>
      <c r="X58" t="inlineStr">
        <is>
          <t>MJ-RAW-0062</t>
        </is>
      </c>
      <c r="Y58"/>
      <c r="Z58"/>
      <c r="AA58"/>
      <c r="AB58"/>
      <c r="AC58"/>
      <c r="AD58"/>
      <c r="AE58"/>
      <c r="AF58" t="inlineStr">
        <is>
          <t>AI</t>
        </is>
      </c>
      <c r="AG58" t="inlineStr">
        <is>
          <t>ANALYSIS_BASELINE</t>
        </is>
      </c>
      <c r="AH58" t="inlineStr">
        <is>
          <t>OTHER</t>
        </is>
      </c>
      <c r="AI58" t="inlineStr">
        <is>
          <t>UNKNOWN</t>
        </is>
      </c>
      <c r="AJ58" t="inlineStr">
        <is>
          <t>C</t>
        </is>
      </c>
      <c r="AK58" t="inlineStr">
        <is>
          <t>核心对象：无法确定具体评价对象；体验：原文没有产品或饮用体验，判为 UNKNOWN；证据强度：仅有简短文字表达，缺少明确判断与依据，判为 C。</t>
        </is>
      </c>
      <c r="AL58"/>
      <c r="AM58" t="inlineStr">
        <is>
          <t>ANALYSIS_BASELINE_229.xlsx</t>
        </is>
      </c>
    </row>
    <row r="59" ht="25.5" customHeight="1">
      <c r="A59" t="inlineStr">
        <is>
          <t>DY-SOC-0068_ANALYSIS_BASELINE_formal-attempt-0001_AI</t>
        </is>
      </c>
      <c r="B59" t="inlineStr">
        <is>
          <t>请问有没有推荐的高端威士忌酒杯</t>
        </is>
      </c>
      <c r="C59"/>
      <c r="D59"/>
      <c r="E59"/>
      <c r="F59"/>
      <c r="G59"/>
      <c r="H59"/>
      <c r="I59"/>
      <c r="J59"/>
      <c r="K59"/>
      <c r="L59"/>
      <c r="M59"/>
      <c r="N59"/>
      <c r="O59"/>
      <c r="P59"/>
      <c r="Q59"/>
      <c r="R59"/>
      <c r="S59">
        <v>0.9</v>
      </c>
      <c r="T59" t="inlineStr">
        <is>
          <t>formal-attempt-0001</t>
        </is>
      </c>
      <c r="U59"/>
      <c r="V59"/>
      <c r="W59"/>
      <c r="X59" t="inlineStr">
        <is>
          <t>DY-SOC-0068</t>
        </is>
      </c>
      <c r="Y59"/>
      <c r="Z59"/>
      <c r="AA59"/>
      <c r="AB59"/>
      <c r="AC59"/>
      <c r="AD59"/>
      <c r="AE59"/>
      <c r="AF59" t="inlineStr">
        <is>
          <t>AI</t>
        </is>
      </c>
      <c r="AG59" t="inlineStr">
        <is>
          <t>ANALYSIS_BASELINE</t>
        </is>
      </c>
      <c r="AH59" t="inlineStr">
        <is>
          <t>OTHER</t>
        </is>
      </c>
      <c r="AI59" t="inlineStr">
        <is>
          <t>UNKNOWN</t>
        </is>
      </c>
      <c r="AJ59" t="inlineStr">
        <is>
          <t>C</t>
        </is>
      </c>
      <c r="AK59" t="inlineStr">
        <is>
          <t>核心对象：酒杯推荐；体验：原文仅询问推荐，没有体验立场，判为 UNKNOWN；证据强度：只有推荐请求，缺少评价判断和依据，判为 C。</t>
        </is>
      </c>
      <c r="AL59"/>
      <c r="AM59" t="inlineStr">
        <is>
          <t>ANALYSIS_BASELINE_229.xlsx</t>
        </is>
      </c>
    </row>
    <row r="60" ht="25.5" customHeight="1">
      <c r="A60" t="inlineStr">
        <is>
          <t>DY-SOC-0069_ANALYSIS_BASELINE_formal-attempt-0001_AI</t>
        </is>
      </c>
      <c r="B60" t="inlineStr">
        <is>
          <t>问问这个酒有气泡吗</t>
        </is>
      </c>
      <c r="C60"/>
      <c r="D60"/>
      <c r="E60"/>
      <c r="F60"/>
      <c r="G60"/>
      <c r="H60"/>
      <c r="I60"/>
      <c r="J60"/>
      <c r="K60"/>
      <c r="L60"/>
      <c r="M60"/>
      <c r="N60"/>
      <c r="O60"/>
      <c r="P60"/>
      <c r="Q60"/>
      <c r="R60"/>
      <c r="S60">
        <v>0.9</v>
      </c>
      <c r="T60" t="inlineStr">
        <is>
          <t>formal-attempt-0001</t>
        </is>
      </c>
      <c r="U60"/>
      <c r="V60"/>
      <c r="W60"/>
      <c r="X60" t="inlineStr">
        <is>
          <t>DY-SOC-0069</t>
        </is>
      </c>
      <c r="Y60"/>
      <c r="Z60"/>
      <c r="AA60"/>
      <c r="AB60"/>
      <c r="AC60"/>
      <c r="AD60"/>
      <c r="AE60"/>
      <c r="AF60" t="inlineStr">
        <is>
          <t>AI</t>
        </is>
      </c>
      <c r="AG60" t="inlineStr">
        <is>
          <t>ANALYSIS_BASELINE</t>
        </is>
      </c>
      <c r="AH60" t="inlineStr">
        <is>
          <t>PRODUCT</t>
        </is>
      </c>
      <c r="AI60" t="inlineStr">
        <is>
          <t>UNKNOWN</t>
        </is>
      </c>
      <c r="AJ60" t="inlineStr">
        <is>
          <t>C</t>
        </is>
      </c>
      <c r="AK60" t="inlineStr">
        <is>
          <t>核心对象：产品气泡属性；体验：原文仅提出询问，没有体验立场，判为 UNKNOWN；证据强度：仅有产品属性询问，没有判断依据，判为 C。</t>
        </is>
      </c>
      <c r="AL60"/>
      <c r="AM60" t="inlineStr">
        <is>
          <t>ANALYSIS_BASELINE_229.xlsx</t>
        </is>
      </c>
    </row>
    <row r="61" ht="25.5" customHeight="1">
      <c r="A61" t="inlineStr">
        <is>
          <t>DY-SOC-0144_ANALYSIS_BASELINE_formal-attempt-0001_AI</t>
        </is>
      </c>
      <c r="B61" t="inlineStr">
        <is>
          <t>原来梅酒有三种工艺浸泡型原果原酿最悠久净又纯粹</t>
        </is>
      </c>
      <c r="C61"/>
      <c r="D61"/>
      <c r="E61"/>
      <c r="F61"/>
      <c r="G61"/>
      <c r="H61"/>
      <c r="I61"/>
      <c r="J61"/>
      <c r="K61"/>
      <c r="L61"/>
      <c r="M61"/>
      <c r="N61"/>
      <c r="O61"/>
      <c r="P61"/>
      <c r="Q61"/>
      <c r="R61"/>
      <c r="S61">
        <v>0.9</v>
      </c>
      <c r="T61" t="inlineStr">
        <is>
          <t>formal-attempt-0001</t>
        </is>
      </c>
      <c r="U61"/>
      <c r="V61"/>
      <c r="W61"/>
      <c r="X61" t="inlineStr">
        <is>
          <t>DY-SOC-0144</t>
        </is>
      </c>
      <c r="Y61"/>
      <c r="Z61"/>
      <c r="AA61"/>
      <c r="AB61"/>
      <c r="AC61"/>
      <c r="AD61"/>
      <c r="AE61"/>
      <c r="AF61" t="inlineStr">
        <is>
          <t>AI</t>
        </is>
      </c>
      <c r="AG61" t="inlineStr">
        <is>
          <t>ANALYSIS_BASELINE</t>
        </is>
      </c>
      <c r="AH61" t="inlineStr">
        <is>
          <t>PRODUCT</t>
        </is>
      </c>
      <c r="AI61" t="inlineStr">
        <is>
          <t>UNKNOWN</t>
        </is>
      </c>
      <c r="AJ61" t="inlineStr">
        <is>
          <t>B</t>
        </is>
      </c>
      <c r="AK61" t="inlineStr">
        <is>
          <t>核心对象：梅酒工艺与产品描述；体验：原文为泛化描述，没有个人体验立场，判为 UNKNOWN；证据强度：有工艺分类和概括性判断，但缺少具体产品情境或可复核依据，判为 B。</t>
        </is>
      </c>
      <c r="AL61"/>
      <c r="AM61" t="inlineStr">
        <is>
          <t>ANALYSIS_BASELINE_229.xlsx</t>
        </is>
      </c>
    </row>
    <row r="62" ht="25.5" customHeight="1">
      <c r="A62" t="inlineStr">
        <is>
          <t>XHS-SOC-0176_ANALYSIS_BASELINE_formal-attempt-0001_AI</t>
        </is>
      </c>
      <c r="B62" t="inlineStr">
        <is>
          <t>为啥我们觉得好好喝</t>
        </is>
      </c>
      <c r="C62"/>
      <c r="D62"/>
      <c r="E62"/>
      <c r="F62"/>
      <c r="G62"/>
      <c r="H62"/>
      <c r="I62"/>
      <c r="J62"/>
      <c r="K62"/>
      <c r="L62"/>
      <c r="M62"/>
      <c r="N62"/>
      <c r="O62"/>
      <c r="P62"/>
      <c r="Q62"/>
      <c r="R62"/>
      <c r="S62">
        <v>0.9</v>
      </c>
      <c r="T62" t="inlineStr">
        <is>
          <t>formal-attempt-0001</t>
        </is>
      </c>
      <c r="U62"/>
      <c r="V62"/>
      <c r="W62"/>
      <c r="X62" t="inlineStr">
        <is>
          <t>XHS-SOC-0176</t>
        </is>
      </c>
      <c r="Y62"/>
      <c r="Z62"/>
      <c r="AA62"/>
      <c r="AB62"/>
      <c r="AC62"/>
      <c r="AD62"/>
      <c r="AE62"/>
      <c r="AF62" t="inlineStr">
        <is>
          <t>AI</t>
        </is>
      </c>
      <c r="AG62" t="inlineStr">
        <is>
          <t>ANALYSIS_BASELINE</t>
        </is>
      </c>
      <c r="AH62" t="inlineStr">
        <is>
          <t>PRODUCT</t>
        </is>
      </c>
      <c r="AI62" t="inlineStr">
        <is>
          <t>ACTUAL_USE</t>
        </is>
      </c>
      <c r="AJ62" t="inlineStr">
        <is>
          <t>C</t>
        </is>
      </c>
      <c r="AK62" t="inlineStr">
        <is>
          <t>核心对象：产品口感；体验：ACTUAL_USE；证据强度：C。</t>
        </is>
      </c>
      <c r="AL62"/>
      <c r="AM62" t="inlineStr">
        <is>
          <t>ANALYSIS_BASELINE_229.xlsx</t>
        </is>
      </c>
    </row>
    <row r="63" ht="25.5" customHeight="1">
      <c r="A63" t="inlineStr">
        <is>
          <t>XHS-SOC-0196_ANALYSIS_BASELINE_formal-attempt-0001_AI</t>
        </is>
      </c>
      <c r="B63" t="inlineStr">
        <is>
          <t>这酒喝完口渴特别特别口渴</t>
        </is>
      </c>
      <c r="C63"/>
      <c r="D63"/>
      <c r="E63"/>
      <c r="F63"/>
      <c r="G63"/>
      <c r="H63"/>
      <c r="I63"/>
      <c r="J63"/>
      <c r="K63"/>
      <c r="L63"/>
      <c r="M63"/>
      <c r="N63"/>
      <c r="O63"/>
      <c r="P63"/>
      <c r="Q63"/>
      <c r="R63"/>
      <c r="S63">
        <v>0.9</v>
      </c>
      <c r="T63" t="inlineStr">
        <is>
          <t>formal-attempt-0001</t>
        </is>
      </c>
      <c r="U63"/>
      <c r="V63"/>
      <c r="W63"/>
      <c r="X63" t="inlineStr">
        <is>
          <t>XHS-SOC-0196</t>
        </is>
      </c>
      <c r="Y63"/>
      <c r="Z63"/>
      <c r="AA63"/>
      <c r="AB63"/>
      <c r="AC63"/>
      <c r="AD63"/>
      <c r="AE63"/>
      <c r="AF63" t="inlineStr">
        <is>
          <t>AI</t>
        </is>
      </c>
      <c r="AG63" t="inlineStr">
        <is>
          <t>ANALYSIS_BASELINE</t>
        </is>
      </c>
      <c r="AH63" t="inlineStr">
        <is>
          <t>SCENE</t>
        </is>
      </c>
      <c r="AI63" t="inlineStr">
        <is>
          <t>ACTUAL_USE</t>
        </is>
      </c>
      <c r="AJ63" t="inlineStr">
        <is>
          <t>A</t>
        </is>
      </c>
      <c r="AK63" t="inlineStr">
        <is>
          <t>核心对象：饮后身体反应；体验：ACTUAL_USE；证据强度：A。</t>
        </is>
      </c>
      <c r="AL63"/>
      <c r="AM63" t="inlineStr">
        <is>
          <t>ANALYSIS_BASELINE_229.xlsx</t>
        </is>
      </c>
    </row>
    <row r="64" ht="25.5" customHeight="1">
      <c r="A64" t="inlineStr">
        <is>
          <t>XHS-SOC-0222_ANALYSIS_BASELINE_formal-attempt-0001_AI</t>
        </is>
      </c>
      <c r="B64" t="inlineStr">
        <is>
          <t>我说怎么喝着喝着晕了 我寻思度数也不高啊</t>
        </is>
      </c>
      <c r="C64"/>
      <c r="D64"/>
      <c r="E64"/>
      <c r="F64"/>
      <c r="G64"/>
      <c r="H64"/>
      <c r="I64"/>
      <c r="J64"/>
      <c r="K64"/>
      <c r="L64"/>
      <c r="M64"/>
      <c r="N64"/>
      <c r="O64"/>
      <c r="P64"/>
      <c r="Q64"/>
      <c r="R64"/>
      <c r="S64">
        <v>0.9</v>
      </c>
      <c r="T64" t="inlineStr">
        <is>
          <t>formal-attempt-0001</t>
        </is>
      </c>
      <c r="U64"/>
      <c r="V64"/>
      <c r="W64"/>
      <c r="X64" t="inlineStr">
        <is>
          <t>XHS-SOC-0222</t>
        </is>
      </c>
      <c r="Y64"/>
      <c r="Z64"/>
      <c r="AA64"/>
      <c r="AB64"/>
      <c r="AC64"/>
      <c r="AD64"/>
      <c r="AE64"/>
      <c r="AF64" t="inlineStr">
        <is>
          <t>AI</t>
        </is>
      </c>
      <c r="AG64" t="inlineStr">
        <is>
          <t>ANALYSIS_BASELINE</t>
        </is>
      </c>
      <c r="AH64" t="inlineStr">
        <is>
          <t>SCENE</t>
        </is>
      </c>
      <c r="AI64" t="inlineStr">
        <is>
          <t>ACTUAL_USE</t>
        </is>
      </c>
      <c r="AJ64" t="inlineStr">
        <is>
          <t>A</t>
        </is>
      </c>
      <c r="AK64" t="inlineStr">
        <is>
          <t>核心对象：饮用中的身体反应；体验：ACTUAL_USE；证据强度：A。</t>
        </is>
      </c>
      <c r="AL64"/>
      <c r="AM64" t="inlineStr">
        <is>
          <t>ANALYSIS_BASELINE_229.xlsx</t>
        </is>
      </c>
    </row>
    <row r="65" ht="25.5" customHeight="1">
      <c r="A65" t="inlineStr">
        <is>
          <t>JD-20260809-064_ANALYSIS_BASELINE_formal-attempt-0001_AI</t>
        </is>
      </c>
      <c r="B65" t="inlineStr">
        <is>
          <t>买来摆柜的，小酒很漂亮，后期有朋友来可以拿来一起品鉴一下，囤了很多不同种类的小酒，摆在一起还挺好看，主要是不占地方，价格也比较合适，活动的时候可以撸不少！</t>
        </is>
      </c>
      <c r="C65"/>
      <c r="D65"/>
      <c r="E65"/>
      <c r="F65"/>
      <c r="G65"/>
      <c r="H65"/>
      <c r="I65"/>
      <c r="J65"/>
      <c r="K65"/>
      <c r="L65"/>
      <c r="M65"/>
      <c r="N65"/>
      <c r="O65"/>
      <c r="P65"/>
      <c r="Q65"/>
      <c r="R65"/>
      <c r="S65">
        <v>0.9</v>
      </c>
      <c r="T65" t="inlineStr">
        <is>
          <t>formal-attempt-0001</t>
        </is>
      </c>
      <c r="U65"/>
      <c r="V65"/>
      <c r="W65"/>
      <c r="X65" t="inlineStr">
        <is>
          <t>JD-20260809-064</t>
        </is>
      </c>
      <c r="Y65"/>
      <c r="Z65"/>
      <c r="AA65"/>
      <c r="AB65"/>
      <c r="AC65"/>
      <c r="AD65"/>
      <c r="AE65"/>
      <c r="AF65" t="inlineStr">
        <is>
          <t>AI</t>
        </is>
      </c>
      <c r="AG65" t="inlineStr">
        <is>
          <t>ANALYSIS_BASELINE</t>
        </is>
      </c>
      <c r="AH65" t="inlineStr">
        <is>
          <t>PRODUCT</t>
        </is>
      </c>
      <c r="AI65" t="inlineStr">
        <is>
          <t>PURCHASE_ONLY</t>
        </is>
      </c>
      <c r="AJ65" t="inlineStr">
        <is>
          <t>A</t>
        </is>
      </c>
      <c r="AK65" t="inlineStr">
        <is>
          <t>核心对象：产品外观与规格；体验：PURCHASE_ONLY；证据强度：A。</t>
        </is>
      </c>
      <c r="AL65"/>
      <c r="AM65" t="inlineStr">
        <is>
          <t>ANALYSIS_BASELINE_229.xlsx</t>
        </is>
      </c>
    </row>
    <row r="66" ht="25.5" customHeight="1">
      <c r="A66" t="inlineStr">
        <is>
          <t>TB-20260809-038_ANALYSIS_BASELINE_formal-attempt-0001_AI</t>
        </is>
      </c>
      <c r="B66" t="inlineStr">
        <is>
          <t>第一次喝梅见，瓶子很漂亮，好喝的话会回购其他口味</t>
        </is>
      </c>
      <c r="C66"/>
      <c r="D66"/>
      <c r="E66"/>
      <c r="F66"/>
      <c r="G66"/>
      <c r="H66"/>
      <c r="I66"/>
      <c r="J66"/>
      <c r="K66"/>
      <c r="L66"/>
      <c r="M66"/>
      <c r="N66"/>
      <c r="O66"/>
      <c r="P66"/>
      <c r="Q66"/>
      <c r="R66"/>
      <c r="S66">
        <v>0.9</v>
      </c>
      <c r="T66" t="inlineStr">
        <is>
          <t>formal-attempt-0001</t>
        </is>
      </c>
      <c r="U66"/>
      <c r="V66"/>
      <c r="W66"/>
      <c r="X66" t="inlineStr">
        <is>
          <t>TB-20260809-038</t>
        </is>
      </c>
      <c r="Y66"/>
      <c r="Z66"/>
      <c r="AA66"/>
      <c r="AB66"/>
      <c r="AC66"/>
      <c r="AD66"/>
      <c r="AE66"/>
      <c r="AF66" t="inlineStr">
        <is>
          <t>AI</t>
        </is>
      </c>
      <c r="AG66" t="inlineStr">
        <is>
          <t>ANALYSIS_BASELINE</t>
        </is>
      </c>
      <c r="AH66" t="inlineStr">
        <is>
          <t>PRODUCT</t>
        </is>
      </c>
      <c r="AI66" t="inlineStr">
        <is>
          <t>ACTUAL_USE</t>
        </is>
      </c>
      <c r="AJ66" t="inlineStr">
        <is>
          <t>A</t>
        </is>
      </c>
      <c r="AK66" t="inlineStr">
        <is>
          <t>核心对象：产品包装与口味；体验：ACTUAL_USE；证据强度：A。</t>
        </is>
      </c>
      <c r="AL66"/>
      <c r="AM66" t="inlineStr">
        <is>
          <t>ANALYSIS_BASELINE_229.xlsx</t>
        </is>
      </c>
    </row>
    <row r="67" ht="25.5" customHeight="1">
      <c r="A67" t="inlineStr">
        <is>
          <t>TB-20260809-046_ANALYSIS_BASELINE_formal-attempt-0001_AI</t>
        </is>
      </c>
      <c r="B67" t="inlineStr">
        <is>
          <t>发货及时，包装完好。酸酸甜甜，口感不错</t>
        </is>
      </c>
      <c r="C67"/>
      <c r="D67"/>
      <c r="E67"/>
      <c r="F67"/>
      <c r="G67"/>
      <c r="H67"/>
      <c r="I67"/>
      <c r="J67"/>
      <c r="K67"/>
      <c r="L67"/>
      <c r="M67"/>
      <c r="N67"/>
      <c r="O67"/>
      <c r="P67"/>
      <c r="Q67"/>
      <c r="R67"/>
      <c r="S67">
        <v>0.7</v>
      </c>
      <c r="T67" t="inlineStr">
        <is>
          <t>formal-attempt-0001</t>
        </is>
      </c>
      <c r="U67"/>
      <c r="V67"/>
      <c r="W67"/>
      <c r="X67" t="inlineStr">
        <is>
          <t>TB-20260809-046</t>
        </is>
      </c>
      <c r="Y67"/>
      <c r="Z67"/>
      <c r="AA67"/>
      <c r="AB67"/>
      <c r="AC67"/>
      <c r="AD67"/>
      <c r="AE67"/>
      <c r="AF67" t="inlineStr">
        <is>
          <t>AI</t>
        </is>
      </c>
      <c r="AG67" t="inlineStr">
        <is>
          <t>ANALYSIS_BASELINE</t>
        </is>
      </c>
      <c r="AH67" t="inlineStr">
        <is>
          <t>PRODUCT</t>
        </is>
      </c>
      <c r="AI67" t="inlineStr">
        <is>
          <t>ACTUAL_USE</t>
        </is>
      </c>
      <c r="AJ67" t="inlineStr">
        <is>
          <t>B</t>
        </is>
      </c>
      <c r="AK67" t="inlineStr">
        <is>
          <t>核心对象：产品口感；体验：ACTUAL_USE；证据强度：B。</t>
        </is>
      </c>
      <c r="AL67"/>
      <c r="AM67" t="inlineStr">
        <is>
          <t>ANALYSIS_BASELINE_229.xlsx</t>
        </is>
      </c>
    </row>
    <row r="68" ht="25.5" customHeight="1">
      <c r="A68" t="inlineStr">
        <is>
          <t>MJ-RAW-0094_ANALYSIS_BASELINE_formal-attempt-0001_AI</t>
        </is>
      </c>
      <c r="B68" t="inlineStr">
        <is>
          <t>是啊rio就跟饮料一样，喝可乐雪碧喝多了嘴巴腻了，就整点rio喝喝，没对rio报什么复杂层次的香味这种的要求。这次双十一一瓶到手不到2块，日常当饮料喝够够了</t>
        </is>
      </c>
      <c r="C68"/>
      <c r="D68"/>
      <c r="E68"/>
      <c r="F68"/>
      <c r="G68"/>
      <c r="H68"/>
      <c r="I68"/>
      <c r="J68"/>
      <c r="K68"/>
      <c r="L68"/>
      <c r="M68"/>
      <c r="N68"/>
      <c r="O68"/>
      <c r="P68"/>
      <c r="Q68"/>
      <c r="R68"/>
      <c r="S68">
        <v>0.9</v>
      </c>
      <c r="T68" t="inlineStr">
        <is>
          <t>formal-attempt-0001</t>
        </is>
      </c>
      <c r="U68"/>
      <c r="V68"/>
      <c r="W68"/>
      <c r="X68" t="inlineStr">
        <is>
          <t>MJ-RAW-0094</t>
        </is>
      </c>
      <c r="Y68"/>
      <c r="Z68"/>
      <c r="AA68"/>
      <c r="AB68"/>
      <c r="AC68"/>
      <c r="AD68"/>
      <c r="AE68"/>
      <c r="AF68" t="inlineStr">
        <is>
          <t>AI</t>
        </is>
      </c>
      <c r="AG68" t="inlineStr">
        <is>
          <t>ANALYSIS_BASELINE</t>
        </is>
      </c>
      <c r="AH68" t="inlineStr">
        <is>
          <t>COMPETITOR</t>
        </is>
      </c>
      <c r="AI68" t="inlineStr">
        <is>
          <t>ACTUAL_USE</t>
        </is>
      </c>
      <c r="AJ68" t="inlineStr">
        <is>
          <t>A</t>
        </is>
      </c>
      <c r="AK68" t="inlineStr">
        <is>
          <t>核心对象：竞品替代选择；体验：ACTUAL_USE；证据强度：A。</t>
        </is>
      </c>
      <c r="AL68"/>
      <c r="AM68" t="inlineStr">
        <is>
          <t>ANALYSIS_BASELINE_229.xlsx</t>
        </is>
      </c>
    </row>
    <row r="69" ht="25.5" customHeight="1">
      <c r="A69" t="inlineStr">
        <is>
          <t>MJ-RAW-0097_ANALYSIS_BASELINE_formal-attempt-0001_AI</t>
        </is>
      </c>
      <c r="B69" t="inlineStr">
        <is>
          <t>在日本呆了8天，喝了8天，三得利的梅子酒真的好好喝！
+气泡水和绿茶都可以</t>
        </is>
      </c>
      <c r="C69"/>
      <c r="D69"/>
      <c r="E69"/>
      <c r="F69"/>
      <c r="G69"/>
      <c r="H69"/>
      <c r="I69"/>
      <c r="J69"/>
      <c r="K69"/>
      <c r="L69"/>
      <c r="M69"/>
      <c r="N69"/>
      <c r="O69"/>
      <c r="P69"/>
      <c r="Q69"/>
      <c r="R69"/>
      <c r="S69">
        <v>0.9</v>
      </c>
      <c r="T69" t="inlineStr">
        <is>
          <t>formal-attempt-0001</t>
        </is>
      </c>
      <c r="U69"/>
      <c r="V69"/>
      <c r="W69"/>
      <c r="X69" t="inlineStr">
        <is>
          <t>MJ-RAW-0097</t>
        </is>
      </c>
      <c r="Y69"/>
      <c r="Z69"/>
      <c r="AA69"/>
      <c r="AB69"/>
      <c r="AC69"/>
      <c r="AD69"/>
      <c r="AE69"/>
      <c r="AF69" t="inlineStr">
        <is>
          <t>AI</t>
        </is>
      </c>
      <c r="AG69" t="inlineStr">
        <is>
          <t>ANALYSIS_BASELINE</t>
        </is>
      </c>
      <c r="AH69" t="inlineStr">
        <is>
          <t>PRODUCT</t>
        </is>
      </c>
      <c r="AI69" t="inlineStr">
        <is>
          <t>ACTUAL_USE</t>
        </is>
      </c>
      <c r="AJ69" t="inlineStr">
        <is>
          <t>A</t>
        </is>
      </c>
      <c r="AK69" t="inlineStr">
        <is>
          <t>核心对象：产品口感与调饮结果；体验：ACTUAL_USE；证据强度：A。</t>
        </is>
      </c>
      <c r="AL69"/>
      <c r="AM69" t="inlineStr">
        <is>
          <t>ANALYSIS_BASELINE_229.xlsx</t>
        </is>
      </c>
    </row>
    <row r="70" ht="25.5" customHeight="1">
      <c r="A70" t="inlineStr">
        <is>
          <t>MJ-RAW-0098_ANALYSIS_BASELINE_formal-attempt-0001_AI</t>
        </is>
      </c>
      <c r="B70" t="inlineStr">
        <is>
          <t>CHOYA蝶矢梅子酒好喝，是日本人居酒屋或者平时聚会会喝的，口感比山崎更甜一点。</t>
        </is>
      </c>
      <c r="C70"/>
      <c r="D70"/>
      <c r="E70"/>
      <c r="F70"/>
      <c r="G70"/>
      <c r="H70"/>
      <c r="I70"/>
      <c r="J70"/>
      <c r="K70"/>
      <c r="L70"/>
      <c r="M70"/>
      <c r="N70"/>
      <c r="O70"/>
      <c r="P70"/>
      <c r="Q70"/>
      <c r="R70"/>
      <c r="S70">
        <v>0.7</v>
      </c>
      <c r="T70" t="inlineStr">
        <is>
          <t>formal-attempt-0001</t>
        </is>
      </c>
      <c r="U70"/>
      <c r="V70"/>
      <c r="W70"/>
      <c r="X70" t="inlineStr">
        <is>
          <t>MJ-RAW-0098</t>
        </is>
      </c>
      <c r="Y70"/>
      <c r="Z70"/>
      <c r="AA70"/>
      <c r="AB70"/>
      <c r="AC70"/>
      <c r="AD70"/>
      <c r="AE70"/>
      <c r="AF70" t="inlineStr">
        <is>
          <t>AI</t>
        </is>
      </c>
      <c r="AG70" t="inlineStr">
        <is>
          <t>ANALYSIS_BASELINE</t>
        </is>
      </c>
      <c r="AH70" t="inlineStr">
        <is>
          <t>PRODUCT</t>
        </is>
      </c>
      <c r="AI70" t="inlineStr">
        <is>
          <t>ACTUAL_USE</t>
        </is>
      </c>
      <c r="AJ70" t="inlineStr">
        <is>
          <t>A</t>
        </is>
      </c>
      <c r="AK70" t="inlineStr">
        <is>
          <t>核心对象：产品口感；体验：ACTUAL_USE；证据强度：A。</t>
        </is>
      </c>
      <c r="AL70"/>
      <c r="AM70" t="inlineStr">
        <is>
          <t>ANALYSIS_BASELINE_229.xlsx</t>
        </is>
      </c>
    </row>
    <row r="71" ht="25.5" customHeight="1">
      <c r="A71" t="inlineStr">
        <is>
          <t>MJ-RAW-0101_ANALYSIS_BASELINE_formal-attempt-0001_AI</t>
        </is>
      </c>
      <c r="B71" t="inlineStr">
        <is>
          <t>"这个果冻酒好喝""超级好喝""微醺葡萄味的超级好喝"</t>
        </is>
      </c>
      <c r="C71"/>
      <c r="D71"/>
      <c r="E71"/>
      <c r="F71"/>
      <c r="G71"/>
      <c r="H71"/>
      <c r="I71"/>
      <c r="J71"/>
      <c r="K71"/>
      <c r="L71"/>
      <c r="M71"/>
      <c r="N71"/>
      <c r="O71"/>
      <c r="P71"/>
      <c r="Q71"/>
      <c r="R71"/>
      <c r="S71">
        <v>0.9</v>
      </c>
      <c r="T71" t="inlineStr">
        <is>
          <t>formal-attempt-0001</t>
        </is>
      </c>
      <c r="U71"/>
      <c r="V71"/>
      <c r="W71"/>
      <c r="X71" t="inlineStr">
        <is>
          <t>MJ-RAW-0101</t>
        </is>
      </c>
      <c r="Y71"/>
      <c r="Z71"/>
      <c r="AA71"/>
      <c r="AB71"/>
      <c r="AC71"/>
      <c r="AD71"/>
      <c r="AE71"/>
      <c r="AF71" t="inlineStr">
        <is>
          <t>AI</t>
        </is>
      </c>
      <c r="AG71" t="inlineStr">
        <is>
          <t>ANALYSIS_BASELINE</t>
        </is>
      </c>
      <c r="AH71" t="inlineStr">
        <is>
          <t>PRODUCT</t>
        </is>
      </c>
      <c r="AI71" t="inlineStr">
        <is>
          <t>ACTUAL_USE</t>
        </is>
      </c>
      <c r="AJ71" t="inlineStr">
        <is>
          <t>C</t>
        </is>
      </c>
      <c r="AK71" t="inlineStr">
        <is>
          <t>核心对象：产品口感；体验：ACTUAL_USE；证据强度：C。</t>
        </is>
      </c>
      <c r="AL71"/>
      <c r="AM71" t="inlineStr">
        <is>
          <t>ANALYSIS_BASELINE_229.xlsx</t>
        </is>
      </c>
    </row>
    <row r="72" ht="25.5" customHeight="1">
      <c r="A72" t="inlineStr">
        <is>
          <t>XHS-SOC-0044_ANALYSIS_BASELINE_formal-attempt-0001_AI</t>
        </is>
      </c>
      <c r="B72" t="inlineStr">
        <is>
          <t>俏雅，买进口版的，国产不好喝</t>
        </is>
      </c>
      <c r="C72"/>
      <c r="D72"/>
      <c r="E72"/>
      <c r="F72"/>
      <c r="G72"/>
      <c r="H72"/>
      <c r="I72"/>
      <c r="J72"/>
      <c r="K72"/>
      <c r="L72"/>
      <c r="M72"/>
      <c r="N72"/>
      <c r="O72"/>
      <c r="P72"/>
      <c r="Q72"/>
      <c r="R72"/>
      <c r="S72">
        <v>0.9</v>
      </c>
      <c r="T72" t="inlineStr">
        <is>
          <t>formal-attempt-0001</t>
        </is>
      </c>
      <c r="U72"/>
      <c r="V72"/>
      <c r="W72"/>
      <c r="X72" t="inlineStr">
        <is>
          <t>XHS-SOC-0044</t>
        </is>
      </c>
      <c r="Y72"/>
      <c r="Z72"/>
      <c r="AA72"/>
      <c r="AB72"/>
      <c r="AC72"/>
      <c r="AD72"/>
      <c r="AE72"/>
      <c r="AF72" t="inlineStr">
        <is>
          <t>AI</t>
        </is>
      </c>
      <c r="AG72" t="inlineStr">
        <is>
          <t>ANALYSIS_BASELINE</t>
        </is>
      </c>
      <c r="AH72" t="inlineStr">
        <is>
          <t>COMPETITOR</t>
        </is>
      </c>
      <c r="AI72" t="inlineStr">
        <is>
          <t>ACTUAL_USE</t>
        </is>
      </c>
      <c r="AJ72" t="inlineStr">
        <is>
          <t>C</t>
        </is>
      </c>
      <c r="AK72" t="inlineStr">
        <is>
          <t>核心对象：竞品版本比较；体验：ACTUAL_USE；证据强度：C。</t>
        </is>
      </c>
      <c r="AL72"/>
      <c r="AM72" t="inlineStr">
        <is>
          <t>ANALYSIS_BASELINE_229.xlsx</t>
        </is>
      </c>
    </row>
    <row r="73" ht="25.5" customHeight="1">
      <c r="A73" t="inlineStr">
        <is>
          <t>DY-SOC-0086_ANALYSIS_BASELINE_formal-attempt-0001_AI</t>
        </is>
      </c>
      <c r="B73" t="inlineStr">
        <is>
          <t>喝完了能不能倒白酒进去继续泡</t>
        </is>
      </c>
      <c r="C73"/>
      <c r="D73"/>
      <c r="E73"/>
      <c r="F73"/>
      <c r="G73"/>
      <c r="H73"/>
      <c r="I73"/>
      <c r="J73"/>
      <c r="K73"/>
      <c r="L73"/>
      <c r="M73"/>
      <c r="N73"/>
      <c r="O73"/>
      <c r="P73"/>
      <c r="Q73"/>
      <c r="R73"/>
      <c r="S73">
        <v>0.9</v>
      </c>
      <c r="T73" t="inlineStr">
        <is>
          <t>formal-attempt-0001</t>
        </is>
      </c>
      <c r="U73"/>
      <c r="V73"/>
      <c r="W73"/>
      <c r="X73" t="inlineStr">
        <is>
          <t>DY-SOC-0086</t>
        </is>
      </c>
      <c r="Y73"/>
      <c r="Z73"/>
      <c r="AA73"/>
      <c r="AB73"/>
      <c r="AC73"/>
      <c r="AD73"/>
      <c r="AE73"/>
      <c r="AF73" t="inlineStr">
        <is>
          <t>AI</t>
        </is>
      </c>
      <c r="AG73" t="inlineStr">
        <is>
          <t>ANALYSIS_BASELINE</t>
        </is>
      </c>
      <c r="AH73" t="inlineStr">
        <is>
          <t>OTHER</t>
        </is>
      </c>
      <c r="AI73" t="inlineStr">
        <is>
          <t>ACTUAL_USE</t>
        </is>
      </c>
      <c r="AJ73" t="inlineStr">
        <is>
          <t>C</t>
        </is>
      </c>
      <c r="AK73" t="inlineStr">
        <is>
          <t>核心对象：尚未发生的饮用方式询问；体验：ACTUAL_USE；证据强度：C。</t>
        </is>
      </c>
      <c r="AL73"/>
      <c r="AM73" t="inlineStr">
        <is>
          <t>ANALYSIS_BASELINE_229.xlsx</t>
        </is>
      </c>
    </row>
    <row r="74" ht="25.5" customHeight="1">
      <c r="A74" t="inlineStr">
        <is>
          <t>DY-SOC-0088_ANALYSIS_BASELINE_formal-attempt-0001_AI</t>
        </is>
      </c>
      <c r="B74" t="inlineStr">
        <is>
          <t>夏天自制一杯可太舒服了呀</t>
        </is>
      </c>
      <c r="C74"/>
      <c r="D74"/>
      <c r="E74"/>
      <c r="F74"/>
      <c r="G74"/>
      <c r="H74"/>
      <c r="I74"/>
      <c r="J74"/>
      <c r="K74"/>
      <c r="L74"/>
      <c r="M74"/>
      <c r="N74"/>
      <c r="O74"/>
      <c r="P74"/>
      <c r="Q74"/>
      <c r="R74"/>
      <c r="S74">
        <v>0.7</v>
      </c>
      <c r="T74" t="inlineStr">
        <is>
          <t>formal-attempt-0001</t>
        </is>
      </c>
      <c r="U74"/>
      <c r="V74"/>
      <c r="W74"/>
      <c r="X74" t="inlineStr">
        <is>
          <t>DY-SOC-0088</t>
        </is>
      </c>
      <c r="Y74"/>
      <c r="Z74"/>
      <c r="AA74"/>
      <c r="AB74"/>
      <c r="AC74"/>
      <c r="AD74"/>
      <c r="AE74"/>
      <c r="AF74" t="inlineStr">
        <is>
          <t>AI</t>
        </is>
      </c>
      <c r="AG74" t="inlineStr">
        <is>
          <t>ANALYSIS_BASELINE</t>
        </is>
      </c>
      <c r="AH74" t="inlineStr">
        <is>
          <t>SCENE</t>
        </is>
      </c>
      <c r="AI74" t="inlineStr">
        <is>
          <t>ACTUAL_USE</t>
        </is>
      </c>
      <c r="AJ74" t="inlineStr">
        <is>
          <t>B</t>
        </is>
      </c>
      <c r="AK74" t="inlineStr">
        <is>
          <t>核心对象：夏日饮用场景；体验：ACTUAL_USE；证据强度：B。</t>
        </is>
      </c>
      <c r="AL74"/>
      <c r="AM74" t="inlineStr">
        <is>
          <t>ANALYSIS_BASELINE_229.xlsx</t>
        </is>
      </c>
    </row>
    <row r="75" ht="25.5" customHeight="1">
      <c r="A75" t="inlineStr">
        <is>
          <t>XHS-SOC-0197_ANALYSIS_BASELINE_formal-attempt-0001_AI</t>
        </is>
      </c>
      <c r="B75" t="inlineStr">
        <is>
          <t>香草冰淇淋最好喝</t>
        </is>
      </c>
      <c r="C75"/>
      <c r="D75"/>
      <c r="E75"/>
      <c r="F75"/>
      <c r="G75"/>
      <c r="H75"/>
      <c r="I75"/>
      <c r="J75"/>
      <c r="K75"/>
      <c r="L75"/>
      <c r="M75"/>
      <c r="N75"/>
      <c r="O75"/>
      <c r="P75"/>
      <c r="Q75"/>
      <c r="R75"/>
      <c r="S75">
        <v>0.9</v>
      </c>
      <c r="T75" t="inlineStr">
        <is>
          <t>formal-attempt-0001</t>
        </is>
      </c>
      <c r="U75"/>
      <c r="V75"/>
      <c r="W75"/>
      <c r="X75" t="inlineStr">
        <is>
          <t>XHS-SOC-0197</t>
        </is>
      </c>
      <c r="Y75"/>
      <c r="Z75"/>
      <c r="AA75"/>
      <c r="AB75"/>
      <c r="AC75"/>
      <c r="AD75"/>
      <c r="AE75"/>
      <c r="AF75" t="inlineStr">
        <is>
          <t>AI</t>
        </is>
      </c>
      <c r="AG75" t="inlineStr">
        <is>
          <t>ANALYSIS_BASELINE</t>
        </is>
      </c>
      <c r="AH75" t="inlineStr">
        <is>
          <t>PRODUCT</t>
        </is>
      </c>
      <c r="AI75" t="inlineStr">
        <is>
          <t>ACTUAL_USE</t>
        </is>
      </c>
      <c r="AJ75" t="inlineStr">
        <is>
          <t>C</t>
        </is>
      </c>
      <c r="AK75" t="inlineStr">
        <is>
          <t>核心对象：产品口味；体验：ACTUAL_USE；证据强度：C。</t>
        </is>
      </c>
      <c r="AL75"/>
      <c r="AM75" t="inlineStr">
        <is>
          <t>ANALYSIS_BASELINE_229.xlsx</t>
        </is>
      </c>
    </row>
    <row r="76" ht="25.5" customHeight="1">
      <c r="A76" t="inlineStr">
        <is>
          <t>XHS-SOC-0202_ANALYSIS_BASELINE_formal-attempt-0001_AI</t>
        </is>
      </c>
      <c r="B76" t="inlineStr">
        <is>
          <t>昆竹好喝</t>
        </is>
      </c>
      <c r="C76"/>
      <c r="D76"/>
      <c r="E76"/>
      <c r="F76"/>
      <c r="G76"/>
      <c r="H76"/>
      <c r="I76"/>
      <c r="J76"/>
      <c r="K76"/>
      <c r="L76"/>
      <c r="M76"/>
      <c r="N76"/>
      <c r="O76"/>
      <c r="P76"/>
      <c r="Q76"/>
      <c r="R76"/>
      <c r="S76">
        <v>0.9</v>
      </c>
      <c r="T76" t="inlineStr">
        <is>
          <t>formal-attempt-0001</t>
        </is>
      </c>
      <c r="U76"/>
      <c r="V76"/>
      <c r="W76"/>
      <c r="X76" t="inlineStr">
        <is>
          <t>XHS-SOC-0202</t>
        </is>
      </c>
      <c r="Y76"/>
      <c r="Z76"/>
      <c r="AA76"/>
      <c r="AB76"/>
      <c r="AC76"/>
      <c r="AD76"/>
      <c r="AE76"/>
      <c r="AF76" t="inlineStr">
        <is>
          <t>AI</t>
        </is>
      </c>
      <c r="AG76" t="inlineStr">
        <is>
          <t>ANALYSIS_BASELINE</t>
        </is>
      </c>
      <c r="AH76" t="inlineStr">
        <is>
          <t>PRODUCT</t>
        </is>
      </c>
      <c r="AI76" t="inlineStr">
        <is>
          <t>ACTUAL_USE</t>
        </is>
      </c>
      <c r="AJ76" t="inlineStr">
        <is>
          <t>C</t>
        </is>
      </c>
      <c r="AK76" t="inlineStr">
        <is>
          <t>核心对象：产品口感；体验：ACTUAL_USE；证据强度：C。</t>
        </is>
      </c>
      <c r="AL76"/>
      <c r="AM76" t="inlineStr">
        <is>
          <t>ANALYSIS_BASELINE_229.xlsx</t>
        </is>
      </c>
    </row>
    <row r="77" ht="25.5" customHeight="1">
      <c r="A77" t="inlineStr">
        <is>
          <t>XHS-SOC-0208_ANALYSIS_BASELINE_formal-attempt-0001_AI</t>
        </is>
      </c>
      <c r="B77" t="inlineStr">
        <is>
          <t>乳酸菌味真的超好喝！</t>
        </is>
      </c>
      <c r="C77"/>
      <c r="D77"/>
      <c r="E77"/>
      <c r="F77"/>
      <c r="G77"/>
      <c r="H77"/>
      <c r="I77"/>
      <c r="J77"/>
      <c r="K77"/>
      <c r="L77"/>
      <c r="M77"/>
      <c r="N77"/>
      <c r="O77"/>
      <c r="P77"/>
      <c r="Q77"/>
      <c r="R77"/>
      <c r="S77">
        <v>0.9</v>
      </c>
      <c r="T77" t="inlineStr">
        <is>
          <t>formal-attempt-0001</t>
        </is>
      </c>
      <c r="U77"/>
      <c r="V77"/>
      <c r="W77"/>
      <c r="X77" t="inlineStr">
        <is>
          <t>XHS-SOC-0208</t>
        </is>
      </c>
      <c r="Y77"/>
      <c r="Z77"/>
      <c r="AA77"/>
      <c r="AB77"/>
      <c r="AC77"/>
      <c r="AD77"/>
      <c r="AE77"/>
      <c r="AF77" t="inlineStr">
        <is>
          <t>AI</t>
        </is>
      </c>
      <c r="AG77" t="inlineStr">
        <is>
          <t>ANALYSIS_BASELINE</t>
        </is>
      </c>
      <c r="AH77" t="inlineStr">
        <is>
          <t>PRODUCT</t>
        </is>
      </c>
      <c r="AI77" t="inlineStr">
        <is>
          <t>ACTUAL_USE</t>
        </is>
      </c>
      <c r="AJ77" t="inlineStr">
        <is>
          <t>C</t>
        </is>
      </c>
      <c r="AK77" t="inlineStr">
        <is>
          <t>核心对象：产品口味；体验：ACTUAL_USE；证据强度：C。</t>
        </is>
      </c>
      <c r="AL77"/>
      <c r="AM77" t="inlineStr">
        <is>
          <t>ANALYSIS_BASELINE_229.xlsx</t>
        </is>
      </c>
    </row>
    <row r="78" ht="25.5" customHeight="1">
      <c r="A78" t="inlineStr">
        <is>
          <t>XHS-SOC-0209_ANALYSIS_BASELINE_formal-attempt-0001_AI</t>
        </is>
      </c>
      <c r="B78" t="inlineStr">
        <is>
          <t>我也觉得太甜了 后味超级甜</t>
        </is>
      </c>
      <c r="C78"/>
      <c r="D78"/>
      <c r="E78"/>
      <c r="F78"/>
      <c r="G78"/>
      <c r="H78"/>
      <c r="I78"/>
      <c r="J78"/>
      <c r="K78"/>
      <c r="L78"/>
      <c r="M78"/>
      <c r="N78"/>
      <c r="O78"/>
      <c r="P78"/>
      <c r="Q78"/>
      <c r="R78"/>
      <c r="S78">
        <v>0.9</v>
      </c>
      <c r="T78" t="inlineStr">
        <is>
          <t>formal-attempt-0001</t>
        </is>
      </c>
      <c r="U78"/>
      <c r="V78"/>
      <c r="W78"/>
      <c r="X78" t="inlineStr">
        <is>
          <t>XHS-SOC-0209</t>
        </is>
      </c>
      <c r="Y78"/>
      <c r="Z78"/>
      <c r="AA78"/>
      <c r="AB78"/>
      <c r="AC78"/>
      <c r="AD78"/>
      <c r="AE78"/>
      <c r="AF78" t="inlineStr">
        <is>
          <t>AI</t>
        </is>
      </c>
      <c r="AG78" t="inlineStr">
        <is>
          <t>ANALYSIS_BASELINE</t>
        </is>
      </c>
      <c r="AH78" t="inlineStr">
        <is>
          <t>PRODUCT</t>
        </is>
      </c>
      <c r="AI78" t="inlineStr">
        <is>
          <t>ACTUAL_USE</t>
        </is>
      </c>
      <c r="AJ78" t="inlineStr">
        <is>
          <t>C</t>
        </is>
      </c>
      <c r="AK78" t="inlineStr">
        <is>
          <t>核心对象：产品甜度；体验：ACTUAL_USE；证据强度：C。</t>
        </is>
      </c>
      <c r="AL78"/>
      <c r="AM78" t="inlineStr">
        <is>
          <t>ANALYSIS_BASELINE_229.xlsx</t>
        </is>
      </c>
    </row>
    <row r="79" ht="25.5" customHeight="1">
      <c r="A79" t="inlineStr">
        <is>
          <t>XHS-SOC-0219_ANALYSIS_BASELINE_formal-attempt-0001_AI</t>
        </is>
      </c>
      <c r="B79" t="inlineStr">
        <is>
          <t>就是葡萄汽水</t>
        </is>
      </c>
      <c r="C79"/>
      <c r="D79"/>
      <c r="E79"/>
      <c r="F79"/>
      <c r="G79"/>
      <c r="H79"/>
      <c r="I79"/>
      <c r="J79"/>
      <c r="K79"/>
      <c r="L79"/>
      <c r="M79"/>
      <c r="N79"/>
      <c r="O79"/>
      <c r="P79"/>
      <c r="Q79"/>
      <c r="R79"/>
      <c r="S79">
        <v>0.7</v>
      </c>
      <c r="T79" t="inlineStr">
        <is>
          <t>formal-attempt-0001</t>
        </is>
      </c>
      <c r="U79"/>
      <c r="V79"/>
      <c r="W79"/>
      <c r="X79" t="inlineStr">
        <is>
          <t>XHS-SOC-0219</t>
        </is>
      </c>
      <c r="Y79"/>
      <c r="Z79"/>
      <c r="AA79"/>
      <c r="AB79"/>
      <c r="AC79"/>
      <c r="AD79"/>
      <c r="AE79"/>
      <c r="AF79" t="inlineStr">
        <is>
          <t>AI</t>
        </is>
      </c>
      <c r="AG79" t="inlineStr">
        <is>
          <t>ANALYSIS_BASELINE</t>
        </is>
      </c>
      <c r="AH79" t="inlineStr">
        <is>
          <t>PRODUCT</t>
        </is>
      </c>
      <c r="AI79" t="inlineStr">
        <is>
          <t>ACTUAL_USE</t>
        </is>
      </c>
      <c r="AJ79" t="inlineStr">
        <is>
          <t>C</t>
        </is>
      </c>
      <c r="AK79" t="inlineStr">
        <is>
          <t>核心对象：产品口感；体验：ACTUAL_USE；证据强度：C。</t>
        </is>
      </c>
      <c r="AL79"/>
      <c r="AM79" t="inlineStr">
        <is>
          <t>ANALYSIS_BASELINE_229.xlsx</t>
        </is>
      </c>
    </row>
    <row r="80" ht="25.5" customHeight="1">
      <c r="A80" t="inlineStr">
        <is>
          <t>XHS-SOC-0224_ANALYSIS_BASELINE_formal-attempt-0001_AI</t>
        </is>
      </c>
      <c r="B80" t="inlineStr">
        <is>
          <t>难喝，没度数，跟果汁似的</t>
        </is>
      </c>
      <c r="C80"/>
      <c r="D80"/>
      <c r="E80"/>
      <c r="F80"/>
      <c r="G80"/>
      <c r="H80"/>
      <c r="I80"/>
      <c r="J80"/>
      <c r="K80"/>
      <c r="L80"/>
      <c r="M80"/>
      <c r="N80"/>
      <c r="O80"/>
      <c r="P80"/>
      <c r="Q80"/>
      <c r="R80"/>
      <c r="S80">
        <v>0.9</v>
      </c>
      <c r="T80" t="inlineStr">
        <is>
          <t>formal-attempt-0001</t>
        </is>
      </c>
      <c r="U80"/>
      <c r="V80"/>
      <c r="W80"/>
      <c r="X80" t="inlineStr">
        <is>
          <t>XHS-SOC-0224</t>
        </is>
      </c>
      <c r="Y80"/>
      <c r="Z80"/>
      <c r="AA80"/>
      <c r="AB80"/>
      <c r="AC80"/>
      <c r="AD80"/>
      <c r="AE80"/>
      <c r="AF80" t="inlineStr">
        <is>
          <t>AI</t>
        </is>
      </c>
      <c r="AG80" t="inlineStr">
        <is>
          <t>ANALYSIS_BASELINE</t>
        </is>
      </c>
      <c r="AH80" t="inlineStr">
        <is>
          <t>PRODUCT</t>
        </is>
      </c>
      <c r="AI80" t="inlineStr">
        <is>
          <t>ACTUAL_USE</t>
        </is>
      </c>
      <c r="AJ80" t="inlineStr">
        <is>
          <t>B</t>
        </is>
      </c>
      <c r="AK80" t="inlineStr">
        <is>
          <t>核心对象：产品口感与酒精感；体验：ACTUAL_USE；证据强度：B。</t>
        </is>
      </c>
      <c r="AL80"/>
      <c r="AM80" t="inlineStr">
        <is>
          <t>ANALYSIS_BASELINE_229.xlsx</t>
        </is>
      </c>
    </row>
    <row r="81" ht="25.5" customHeight="1">
      <c r="A81" t="inlineStr">
        <is>
          <t>XHS-SOC-0226_ANALYSIS_BASELINE_formal-attempt-0001_AI</t>
        </is>
      </c>
      <c r="B81" t="inlineStr">
        <is>
          <t>草莓是真的很难喝...</t>
        </is>
      </c>
      <c r="C81"/>
      <c r="D81"/>
      <c r="E81"/>
      <c r="F81"/>
      <c r="G81"/>
      <c r="H81"/>
      <c r="I81"/>
      <c r="J81"/>
      <c r="K81"/>
      <c r="L81"/>
      <c r="M81"/>
      <c r="N81"/>
      <c r="O81"/>
      <c r="P81"/>
      <c r="Q81"/>
      <c r="R81"/>
      <c r="S81">
        <v>0.9</v>
      </c>
      <c r="T81" t="inlineStr">
        <is>
          <t>formal-attempt-0001</t>
        </is>
      </c>
      <c r="U81"/>
      <c r="V81"/>
      <c r="W81"/>
      <c r="X81" t="inlineStr">
        <is>
          <t>XHS-SOC-0226</t>
        </is>
      </c>
      <c r="Y81"/>
      <c r="Z81"/>
      <c r="AA81"/>
      <c r="AB81"/>
      <c r="AC81"/>
      <c r="AD81"/>
      <c r="AE81"/>
      <c r="AF81" t="inlineStr">
        <is>
          <t>AI</t>
        </is>
      </c>
      <c r="AG81" t="inlineStr">
        <is>
          <t>ANALYSIS_BASELINE</t>
        </is>
      </c>
      <c r="AH81" t="inlineStr">
        <is>
          <t>PRODUCT</t>
        </is>
      </c>
      <c r="AI81" t="inlineStr">
        <is>
          <t>ACTUAL_USE</t>
        </is>
      </c>
      <c r="AJ81" t="inlineStr">
        <is>
          <t>C</t>
        </is>
      </c>
      <c r="AK81" t="inlineStr">
        <is>
          <t>核心对象：产品口味；体验：ACTUAL_USE；证据强度：C。</t>
        </is>
      </c>
      <c r="AL81"/>
      <c r="AM81" t="inlineStr">
        <is>
          <t>ANALYSIS_BASELINE_229.xlsx</t>
        </is>
      </c>
    </row>
    <row r="82" ht="25.5" customHeight="1">
      <c r="A82" t="inlineStr">
        <is>
          <t>XHS-SOC-0228_ANALYSIS_BASELINE_formal-attempt-0001_AI</t>
        </is>
      </c>
      <c r="B82" t="inlineStr">
        <is>
          <t>好喝 我刚才还喝了一杯</t>
        </is>
      </c>
      <c r="C82"/>
      <c r="D82"/>
      <c r="E82"/>
      <c r="F82"/>
      <c r="G82"/>
      <c r="H82"/>
      <c r="I82"/>
      <c r="J82"/>
      <c r="K82"/>
      <c r="L82"/>
      <c r="M82"/>
      <c r="N82"/>
      <c r="O82"/>
      <c r="P82"/>
      <c r="Q82"/>
      <c r="R82"/>
      <c r="S82">
        <v>0.9</v>
      </c>
      <c r="T82" t="inlineStr">
        <is>
          <t>formal-attempt-0001</t>
        </is>
      </c>
      <c r="U82"/>
      <c r="V82"/>
      <c r="W82"/>
      <c r="X82" t="inlineStr">
        <is>
          <t>XHS-SOC-0228</t>
        </is>
      </c>
      <c r="Y82"/>
      <c r="Z82"/>
      <c r="AA82"/>
      <c r="AB82"/>
      <c r="AC82"/>
      <c r="AD82"/>
      <c r="AE82"/>
      <c r="AF82" t="inlineStr">
        <is>
          <t>AI</t>
        </is>
      </c>
      <c r="AG82" t="inlineStr">
        <is>
          <t>ANALYSIS_BASELINE</t>
        </is>
      </c>
      <c r="AH82" t="inlineStr">
        <is>
          <t>PRODUCT</t>
        </is>
      </c>
      <c r="AI82" t="inlineStr">
        <is>
          <t>ACTUAL_USE</t>
        </is>
      </c>
      <c r="AJ82" t="inlineStr">
        <is>
          <t>C</t>
        </is>
      </c>
      <c r="AK82" t="inlineStr">
        <is>
          <t>核心对象：PRODUCT；体验：ACTUAL_USE；证据强度：C。</t>
        </is>
      </c>
      <c r="AL82"/>
      <c r="AM82" t="inlineStr">
        <is>
          <t>ANALYSIS_BASELINE_229.xlsx</t>
        </is>
      </c>
    </row>
    <row r="83" ht="25.5" customHeight="1">
      <c r="A83" t="inlineStr">
        <is>
          <t>XHS-SOC-0255_ANALYSIS_BASELINE_formal-attempt-0001_AI</t>
        </is>
      </c>
      <c r="B83" t="inlineStr">
        <is>
          <t>哪个味道好喝</t>
        </is>
      </c>
      <c r="C83"/>
      <c r="D83"/>
      <c r="E83"/>
      <c r="F83"/>
      <c r="G83"/>
      <c r="H83"/>
      <c r="I83"/>
      <c r="J83"/>
      <c r="K83"/>
      <c r="L83"/>
      <c r="M83"/>
      <c r="N83"/>
      <c r="O83"/>
      <c r="P83"/>
      <c r="Q83"/>
      <c r="R83"/>
      <c r="S83">
        <v>0.9</v>
      </c>
      <c r="T83" t="inlineStr">
        <is>
          <t>formal-attempt-0001</t>
        </is>
      </c>
      <c r="U83"/>
      <c r="V83"/>
      <c r="W83"/>
      <c r="X83" t="inlineStr">
        <is>
          <t>XHS-SOC-0255</t>
        </is>
      </c>
      <c r="Y83"/>
      <c r="Z83"/>
      <c r="AA83"/>
      <c r="AB83"/>
      <c r="AC83"/>
      <c r="AD83"/>
      <c r="AE83"/>
      <c r="AF83" t="inlineStr">
        <is>
          <t>AI</t>
        </is>
      </c>
      <c r="AG83" t="inlineStr">
        <is>
          <t>ANALYSIS_BASELINE</t>
        </is>
      </c>
      <c r="AH83" t="inlineStr">
        <is>
          <t>OTHER</t>
        </is>
      </c>
      <c r="AI83" t="inlineStr">
        <is>
          <t>UNKNOWN</t>
        </is>
      </c>
      <c r="AJ83" t="inlineStr">
        <is>
          <t>C</t>
        </is>
      </c>
      <c r="AK83" t="inlineStr">
        <is>
          <t>核心对象：OTHER；体验：UNKNOWN；证据强度：C。</t>
        </is>
      </c>
      <c r="AL83"/>
      <c r="AM83" t="inlineStr">
        <is>
          <t>ANALYSIS_BASELINE_229.xlsx</t>
        </is>
      </c>
    </row>
    <row r="84" ht="25.5" customHeight="1">
      <c r="A84" t="inlineStr">
        <is>
          <t>JD-20260809-001_ANALYSIS_BASELINE_formal-attempt-0001_AI</t>
        </is>
      </c>
      <c r="B84" t="inlineStr">
        <is>
          <t>喝过以后再来评论，很适口，酒劲不大，都可以接受，很美好的感觉，推荐品尝，瓶子也很好，可以再利用</t>
        </is>
      </c>
      <c r="C84"/>
      <c r="D84"/>
      <c r="E84"/>
      <c r="F84"/>
      <c r="G84"/>
      <c r="H84"/>
      <c r="I84"/>
      <c r="J84"/>
      <c r="K84"/>
      <c r="L84"/>
      <c r="M84"/>
      <c r="N84"/>
      <c r="O84"/>
      <c r="P84"/>
      <c r="Q84"/>
      <c r="R84"/>
      <c r="S84">
        <v>0.9</v>
      </c>
      <c r="T84" t="inlineStr">
        <is>
          <t>formal-attempt-0001</t>
        </is>
      </c>
      <c r="U84"/>
      <c r="V84"/>
      <c r="W84"/>
      <c r="X84" t="inlineStr">
        <is>
          <t>JD-20260809-001</t>
        </is>
      </c>
      <c r="Y84"/>
      <c r="Z84"/>
      <c r="AA84"/>
      <c r="AB84"/>
      <c r="AC84"/>
      <c r="AD84"/>
      <c r="AE84"/>
      <c r="AF84" t="inlineStr">
        <is>
          <t>AI</t>
        </is>
      </c>
      <c r="AG84" t="inlineStr">
        <is>
          <t>ANALYSIS_BASELINE</t>
        </is>
      </c>
      <c r="AH84" t="inlineStr">
        <is>
          <t>PRODUCT</t>
        </is>
      </c>
      <c r="AI84" t="inlineStr">
        <is>
          <t>ACTUAL_USE</t>
        </is>
      </c>
      <c r="AJ84" t="inlineStr">
        <is>
          <t>A</t>
        </is>
      </c>
      <c r="AK84" t="inlineStr">
        <is>
          <t>核心对象：PRODUCT；体验：ACTUAL_USE；证据强度：A。</t>
        </is>
      </c>
      <c r="AL84"/>
      <c r="AM84" t="inlineStr">
        <is>
          <t>ANALYSIS_BASELINE_229.xlsx</t>
        </is>
      </c>
    </row>
    <row r="85" ht="25.5" customHeight="1">
      <c r="A85" t="inlineStr">
        <is>
          <t>JD-20260809-010_ANALYSIS_BASELINE_formal-attempt-0001_AI</t>
        </is>
      </c>
      <c r="B85" t="inlineStr">
        <is>
          <t>最近想买点酒喝喝，搜了搜好像这个牌子的梅酒比较有名。比较了不同的种类，觉得这个度数还挺合适的。对着冰块喝还是不错的，对我来说有一丢丢甜。</t>
        </is>
      </c>
      <c r="C85"/>
      <c r="D85"/>
      <c r="E85"/>
      <c r="F85"/>
      <c r="G85"/>
      <c r="H85"/>
      <c r="I85"/>
      <c r="J85"/>
      <c r="K85"/>
      <c r="L85"/>
      <c r="M85"/>
      <c r="N85"/>
      <c r="O85"/>
      <c r="P85"/>
      <c r="Q85"/>
      <c r="R85"/>
      <c r="S85">
        <v>0.7</v>
      </c>
      <c r="T85" t="inlineStr">
        <is>
          <t>formal-attempt-0001</t>
        </is>
      </c>
      <c r="U85"/>
      <c r="V85"/>
      <c r="W85"/>
      <c r="X85" t="inlineStr">
        <is>
          <t>JD-20260809-010</t>
        </is>
      </c>
      <c r="Y85"/>
      <c r="Z85"/>
      <c r="AA85"/>
      <c r="AB85"/>
      <c r="AC85"/>
      <c r="AD85"/>
      <c r="AE85"/>
      <c r="AF85" t="inlineStr">
        <is>
          <t>AI</t>
        </is>
      </c>
      <c r="AG85" t="inlineStr">
        <is>
          <t>ANALYSIS_BASELINE</t>
        </is>
      </c>
      <c r="AH85" t="inlineStr">
        <is>
          <t>PRODUCT</t>
        </is>
      </c>
      <c r="AI85" t="inlineStr">
        <is>
          <t>UNKNOWN</t>
        </is>
      </c>
      <c r="AJ85" t="inlineStr">
        <is>
          <t>C</t>
        </is>
      </c>
      <c r="AK85" t="inlineStr">
        <is>
          <t>核心对象：PRODUCT；体验：UNKNOWN；证据强度：C。</t>
        </is>
      </c>
      <c r="AL85"/>
      <c r="AM85" t="inlineStr">
        <is>
          <t>ANALYSIS_BASELINE_229.xlsx</t>
        </is>
      </c>
    </row>
    <row r="86" ht="25.5" customHeight="1">
      <c r="A86" t="inlineStr">
        <is>
          <t>JD-20260809-013_ANALYSIS_BASELINE_formal-attempt-0001_AI</t>
        </is>
      </c>
      <c r="B86" t="inlineStr">
        <is>
          <t>俏雅的小包装黑金本格梅酒口酒顺滑，甜度控制的刚刚好，酒精度数适中，入口梅子香气浓郁，口感层次丰富，配料表干净，真正的零添加，值得购买。</t>
        </is>
      </c>
      <c r="C86"/>
      <c r="D86"/>
      <c r="E86"/>
      <c r="F86"/>
      <c r="G86"/>
      <c r="H86"/>
      <c r="I86"/>
      <c r="J86"/>
      <c r="K86"/>
      <c r="L86"/>
      <c r="M86"/>
      <c r="N86"/>
      <c r="O86"/>
      <c r="P86"/>
      <c r="Q86"/>
      <c r="R86"/>
      <c r="S86">
        <v>0.9</v>
      </c>
      <c r="T86" t="inlineStr">
        <is>
          <t>formal-attempt-0001</t>
        </is>
      </c>
      <c r="U86"/>
      <c r="V86"/>
      <c r="W86"/>
      <c r="X86" t="inlineStr">
        <is>
          <t>JD-20260809-013</t>
        </is>
      </c>
      <c r="Y86"/>
      <c r="Z86"/>
      <c r="AA86"/>
      <c r="AB86"/>
      <c r="AC86"/>
      <c r="AD86"/>
      <c r="AE86"/>
      <c r="AF86" t="inlineStr">
        <is>
          <t>AI</t>
        </is>
      </c>
      <c r="AG86" t="inlineStr">
        <is>
          <t>ANALYSIS_BASELINE</t>
        </is>
      </c>
      <c r="AH86" t="inlineStr">
        <is>
          <t>PRODUCT</t>
        </is>
      </c>
      <c r="AI86" t="inlineStr">
        <is>
          <t>ACTUAL_USE</t>
        </is>
      </c>
      <c r="AJ86" t="inlineStr">
        <is>
          <t>A</t>
        </is>
      </c>
      <c r="AK86" t="inlineStr">
        <is>
          <t>核心对象：PRODUCT；体验：ACTUAL_USE；证据强度：A。</t>
        </is>
      </c>
      <c r="AL86"/>
      <c r="AM86" t="inlineStr">
        <is>
          <t>ANALYSIS_BASELINE_229.xlsx</t>
        </is>
      </c>
    </row>
    <row r="87" ht="25.5" customHeight="1">
      <c r="A87" t="inlineStr">
        <is>
          <t>JD-20260809-018_ANALYSIS_BASELINE_formal-attempt-0001_AI</t>
        </is>
      </c>
      <c r="B87" t="inlineStr">
        <is>
          <t>🍯甜度刚刚好，加冰后更清爽～🍹
口感细腻，酸甜比例很舒服，不会腻✨
单喝很解渴，配饮料也超搭🥤
酒劲温和，适合轻松小酌😌
整体体验很棒，会回购！👍</t>
        </is>
      </c>
      <c r="C87"/>
      <c r="D87"/>
      <c r="E87"/>
      <c r="F87"/>
      <c r="G87"/>
      <c r="H87"/>
      <c r="I87"/>
      <c r="J87"/>
      <c r="K87"/>
      <c r="L87"/>
      <c r="M87"/>
      <c r="N87"/>
      <c r="O87"/>
      <c r="P87"/>
      <c r="Q87"/>
      <c r="R87"/>
      <c r="S87">
        <v>0.9</v>
      </c>
      <c r="T87" t="inlineStr">
        <is>
          <t>formal-attempt-0001</t>
        </is>
      </c>
      <c r="U87"/>
      <c r="V87"/>
      <c r="W87"/>
      <c r="X87" t="inlineStr">
        <is>
          <t>JD-20260809-018</t>
        </is>
      </c>
      <c r="Y87"/>
      <c r="Z87"/>
      <c r="AA87"/>
      <c r="AB87"/>
      <c r="AC87"/>
      <c r="AD87"/>
      <c r="AE87"/>
      <c r="AF87" t="inlineStr">
        <is>
          <t>AI</t>
        </is>
      </c>
      <c r="AG87" t="inlineStr">
        <is>
          <t>ANALYSIS_BASELINE</t>
        </is>
      </c>
      <c r="AH87" t="inlineStr">
        <is>
          <t>PRODUCT</t>
        </is>
      </c>
      <c r="AI87" t="inlineStr">
        <is>
          <t>ACTUAL_USE</t>
        </is>
      </c>
      <c r="AJ87" t="inlineStr">
        <is>
          <t>A</t>
        </is>
      </c>
      <c r="AK87" t="inlineStr">
        <is>
          <t>核心对象：PRODUCT；体验：ACTUAL_USE；证据强度：A。</t>
        </is>
      </c>
      <c r="AL87"/>
      <c r="AM87" t="inlineStr">
        <is>
          <t>ANALYSIS_BASELINE_229.xlsx</t>
        </is>
      </c>
    </row>
    <row r="88" ht="25.5" customHeight="1">
      <c r="A88" t="inlineStr">
        <is>
          <t>JD-20260809-019_ANALYSIS_BASELINE_formal-attempt-0001_AI</t>
        </is>
      </c>
      <c r="B88" t="inlineStr">
        <is>
          <t>口感非常好，可以配一点冰块</t>
        </is>
      </c>
      <c r="C88"/>
      <c r="D88"/>
      <c r="E88"/>
      <c r="F88"/>
      <c r="G88"/>
      <c r="H88"/>
      <c r="I88"/>
      <c r="J88"/>
      <c r="K88"/>
      <c r="L88"/>
      <c r="M88"/>
      <c r="N88"/>
      <c r="O88"/>
      <c r="P88"/>
      <c r="Q88"/>
      <c r="R88"/>
      <c r="S88">
        <v>0.9</v>
      </c>
      <c r="T88" t="inlineStr">
        <is>
          <t>formal-attempt-0001</t>
        </is>
      </c>
      <c r="U88"/>
      <c r="V88"/>
      <c r="W88"/>
      <c r="X88" t="inlineStr">
        <is>
          <t>JD-20260809-019</t>
        </is>
      </c>
      <c r="Y88"/>
      <c r="Z88"/>
      <c r="AA88"/>
      <c r="AB88"/>
      <c r="AC88"/>
      <c r="AD88"/>
      <c r="AE88"/>
      <c r="AF88" t="inlineStr">
        <is>
          <t>AI</t>
        </is>
      </c>
      <c r="AG88" t="inlineStr">
        <is>
          <t>ANALYSIS_BASELINE</t>
        </is>
      </c>
      <c r="AH88" t="inlineStr">
        <is>
          <t>PRODUCT</t>
        </is>
      </c>
      <c r="AI88" t="inlineStr">
        <is>
          <t>ACTUAL_USE</t>
        </is>
      </c>
      <c r="AJ88" t="inlineStr">
        <is>
          <t>C</t>
        </is>
      </c>
      <c r="AK88" t="inlineStr">
        <is>
          <t>核心对象：PRODUCT；体验：ACTUAL_USE；证据强度：C。</t>
        </is>
      </c>
      <c r="AL88"/>
      <c r="AM88" t="inlineStr">
        <is>
          <t>ANALYSIS_BASELINE_229.xlsx</t>
        </is>
      </c>
    </row>
    <row r="89" ht="25.5" customHeight="1">
      <c r="A89" t="inlineStr">
        <is>
          <t>JD-20260809-020_ANALYSIS_BASELINE_formal-attempt-0001_AI</t>
        </is>
      </c>
      <c r="B89" t="inlineStr">
        <is>
          <t>这款鸡尾酒酒精浓度适中，微醺感刚好，果香浓郁，喝起来很清爽，多种口味选择满足不同喜好，冰镇后口感更佳，值得推荐，尤其适合想喝酒又喝不了酒的人，酒精度低。</t>
        </is>
      </c>
      <c r="C89"/>
      <c r="D89"/>
      <c r="E89"/>
      <c r="F89"/>
      <c r="G89"/>
      <c r="H89"/>
      <c r="I89"/>
      <c r="J89"/>
      <c r="K89"/>
      <c r="L89"/>
      <c r="M89"/>
      <c r="N89"/>
      <c r="O89"/>
      <c r="P89"/>
      <c r="Q89"/>
      <c r="R89"/>
      <c r="S89">
        <v>0.9</v>
      </c>
      <c r="T89" t="inlineStr">
        <is>
          <t>formal-attempt-0001</t>
        </is>
      </c>
      <c r="U89"/>
      <c r="V89"/>
      <c r="W89"/>
      <c r="X89" t="inlineStr">
        <is>
          <t>JD-20260809-020</t>
        </is>
      </c>
      <c r="Y89"/>
      <c r="Z89"/>
      <c r="AA89"/>
      <c r="AB89"/>
      <c r="AC89"/>
      <c r="AD89"/>
      <c r="AE89"/>
      <c r="AF89" t="inlineStr">
        <is>
          <t>AI</t>
        </is>
      </c>
      <c r="AG89" t="inlineStr">
        <is>
          <t>ANALYSIS_BASELINE</t>
        </is>
      </c>
      <c r="AH89" t="inlineStr">
        <is>
          <t>PRODUCT</t>
        </is>
      </c>
      <c r="AI89" t="inlineStr">
        <is>
          <t>ACTUAL_USE</t>
        </is>
      </c>
      <c r="AJ89" t="inlineStr">
        <is>
          <t>A</t>
        </is>
      </c>
      <c r="AK89" t="inlineStr">
        <is>
          <t>核心对象：PRODUCT；体验：ACTUAL_USE；证据强度：A。</t>
        </is>
      </c>
      <c r="AL89"/>
      <c r="AM89" t="inlineStr">
        <is>
          <t>ANALYSIS_BASELINE_229.xlsx</t>
        </is>
      </c>
    </row>
    <row r="90" ht="25.5" customHeight="1">
      <c r="A90" t="inlineStr">
        <is>
          <t>JD-20260809-022_ANALYSIS_BASELINE_formal-attempt-0001_AI</t>
        </is>
      </c>
      <c r="B90" t="inlineStr">
        <is>
          <t>百香果味道的rio口感顺滑，香味浓郁，甜度适中，不会太腻。包装设计也很不错，方便携带，特别适合户外活动或者小憩时饮用。整体来说，是一款值得推荐的好喝饮品！</t>
        </is>
      </c>
      <c r="C90"/>
      <c r="D90"/>
      <c r="E90"/>
      <c r="F90"/>
      <c r="G90"/>
      <c r="H90"/>
      <c r="I90"/>
      <c r="J90"/>
      <c r="K90"/>
      <c r="L90"/>
      <c r="M90"/>
      <c r="N90"/>
      <c r="O90"/>
      <c r="P90"/>
      <c r="Q90"/>
      <c r="R90"/>
      <c r="S90">
        <v>0.9</v>
      </c>
      <c r="T90" t="inlineStr">
        <is>
          <t>formal-attempt-0001</t>
        </is>
      </c>
      <c r="U90"/>
      <c r="V90"/>
      <c r="W90"/>
      <c r="X90" t="inlineStr">
        <is>
          <t>JD-20260809-022</t>
        </is>
      </c>
      <c r="Y90"/>
      <c r="Z90"/>
      <c r="AA90"/>
      <c r="AB90"/>
      <c r="AC90"/>
      <c r="AD90"/>
      <c r="AE90"/>
      <c r="AF90" t="inlineStr">
        <is>
          <t>AI</t>
        </is>
      </c>
      <c r="AG90" t="inlineStr">
        <is>
          <t>ANALYSIS_BASELINE</t>
        </is>
      </c>
      <c r="AH90" t="inlineStr">
        <is>
          <t>PRODUCT</t>
        </is>
      </c>
      <c r="AI90" t="inlineStr">
        <is>
          <t>ACTUAL_USE</t>
        </is>
      </c>
      <c r="AJ90" t="inlineStr">
        <is>
          <t>A</t>
        </is>
      </c>
      <c r="AK90" t="inlineStr">
        <is>
          <t>核心对象：PRODUCT；体验：ACTUAL_USE；证据强度：A。</t>
        </is>
      </c>
      <c r="AL90"/>
      <c r="AM90" t="inlineStr">
        <is>
          <t>ANALYSIS_BASELINE_229.xlsx</t>
        </is>
      </c>
    </row>
    <row r="91" ht="25.5" customHeight="1">
      <c r="A91" t="inlineStr">
        <is>
          <t>JD-20260809-023_ANALYSIS_BASELINE_formal-attempt-0001_AI</t>
        </is>
      </c>
      <c r="B91" t="inlineStr">
        <is>
          <t>色泽诱人，果香与基酒完美融合，入口顺滑，层次丰富，回味悠长，一杯恰到好处的微醺艺术。</t>
        </is>
      </c>
      <c r="C91"/>
      <c r="D91"/>
      <c r="E91"/>
      <c r="F91"/>
      <c r="G91"/>
      <c r="H91"/>
      <c r="I91"/>
      <c r="J91"/>
      <c r="K91"/>
      <c r="L91"/>
      <c r="M91"/>
      <c r="N91"/>
      <c r="O91"/>
      <c r="P91"/>
      <c r="Q91"/>
      <c r="R91"/>
      <c r="S91">
        <v>0.9</v>
      </c>
      <c r="T91" t="inlineStr">
        <is>
          <t>formal-attempt-0001</t>
        </is>
      </c>
      <c r="U91"/>
      <c r="V91"/>
      <c r="W91"/>
      <c r="X91" t="inlineStr">
        <is>
          <t>JD-20260809-023</t>
        </is>
      </c>
      <c r="Y91"/>
      <c r="Z91"/>
      <c r="AA91"/>
      <c r="AB91"/>
      <c r="AC91"/>
      <c r="AD91"/>
      <c r="AE91"/>
      <c r="AF91" t="inlineStr">
        <is>
          <t>AI</t>
        </is>
      </c>
      <c r="AG91" t="inlineStr">
        <is>
          <t>ANALYSIS_BASELINE</t>
        </is>
      </c>
      <c r="AH91" t="inlineStr">
        <is>
          <t>PRODUCT</t>
        </is>
      </c>
      <c r="AI91" t="inlineStr">
        <is>
          <t>UNKNOWN</t>
        </is>
      </c>
      <c r="AJ91" t="inlineStr">
        <is>
          <t>B</t>
        </is>
      </c>
      <c r="AK91" t="inlineStr">
        <is>
          <t>核心对象：PRODUCT；体验：UNKNOWN；证据强度：B。</t>
        </is>
      </c>
      <c r="AL91"/>
      <c r="AM91" t="inlineStr">
        <is>
          <t>ANALYSIS_BASELINE_229.xlsx</t>
        </is>
      </c>
    </row>
    <row r="92" ht="25.5" customHeight="1">
      <c r="A92" t="inlineStr">
        <is>
          <t>JD-20260809-028_ANALYSIS_BASELINE_formal-attempt-0001_AI</t>
        </is>
      </c>
      <c r="B92" t="inlineStr">
        <is>
          <t>这款饮品口感醇厚顺口，甜度恰到好处不腻口，果香浓郁自然。冰镇后饮用口感更佳，清爽解乏，聚餐日常喝都合适，分量足性价比高，全家都很喜欢。</t>
        </is>
      </c>
      <c r="C92"/>
      <c r="D92"/>
      <c r="E92"/>
      <c r="F92"/>
      <c r="G92"/>
      <c r="H92"/>
      <c r="I92"/>
      <c r="J92"/>
      <c r="K92"/>
      <c r="L92"/>
      <c r="M92"/>
      <c r="N92"/>
      <c r="O92"/>
      <c r="P92"/>
      <c r="Q92"/>
      <c r="R92"/>
      <c r="S92">
        <v>0.9</v>
      </c>
      <c r="T92" t="inlineStr">
        <is>
          <t>formal-attempt-0001</t>
        </is>
      </c>
      <c r="U92"/>
      <c r="V92"/>
      <c r="W92"/>
      <c r="X92" t="inlineStr">
        <is>
          <t>JD-20260809-028</t>
        </is>
      </c>
      <c r="Y92"/>
      <c r="Z92"/>
      <c r="AA92"/>
      <c r="AB92"/>
      <c r="AC92"/>
      <c r="AD92"/>
      <c r="AE92"/>
      <c r="AF92" t="inlineStr">
        <is>
          <t>AI</t>
        </is>
      </c>
      <c r="AG92" t="inlineStr">
        <is>
          <t>ANALYSIS_BASELINE</t>
        </is>
      </c>
      <c r="AH92" t="inlineStr">
        <is>
          <t>PRODUCT</t>
        </is>
      </c>
      <c r="AI92" t="inlineStr">
        <is>
          <t>ACTUAL_USE</t>
        </is>
      </c>
      <c r="AJ92" t="inlineStr">
        <is>
          <t>A</t>
        </is>
      </c>
      <c r="AK92" t="inlineStr">
        <is>
          <t>核心对象：PRODUCT；体验：ACTUAL_USE；证据强度：A。</t>
        </is>
      </c>
      <c r="AL92"/>
      <c r="AM92" t="inlineStr">
        <is>
          <t>ANALYSIS_BASELINE_229.xlsx</t>
        </is>
      </c>
    </row>
    <row r="93" ht="25.5" customHeight="1">
      <c r="A93" t="inlineStr">
        <is>
          <t>JD-20260809-031_ANALYSIS_BASELINE_formal-attempt-0001_AI</t>
        </is>
      </c>
      <c r="B93" t="inlineStr">
        <is>
          <t>冰镇后口感更佳，酸甜平衡恰到好处，果香浓郁不腻，搭配轻食很合适。气泡细腻，微醺感明显，适合朋友小聚或独自放松时饮用。包装完好，物流迅速，整体体验满意。</t>
        </is>
      </c>
      <c r="C93"/>
      <c r="D93"/>
      <c r="E93"/>
      <c r="F93"/>
      <c r="G93"/>
      <c r="H93"/>
      <c r="I93"/>
      <c r="J93"/>
      <c r="K93"/>
      <c r="L93"/>
      <c r="M93"/>
      <c r="N93"/>
      <c r="O93"/>
      <c r="P93"/>
      <c r="Q93"/>
      <c r="R93"/>
      <c r="S93">
        <v>0.9</v>
      </c>
      <c r="T93" t="inlineStr">
        <is>
          <t>formal-attempt-0001</t>
        </is>
      </c>
      <c r="U93"/>
      <c r="V93"/>
      <c r="W93"/>
      <c r="X93" t="inlineStr">
        <is>
          <t>JD-20260809-031</t>
        </is>
      </c>
      <c r="Y93"/>
      <c r="Z93"/>
      <c r="AA93"/>
      <c r="AB93"/>
      <c r="AC93"/>
      <c r="AD93"/>
      <c r="AE93"/>
      <c r="AF93" t="inlineStr">
        <is>
          <t>AI</t>
        </is>
      </c>
      <c r="AG93" t="inlineStr">
        <is>
          <t>ANALYSIS_BASELINE</t>
        </is>
      </c>
      <c r="AH93" t="inlineStr">
        <is>
          <t>PRODUCT</t>
        </is>
      </c>
      <c r="AI93" t="inlineStr">
        <is>
          <t>ACTUAL_USE</t>
        </is>
      </c>
      <c r="AJ93" t="inlineStr">
        <is>
          <t>A</t>
        </is>
      </c>
      <c r="AK93" t="inlineStr">
        <is>
          <t>核心对象：PRODUCT；体验：ACTUAL_USE；证据强度：A。</t>
        </is>
      </c>
      <c r="AL93"/>
      <c r="AM93" t="inlineStr">
        <is>
          <t>ANALYSIS_BASELINE_229.xlsx</t>
        </is>
      </c>
    </row>
    <row r="94" ht="25.5" customHeight="1">
      <c r="A94" t="inlineStr">
        <is>
          <t>JD-20260809-034_ANALYSIS_BASELINE_formal-attempt-0001_AI</t>
        </is>
      </c>
      <c r="B94" t="inlineStr">
        <is>
          <t>口味不对，太甜了。甜得有点过分了！</t>
        </is>
      </c>
      <c r="C94"/>
      <c r="D94"/>
      <c r="E94"/>
      <c r="F94"/>
      <c r="G94"/>
      <c r="H94"/>
      <c r="I94"/>
      <c r="J94"/>
      <c r="K94"/>
      <c r="L94"/>
      <c r="M94"/>
      <c r="N94"/>
      <c r="O94"/>
      <c r="P94"/>
      <c r="Q94"/>
      <c r="R94"/>
      <c r="S94">
        <v>0.9</v>
      </c>
      <c r="T94" t="inlineStr">
        <is>
          <t>formal-attempt-0001</t>
        </is>
      </c>
      <c r="U94"/>
      <c r="V94"/>
      <c r="W94"/>
      <c r="X94" t="inlineStr">
        <is>
          <t>JD-20260809-034</t>
        </is>
      </c>
      <c r="Y94"/>
      <c r="Z94"/>
      <c r="AA94"/>
      <c r="AB94"/>
      <c r="AC94"/>
      <c r="AD94"/>
      <c r="AE94"/>
      <c r="AF94" t="inlineStr">
        <is>
          <t>AI</t>
        </is>
      </c>
      <c r="AG94" t="inlineStr">
        <is>
          <t>ANALYSIS_BASELINE</t>
        </is>
      </c>
      <c r="AH94" t="inlineStr">
        <is>
          <t>PRODUCT</t>
        </is>
      </c>
      <c r="AI94" t="inlineStr">
        <is>
          <t>ACTUAL_USE</t>
        </is>
      </c>
      <c r="AJ94" t="inlineStr">
        <is>
          <t>C</t>
        </is>
      </c>
      <c r="AK94" t="inlineStr">
        <is>
          <t>核心对象：PRODUCT；体验：ACTUAL_USE；证据强度：C。</t>
        </is>
      </c>
      <c r="AL94"/>
      <c r="AM94" t="inlineStr">
        <is>
          <t>ANALYSIS_BASELINE_229.xlsx</t>
        </is>
      </c>
    </row>
    <row r="95" ht="25.5" customHeight="1">
      <c r="A95" t="inlineStr">
        <is>
          <t>JD-20260809-036_ANALYSIS_BASELINE_formal-attempt-0001_AI</t>
        </is>
      </c>
      <c r="B95" t="inlineStr">
        <is>
          <t>冰梅酒是夏日微醺的绝佳伴侣。它完美融合了青梅的天然酸甜与酒的醇厚，口感清新顺滑，冰镇后更显沁爽。无论是朋友小聚还是独自小酌，一杯冰梅酒都能瞬间拉满氛围感，带来恰到好处的松弛与惬意。</t>
        </is>
      </c>
      <c r="C95"/>
      <c r="D95"/>
      <c r="E95"/>
      <c r="F95"/>
      <c r="G95"/>
      <c r="H95"/>
      <c r="I95"/>
      <c r="J95"/>
      <c r="K95"/>
      <c r="L95"/>
      <c r="M95"/>
      <c r="N95"/>
      <c r="O95"/>
      <c r="P95"/>
      <c r="Q95"/>
      <c r="R95"/>
      <c r="S95">
        <v>0.9</v>
      </c>
      <c r="T95" t="inlineStr">
        <is>
          <t>formal-attempt-0001</t>
        </is>
      </c>
      <c r="U95"/>
      <c r="V95"/>
      <c r="W95"/>
      <c r="X95" t="inlineStr">
        <is>
          <t>JD-20260809-036</t>
        </is>
      </c>
      <c r="Y95"/>
      <c r="Z95"/>
      <c r="AA95"/>
      <c r="AB95"/>
      <c r="AC95"/>
      <c r="AD95"/>
      <c r="AE95"/>
      <c r="AF95" t="inlineStr">
        <is>
          <t>AI</t>
        </is>
      </c>
      <c r="AG95" t="inlineStr">
        <is>
          <t>ANALYSIS_BASELINE</t>
        </is>
      </c>
      <c r="AH95" t="inlineStr">
        <is>
          <t>PRODUCT</t>
        </is>
      </c>
      <c r="AI95" t="inlineStr">
        <is>
          <t>UNKNOWN</t>
        </is>
      </c>
      <c r="AJ95" t="inlineStr">
        <is>
          <t>B</t>
        </is>
      </c>
      <c r="AK95" t="inlineStr">
        <is>
          <t>核心对象：PRODUCT；体验：UNKNOWN；证据强度：B。</t>
        </is>
      </c>
      <c r="AL95"/>
      <c r="AM95" t="inlineStr">
        <is>
          <t>ANALYSIS_BASELINE_229.xlsx</t>
        </is>
      </c>
    </row>
    <row r="96" ht="25.5" customHeight="1">
      <c r="A96" t="inlineStr">
        <is>
          <t>JD-20260809-048_ANALYSIS_BASELINE_formal-attempt-0001_AI</t>
        </is>
      </c>
      <c r="B96" t="inlineStr">
        <is>
          <t>哦，我想死了，喝了吧，有10 年8年了吧，非常喜欢这个味道，之前喝的是柠檬口味，现在最喜欢苹果口味，强爽比那个其他系列也都要好喝 八度的一罐刚刚好能达到微醺的状态</t>
        </is>
      </c>
      <c r="C96"/>
      <c r="D96"/>
      <c r="E96"/>
      <c r="F96"/>
      <c r="G96"/>
      <c r="H96"/>
      <c r="I96"/>
      <c r="J96"/>
      <c r="K96"/>
      <c r="L96"/>
      <c r="M96"/>
      <c r="N96"/>
      <c r="O96"/>
      <c r="P96"/>
      <c r="Q96"/>
      <c r="R96"/>
      <c r="S96">
        <v>0.7</v>
      </c>
      <c r="T96" t="inlineStr">
        <is>
          <t>formal-attempt-0001</t>
        </is>
      </c>
      <c r="U96"/>
      <c r="V96"/>
      <c r="W96"/>
      <c r="X96" t="inlineStr">
        <is>
          <t>JD-20260809-048</t>
        </is>
      </c>
      <c r="Y96"/>
      <c r="Z96"/>
      <c r="AA96"/>
      <c r="AB96"/>
      <c r="AC96"/>
      <c r="AD96"/>
      <c r="AE96"/>
      <c r="AF96" t="inlineStr">
        <is>
          <t>AI</t>
        </is>
      </c>
      <c r="AG96" t="inlineStr">
        <is>
          <t>ANALYSIS_BASELINE</t>
        </is>
      </c>
      <c r="AH96" t="inlineStr">
        <is>
          <t>PRODUCT</t>
        </is>
      </c>
      <c r="AI96" t="inlineStr">
        <is>
          <t>ACTUAL_USE</t>
        </is>
      </c>
      <c r="AJ96" t="inlineStr">
        <is>
          <t>A</t>
        </is>
      </c>
      <c r="AK96" t="inlineStr">
        <is>
          <t>核心对象：PRODUCT；体验：ACTUAL_USE；证据强度：A。</t>
        </is>
      </c>
      <c r="AL96"/>
      <c r="AM96" t="inlineStr">
        <is>
          <t>ANALYSIS_BASELINE_229.xlsx</t>
        </is>
      </c>
    </row>
    <row r="97" ht="25.5" customHeight="1">
      <c r="A97" t="inlineStr">
        <is>
          <t>TB-20260809-001_ANALYSIS_BASELINE_formal-attempt-0001_AI</t>
        </is>
      </c>
      <c r="B97" t="inlineStr">
        <is>
          <t>买的俏雅梅子酒收到啦，包装挺严实的，玻璃瓶没破损。度数不高，平时在家小酌刚好，酸甜口很开胃～物流也快，两天就到了，满意～</t>
        </is>
      </c>
      <c r="C97"/>
      <c r="D97"/>
      <c r="E97"/>
      <c r="F97"/>
      <c r="G97"/>
      <c r="H97"/>
      <c r="I97"/>
      <c r="J97"/>
      <c r="K97"/>
      <c r="L97"/>
      <c r="M97"/>
      <c r="N97"/>
      <c r="O97"/>
      <c r="P97"/>
      <c r="Q97"/>
      <c r="R97"/>
      <c r="S97">
        <v>0.7</v>
      </c>
      <c r="T97" t="inlineStr">
        <is>
          <t>formal-attempt-0001</t>
        </is>
      </c>
      <c r="U97"/>
      <c r="V97"/>
      <c r="W97"/>
      <c r="X97" t="inlineStr">
        <is>
          <t>TB-20260809-001</t>
        </is>
      </c>
      <c r="Y97"/>
      <c r="Z97"/>
      <c r="AA97"/>
      <c r="AB97"/>
      <c r="AC97"/>
      <c r="AD97"/>
      <c r="AE97"/>
      <c r="AF97" t="inlineStr">
        <is>
          <t>AI</t>
        </is>
      </c>
      <c r="AG97" t="inlineStr">
        <is>
          <t>ANALYSIS_BASELINE</t>
        </is>
      </c>
      <c r="AH97" t="inlineStr">
        <is>
          <t>SERVICE</t>
        </is>
      </c>
      <c r="AI97" t="inlineStr">
        <is>
          <t>PURCHASE_ONLY</t>
        </is>
      </c>
      <c r="AJ97" t="inlineStr">
        <is>
          <t>A</t>
        </is>
      </c>
      <c r="AK97" t="inlineStr">
        <is>
          <t>核心对象：SERVICE；体验：PURCHASE_ONLY；证据强度：A。</t>
        </is>
      </c>
      <c r="AL97"/>
      <c r="AM97" t="inlineStr">
        <is>
          <t>ANALYSIS_BASELINE_229.xlsx</t>
        </is>
      </c>
    </row>
    <row r="98" ht="25.5" customHeight="1">
      <c r="A98" t="inlineStr">
        <is>
          <t>TB-20260809-006_ANALYSIS_BASELINE_formal-attempt-0001_AI</t>
        </is>
      </c>
      <c r="B98" t="inlineStr">
        <is>
          <t>这款口感很好，梅子也好吃，每天一小杯，微醺。</t>
        </is>
      </c>
      <c r="C98"/>
      <c r="D98"/>
      <c r="E98"/>
      <c r="F98"/>
      <c r="G98"/>
      <c r="H98"/>
      <c r="I98"/>
      <c r="J98"/>
      <c r="K98"/>
      <c r="L98"/>
      <c r="M98"/>
      <c r="N98"/>
      <c r="O98"/>
      <c r="P98"/>
      <c r="Q98"/>
      <c r="R98"/>
      <c r="S98">
        <v>0.7</v>
      </c>
      <c r="T98" t="inlineStr">
        <is>
          <t>formal-attempt-0001</t>
        </is>
      </c>
      <c r="U98"/>
      <c r="V98"/>
      <c r="W98"/>
      <c r="X98" t="inlineStr">
        <is>
          <t>TB-20260809-006</t>
        </is>
      </c>
      <c r="Y98"/>
      <c r="Z98"/>
      <c r="AA98"/>
      <c r="AB98"/>
      <c r="AC98"/>
      <c r="AD98"/>
      <c r="AE98"/>
      <c r="AF98" t="inlineStr">
        <is>
          <t>AI</t>
        </is>
      </c>
      <c r="AG98" t="inlineStr">
        <is>
          <t>ANALYSIS_BASELINE</t>
        </is>
      </c>
      <c r="AH98" t="inlineStr">
        <is>
          <t>PRODUCT</t>
        </is>
      </c>
      <c r="AI98" t="inlineStr">
        <is>
          <t>ACTUAL_USE</t>
        </is>
      </c>
      <c r="AJ98" t="inlineStr">
        <is>
          <t>B</t>
        </is>
      </c>
      <c r="AK98" t="inlineStr">
        <is>
          <t>核心对象：PRODUCT；体验：ACTUAL_USE；证据强度：B。</t>
        </is>
      </c>
      <c r="AL98"/>
      <c r="AM98" t="inlineStr">
        <is>
          <t>ANALYSIS_BASELINE_229.xlsx</t>
        </is>
      </c>
    </row>
    <row r="99" ht="25.5" customHeight="1">
      <c r="A99" t="inlineStr">
        <is>
          <t>TB-20260809-009_ANALYSIS_BASELINE_formal-attempt-0001_AI</t>
        </is>
      </c>
      <c r="B99" t="inlineStr">
        <is>
          <t>清爽好入口，不知不觉就会喝多了，晚上微醺最适合</t>
        </is>
      </c>
      <c r="C99"/>
      <c r="D99"/>
      <c r="E99"/>
      <c r="F99"/>
      <c r="G99"/>
      <c r="H99"/>
      <c r="I99"/>
      <c r="J99"/>
      <c r="K99"/>
      <c r="L99"/>
      <c r="M99"/>
      <c r="N99"/>
      <c r="O99"/>
      <c r="P99"/>
      <c r="Q99"/>
      <c r="R99"/>
      <c r="S99">
        <v>0.7</v>
      </c>
      <c r="T99" t="inlineStr">
        <is>
          <t>formal-attempt-0001</t>
        </is>
      </c>
      <c r="U99"/>
      <c r="V99"/>
      <c r="W99"/>
      <c r="X99" t="inlineStr">
        <is>
          <t>TB-20260809-009</t>
        </is>
      </c>
      <c r="Y99"/>
      <c r="Z99"/>
      <c r="AA99"/>
      <c r="AB99"/>
      <c r="AC99"/>
      <c r="AD99"/>
      <c r="AE99"/>
      <c r="AF99" t="inlineStr">
        <is>
          <t>AI</t>
        </is>
      </c>
      <c r="AG99" t="inlineStr">
        <is>
          <t>ANALYSIS_BASELINE</t>
        </is>
      </c>
      <c r="AH99" t="inlineStr">
        <is>
          <t>SCENE</t>
        </is>
      </c>
      <c r="AI99" t="inlineStr">
        <is>
          <t>ACTUAL_USE</t>
        </is>
      </c>
      <c r="AJ99" t="inlineStr">
        <is>
          <t>B</t>
        </is>
      </c>
      <c r="AK99" t="inlineStr">
        <is>
          <t>核心对象：SCENE；体验：ACTUAL_USE；证据强度：B。</t>
        </is>
      </c>
      <c r="AL99"/>
      <c r="AM99" t="inlineStr">
        <is>
          <t>ANALYSIS_BASELINE_229.xlsx</t>
        </is>
      </c>
    </row>
    <row r="100" ht="25.5" customHeight="1">
      <c r="A100" t="inlineStr">
        <is>
          <t>TB-20260809-011_ANALYSIS_BASELINE_formal-attempt-0001_AI</t>
        </is>
      </c>
      <c r="B100" t="inlineStr">
        <is>
          <t>好喝，可能是我不常喝酒的原因第一次喝的有点猛了喝完脸热发晕过了一会就好了，第二次喝就是脸有点热，反正挺好喝的</t>
        </is>
      </c>
      <c r="C100"/>
      <c r="D100"/>
      <c r="E100"/>
      <c r="F100"/>
      <c r="G100"/>
      <c r="H100"/>
      <c r="I100"/>
      <c r="J100"/>
      <c r="K100"/>
      <c r="L100"/>
      <c r="M100"/>
      <c r="N100"/>
      <c r="O100"/>
      <c r="P100"/>
      <c r="Q100"/>
      <c r="R100"/>
      <c r="S100">
        <v>0.9</v>
      </c>
      <c r="T100" t="inlineStr">
        <is>
          <t>formal-attempt-0001</t>
        </is>
      </c>
      <c r="U100"/>
      <c r="V100"/>
      <c r="W100"/>
      <c r="X100" t="inlineStr">
        <is>
          <t>TB-20260809-011</t>
        </is>
      </c>
      <c r="Y100"/>
      <c r="Z100"/>
      <c r="AA100"/>
      <c r="AB100"/>
      <c r="AC100"/>
      <c r="AD100"/>
      <c r="AE100"/>
      <c r="AF100" t="inlineStr">
        <is>
          <t>AI</t>
        </is>
      </c>
      <c r="AG100" t="inlineStr">
        <is>
          <t>ANALYSIS_BASELINE</t>
        </is>
      </c>
      <c r="AH100" t="inlineStr">
        <is>
          <t>SCENE</t>
        </is>
      </c>
      <c r="AI100" t="inlineStr">
        <is>
          <t>ACTUAL_USE</t>
        </is>
      </c>
      <c r="AJ100" t="inlineStr">
        <is>
          <t>A</t>
        </is>
      </c>
      <c r="AK100" t="inlineStr">
        <is>
          <t>核心对象：SCENE；体验：ACTUAL_USE；证据强度：A。</t>
        </is>
      </c>
      <c r="AL100"/>
      <c r="AM100" t="inlineStr">
        <is>
          <t>ANALYSIS_BASELINE_229.xlsx</t>
        </is>
      </c>
    </row>
    <row r="101" ht="25.5" customHeight="1">
      <c r="A101" t="inlineStr">
        <is>
          <t>TB-20260809-013_ANALYSIS_BASELINE_formal-attempt-0001_AI</t>
        </is>
      </c>
      <c r="B101" t="inlineStr">
        <is>
          <t>配料健康 整体评价：给到一个夯 包装品质：天猫包装特别好 口感味道：冰镇后口感极佳</t>
        </is>
      </c>
      <c r="C101"/>
      <c r="D101"/>
      <c r="E101"/>
      <c r="F101"/>
      <c r="G101"/>
      <c r="H101"/>
      <c r="I101"/>
      <c r="J101"/>
      <c r="K101"/>
      <c r="L101"/>
      <c r="M101"/>
      <c r="N101"/>
      <c r="O101"/>
      <c r="P101"/>
      <c r="Q101"/>
      <c r="R101"/>
      <c r="S101">
        <v>0.9</v>
      </c>
      <c r="T101" t="inlineStr">
        <is>
          <t>formal-attempt-0001</t>
        </is>
      </c>
      <c r="U101"/>
      <c r="V101"/>
      <c r="W101"/>
      <c r="X101" t="inlineStr">
        <is>
          <t>TB-20260809-013</t>
        </is>
      </c>
      <c r="Y101"/>
      <c r="Z101"/>
      <c r="AA101"/>
      <c r="AB101"/>
      <c r="AC101"/>
      <c r="AD101"/>
      <c r="AE101"/>
      <c r="AF101" t="inlineStr">
        <is>
          <t>AI</t>
        </is>
      </c>
      <c r="AG101" t="inlineStr">
        <is>
          <t>ANALYSIS_BASELINE</t>
        </is>
      </c>
      <c r="AH101" t="inlineStr">
        <is>
          <t>PRODUCT</t>
        </is>
      </c>
      <c r="AI101" t="inlineStr">
        <is>
          <t>ACTUAL_USE</t>
        </is>
      </c>
      <c r="AJ101" t="inlineStr">
        <is>
          <t>B</t>
        </is>
      </c>
      <c r="AK101" t="inlineStr">
        <is>
          <t>核心对象：PRODUCT；体验：ACTUAL_USE；证据强度：B。</t>
        </is>
      </c>
      <c r="AL101"/>
      <c r="AM101" t="inlineStr">
        <is>
          <t>ANALYSIS_BASELINE_229.xlsx</t>
        </is>
      </c>
    </row>
    <row r="102" ht="25.5" customHeight="1">
      <c r="A102" t="inlineStr">
        <is>
          <t>TB-20260809-017_ANALYSIS_BASELINE_formal-attempt-0001_AI</t>
        </is>
      </c>
      <c r="B102" t="inlineStr">
        <is>
          <t>很好喝的rio强爽鸡尾酒，口感很好，后劲很足，喝起来很舒服！</t>
        </is>
      </c>
      <c r="C102"/>
      <c r="D102"/>
      <c r="E102"/>
      <c r="F102"/>
      <c r="G102"/>
      <c r="H102"/>
      <c r="I102"/>
      <c r="J102"/>
      <c r="K102"/>
      <c r="L102"/>
      <c r="M102"/>
      <c r="N102"/>
      <c r="O102"/>
      <c r="P102"/>
      <c r="Q102"/>
      <c r="R102"/>
      <c r="S102">
        <v>0.9</v>
      </c>
      <c r="T102" t="inlineStr">
        <is>
          <t>formal-attempt-0001</t>
        </is>
      </c>
      <c r="U102"/>
      <c r="V102"/>
      <c r="W102"/>
      <c r="X102" t="inlineStr">
        <is>
          <t>TB-20260809-017</t>
        </is>
      </c>
      <c r="Y102"/>
      <c r="Z102"/>
      <c r="AA102"/>
      <c r="AB102"/>
      <c r="AC102"/>
      <c r="AD102"/>
      <c r="AE102"/>
      <c r="AF102" t="inlineStr">
        <is>
          <t>AI</t>
        </is>
      </c>
      <c r="AG102" t="inlineStr">
        <is>
          <t>ANALYSIS_BASELINE</t>
        </is>
      </c>
      <c r="AH102" t="inlineStr">
        <is>
          <t>PRODUCT</t>
        </is>
      </c>
      <c r="AI102" t="inlineStr">
        <is>
          <t>ACTUAL_USE</t>
        </is>
      </c>
      <c r="AJ102" t="inlineStr">
        <is>
          <t>B</t>
        </is>
      </c>
      <c r="AK102" t="inlineStr">
        <is>
          <t>核心对象：产品口感与饮用感受；体验：原文直接评价口感、后劲和饮用感受，判为 ACTUAL_USE；证据强度：评价对象和判断明确，但缺少具体情境，判为 B。</t>
        </is>
      </c>
      <c r="AL102"/>
      <c r="AM102" t="inlineStr">
        <is>
          <t>ANALYSIS_BASELINE_229.xlsx</t>
        </is>
      </c>
    </row>
    <row r="103" ht="25.5" customHeight="1">
      <c r="A103" t="inlineStr">
        <is>
          <t>TB-20260809-022_ANALYSIS_BASELINE_formal-attempt-0001_AI</t>
        </is>
      </c>
      <c r="B103" t="inlineStr">
        <is>
          <t>一个不爱喝酒的人士第一次主动买了酒来尝尝，一下就给我尝到味了，虽说是青梅酒，但不像其他的喝着没啥酒味，这个是酸甜适度，也有酒的涩，综合起来很平衡，纯喝或者调一点冰红茶都挺好喝的，现在一到周末就会小酌一杯🥃</t>
        </is>
      </c>
      <c r="C103"/>
      <c r="D103"/>
      <c r="E103"/>
      <c r="F103"/>
      <c r="G103"/>
      <c r="H103"/>
      <c r="I103"/>
      <c r="J103"/>
      <c r="K103"/>
      <c r="L103"/>
      <c r="M103"/>
      <c r="N103"/>
      <c r="O103"/>
      <c r="P103"/>
      <c r="Q103"/>
      <c r="R103"/>
      <c r="S103">
        <v>0.9</v>
      </c>
      <c r="T103" t="inlineStr">
        <is>
          <t>formal-attempt-0001</t>
        </is>
      </c>
      <c r="U103"/>
      <c r="V103"/>
      <c r="W103"/>
      <c r="X103" t="inlineStr">
        <is>
          <t>TB-20260809-022</t>
        </is>
      </c>
      <c r="Y103"/>
      <c r="Z103"/>
      <c r="AA103"/>
      <c r="AB103"/>
      <c r="AC103"/>
      <c r="AD103"/>
      <c r="AE103"/>
      <c r="AF103" t="inlineStr">
        <is>
          <t>AI</t>
        </is>
      </c>
      <c r="AG103" t="inlineStr">
        <is>
          <t>ANALYSIS_BASELINE</t>
        </is>
      </c>
      <c r="AH103" t="inlineStr">
        <is>
          <t>PRODUCT</t>
        </is>
      </c>
      <c r="AI103" t="inlineStr">
        <is>
          <t>ACTUAL_USE</t>
        </is>
      </c>
      <c r="AJ103" t="inlineStr">
        <is>
          <t>A</t>
        </is>
      </c>
      <c r="AK103" t="inlineStr">
        <is>
          <t>核心对象：产品口味与调饮体验；体验：明确主动购买、尝饮并周末小酌，判为 ACTUAL_USE；证据强度：有酸甜、酒涩、平衡及冰红茶调饮等具体判断，信息链完整，判为 A。</t>
        </is>
      </c>
      <c r="AL103"/>
      <c r="AM103" t="inlineStr">
        <is>
          <t>ANALYSIS_BASELINE_229.xlsx</t>
        </is>
      </c>
    </row>
    <row r="104" ht="25.5" customHeight="1">
      <c r="A104" t="inlineStr">
        <is>
          <t>TB-20260809-025_ANALYSIS_BASELINE_formal-attempt-0001_AI</t>
        </is>
      </c>
      <c r="B104" t="inlineStr">
        <is>
          <t>味道挺正，像黄酒，不是那种伏特加，不上头，不呛扣，还想尝试一下另外一种，</t>
        </is>
      </c>
      <c r="C104"/>
      <c r="D104"/>
      <c r="E104"/>
      <c r="F104"/>
      <c r="G104"/>
      <c r="H104"/>
      <c r="I104"/>
      <c r="J104"/>
      <c r="K104"/>
      <c r="L104"/>
      <c r="M104"/>
      <c r="N104"/>
      <c r="O104"/>
      <c r="P104"/>
      <c r="Q104"/>
      <c r="R104"/>
      <c r="S104">
        <v>0.9</v>
      </c>
      <c r="T104" t="inlineStr">
        <is>
          <t>formal-attempt-0001</t>
        </is>
      </c>
      <c r="U104"/>
      <c r="V104"/>
      <c r="W104"/>
      <c r="X104" t="inlineStr">
        <is>
          <t>TB-20260809-025</t>
        </is>
      </c>
      <c r="Y104"/>
      <c r="Z104"/>
      <c r="AA104"/>
      <c r="AB104"/>
      <c r="AC104"/>
      <c r="AD104"/>
      <c r="AE104"/>
      <c r="AF104" t="inlineStr">
        <is>
          <t>AI</t>
        </is>
      </c>
      <c r="AG104" t="inlineStr">
        <is>
          <t>ANALYSIS_BASELINE</t>
        </is>
      </c>
      <c r="AH104" t="inlineStr">
        <is>
          <t>PRODUCT</t>
        </is>
      </c>
      <c r="AI104" t="inlineStr">
        <is>
          <t>ACTUAL_USE</t>
        </is>
      </c>
      <c r="AJ104" t="inlineStr">
        <is>
          <t>B</t>
        </is>
      </c>
      <c r="AK104" t="inlineStr">
        <is>
          <t>核心对象：产品口感与酒精感；体验：有直接口味和饮用感受判断，判为 ACTUAL_USE；证据强度：有黄酒、伏特加对照及不呛口等具体判断，但缺少明确情境，判为 B。</t>
        </is>
      </c>
      <c r="AL104"/>
      <c r="AM104" t="inlineStr">
        <is>
          <t>ANALYSIS_BASELINE_229.xlsx</t>
        </is>
      </c>
    </row>
    <row r="105" ht="25.5" customHeight="1">
      <c r="A105" t="inlineStr">
        <is>
          <t>TB-20260809-027_ANALYSIS_BASELINE_formal-attempt-0001_AI</t>
        </is>
      </c>
      <c r="B105" t="inlineStr">
        <is>
          <t>四个放在一起好可爱，右一是端庄的梅子酒味道，右二高度数的口味重，昆竹低糖略涩口，梅子味重，左一低糖味道更干净；除了高度数，我觉得都不错；</t>
        </is>
      </c>
      <c r="C105"/>
      <c r="D105"/>
      <c r="E105"/>
      <c r="F105"/>
      <c r="G105"/>
      <c r="H105"/>
      <c r="I105"/>
      <c r="J105"/>
      <c r="K105"/>
      <c r="L105"/>
      <c r="M105"/>
      <c r="N105"/>
      <c r="O105"/>
      <c r="P105"/>
      <c r="Q105"/>
      <c r="R105"/>
      <c r="S105">
        <v>0.9</v>
      </c>
      <c r="T105" t="inlineStr">
        <is>
          <t>formal-attempt-0001</t>
        </is>
      </c>
      <c r="U105"/>
      <c r="V105"/>
      <c r="W105"/>
      <c r="X105" t="inlineStr">
        <is>
          <t>TB-20260809-027</t>
        </is>
      </c>
      <c r="Y105"/>
      <c r="Z105"/>
      <c r="AA105"/>
      <c r="AB105"/>
      <c r="AC105"/>
      <c r="AD105"/>
      <c r="AE105"/>
      <c r="AF105" t="inlineStr">
        <is>
          <t>AI</t>
        </is>
      </c>
      <c r="AG105" t="inlineStr">
        <is>
          <t>ANALYSIS_BASELINE</t>
        </is>
      </c>
      <c r="AH105" t="inlineStr">
        <is>
          <t>PRODUCT</t>
        </is>
      </c>
      <c r="AI105" t="inlineStr">
        <is>
          <t>ACTUAL_USE</t>
        </is>
      </c>
      <c r="AJ105" t="inlineStr">
        <is>
          <t>A</t>
        </is>
      </c>
      <c r="AK105" t="inlineStr">
        <is>
          <t>核心对象：多种产品的口味差异；体验：直接比较多种口味并给出饮用感受，判为 ACTUAL_USE；证据强度：包含多种口味、甜度、涩感和总体判断，信息链完整，判为 A。</t>
        </is>
      </c>
      <c r="AL105"/>
      <c r="AM105" t="inlineStr">
        <is>
          <t>ANALYSIS_BASELINE_229.xlsx</t>
        </is>
      </c>
    </row>
    <row r="106" ht="25.5" customHeight="1">
      <c r="A106" t="inlineStr">
        <is>
          <t>TB-20260809-028_ANALYSIS_BASELINE_formal-attempt-0001_AI</t>
        </is>
      </c>
      <c r="B106" t="inlineStr">
        <is>
          <t>青梅酒，第一次买这个品牌的，尝尝鲜试一试味道。果然是酒，不是果汁哈。有一定度数。</t>
        </is>
      </c>
      <c r="C106"/>
      <c r="D106"/>
      <c r="E106"/>
      <c r="F106"/>
      <c r="G106"/>
      <c r="H106"/>
      <c r="I106"/>
      <c r="J106"/>
      <c r="K106"/>
      <c r="L106"/>
      <c r="M106"/>
      <c r="N106"/>
      <c r="O106"/>
      <c r="P106"/>
      <c r="Q106"/>
      <c r="R106"/>
      <c r="S106">
        <v>0.9</v>
      </c>
      <c r="T106" t="inlineStr">
        <is>
          <t>formal-attempt-0001</t>
        </is>
      </c>
      <c r="U106"/>
      <c r="V106"/>
      <c r="W106"/>
      <c r="X106" t="inlineStr">
        <is>
          <t>TB-20260809-028</t>
        </is>
      </c>
      <c r="Y106"/>
      <c r="Z106"/>
      <c r="AA106"/>
      <c r="AB106"/>
      <c r="AC106"/>
      <c r="AD106"/>
      <c r="AE106"/>
      <c r="AF106" t="inlineStr">
        <is>
          <t>AI</t>
        </is>
      </c>
      <c r="AG106" t="inlineStr">
        <is>
          <t>ANALYSIS_BASELINE</t>
        </is>
      </c>
      <c r="AH106" t="inlineStr">
        <is>
          <t>PRODUCT</t>
        </is>
      </c>
      <c r="AI106" t="inlineStr">
        <is>
          <t>PURCHASE_ONLY</t>
        </is>
      </c>
      <c r="AJ106" t="inlineStr">
        <is>
          <t>C</t>
        </is>
      </c>
      <c r="AK106" t="inlineStr">
        <is>
          <t>核心对象：产品的酒精度与产品属性；体验：明示第一次购买但未说明已饮用，判为 PURCHASE_ONLY；证据强度：有购买事实和有一定度数的判断，但信息量有限，判为 C。</t>
        </is>
      </c>
      <c r="AL106"/>
      <c r="AM106" t="inlineStr">
        <is>
          <t>ANALYSIS_BASELINE_229.xlsx</t>
        </is>
      </c>
    </row>
    <row r="107" ht="25.5" customHeight="1">
      <c r="A107" t="inlineStr">
        <is>
          <t>JD-20260809-032_ANALYSIS_BASELINE_formal-attempt-0001_AI</t>
        </is>
      </c>
      <c r="B107" t="inlineStr">
        <is>
          <t>小瓶感觉瓶子的包装颜色不太对，但是味道还可以</t>
        </is>
      </c>
      <c r="C107"/>
      <c r="D107"/>
      <c r="E107"/>
      <c r="F107"/>
      <c r="G107"/>
      <c r="H107"/>
      <c r="I107"/>
      <c r="J107"/>
      <c r="K107"/>
      <c r="L107"/>
      <c r="M107"/>
      <c r="N107"/>
      <c r="O107"/>
      <c r="P107"/>
      <c r="Q107"/>
      <c r="R107"/>
      <c r="S107">
        <v>0.9</v>
      </c>
      <c r="T107" t="inlineStr">
        <is>
          <t>formal-attempt-0001</t>
        </is>
      </c>
      <c r="U107"/>
      <c r="V107"/>
      <c r="W107"/>
      <c r="X107" t="inlineStr">
        <is>
          <t>JD-20260809-032</t>
        </is>
      </c>
      <c r="Y107"/>
      <c r="Z107"/>
      <c r="AA107"/>
      <c r="AB107"/>
      <c r="AC107"/>
      <c r="AD107"/>
      <c r="AE107"/>
      <c r="AF107" t="inlineStr">
        <is>
          <t>AI</t>
        </is>
      </c>
      <c r="AG107" t="inlineStr">
        <is>
          <t>ANALYSIS_BASELINE</t>
        </is>
      </c>
      <c r="AH107" t="inlineStr">
        <is>
          <t>PRODUCT</t>
        </is>
      </c>
      <c r="AI107" t="inlineStr">
        <is>
          <t>ACTUAL_USE</t>
        </is>
      </c>
      <c r="AJ107" t="inlineStr">
        <is>
          <t>B</t>
        </is>
      </c>
      <c r="AK107" t="inlineStr">
        <is>
          <t>核心对象：产品包装与口味；体验：直接评价包装颜色和味道，判为 ACTUAL_USE；证据强度：评价对象和判断明确，但缺少具体情境与依据，判为 B。</t>
        </is>
      </c>
      <c r="AL107"/>
      <c r="AM107" t="inlineStr">
        <is>
          <t>ANALYSIS_BASELINE_229.xlsx</t>
        </is>
      </c>
    </row>
    <row r="108" ht="25.5" customHeight="1">
      <c r="A108" t="inlineStr">
        <is>
          <t>JD-20260809-042_ANALYSIS_BASELINE_formal-attempt-0001_AI</t>
        </is>
      </c>
      <c r="B108" t="inlineStr">
        <is>
          <t>这款青梅酒，之前喝过普通版本的，口感还不错，这次买了白金版回来试试，说是本格梅酒级别的
美中不足的是，收到货箱子是受潮发霉的，一股浓浓的霉味，原本想朋友送礼的，看来只能打开自己喝了，不能送人用了，平台应该加强包装吧，如果有包装受损或瑕疵，应该提前告知</t>
        </is>
      </c>
      <c r="C108"/>
      <c r="D108"/>
      <c r="E108"/>
      <c r="F108"/>
      <c r="G108"/>
      <c r="H108"/>
      <c r="I108"/>
      <c r="J108"/>
      <c r="K108"/>
      <c r="L108"/>
      <c r="M108"/>
      <c r="N108"/>
      <c r="O108"/>
      <c r="P108"/>
      <c r="Q108"/>
      <c r="R108"/>
      <c r="S108">
        <v>0.9</v>
      </c>
      <c r="T108" t="inlineStr">
        <is>
          <t>formal-attempt-0001</t>
        </is>
      </c>
      <c r="U108"/>
      <c r="V108"/>
      <c r="W108"/>
      <c r="X108" t="inlineStr">
        <is>
          <t>JD-20260809-042</t>
        </is>
      </c>
      <c r="Y108"/>
      <c r="Z108"/>
      <c r="AA108"/>
      <c r="AB108"/>
      <c r="AC108"/>
      <c r="AD108"/>
      <c r="AE108"/>
      <c r="AF108" t="inlineStr">
        <is>
          <t>AI</t>
        </is>
      </c>
      <c r="AG108" t="inlineStr">
        <is>
          <t>ANALYSIS_BASELINE</t>
        </is>
      </c>
      <c r="AH108" t="inlineStr">
        <is>
          <t>SERVICE</t>
        </is>
      </c>
      <c r="AI108" t="inlineStr">
        <is>
          <t>PURCHASE_ONLY</t>
        </is>
      </c>
      <c r="AJ108" t="inlineStr">
        <is>
          <t>A</t>
        </is>
      </c>
      <c r="AK108" t="inlineStr">
        <is>
          <t>核心对象：购买配送与包装服务；体验：明示购买白金版但未说明已饮用，判为 PURCHASE_ONLY；证据强度：具体说明受潮发霉、霉味、送礼受阻及包装改进诉求，信息链完整，判为 A。</t>
        </is>
      </c>
      <c r="AL108"/>
      <c r="AM108" t="inlineStr">
        <is>
          <t>ANALYSIS_BASELINE_229.xlsx</t>
        </is>
      </c>
    </row>
    <row r="109" ht="25.5" customHeight="1">
      <c r="A109" t="inlineStr">
        <is>
          <t>JD-20260809-045_ANALYSIS_BASELINE_formal-attempt-0001_AI</t>
        </is>
      </c>
      <c r="B109" t="inlineStr">
        <is>
          <t>.RI0锐澳鸡尾酒，买的整箱混合口味的，本来打算送人的，但是只用泡沫箱装的，没有外包装箱，就自己喝了，0糖无负担，口感清爽易入口，微醺感恰到好处，适合健康控糖人群，是聚会小酌的不二之选</t>
        </is>
      </c>
      <c r="C109"/>
      <c r="D109"/>
      <c r="E109"/>
      <c r="F109"/>
      <c r="G109"/>
      <c r="H109"/>
      <c r="I109"/>
      <c r="J109"/>
      <c r="K109"/>
      <c r="L109"/>
      <c r="M109"/>
      <c r="N109"/>
      <c r="O109"/>
      <c r="P109"/>
      <c r="Q109"/>
      <c r="R109"/>
      <c r="S109">
        <v>0.9</v>
      </c>
      <c r="T109" t="inlineStr">
        <is>
          <t>formal-attempt-0001</t>
        </is>
      </c>
      <c r="U109"/>
      <c r="V109"/>
      <c r="W109"/>
      <c r="X109" t="inlineStr">
        <is>
          <t>JD-20260809-045</t>
        </is>
      </c>
      <c r="Y109"/>
      <c r="Z109"/>
      <c r="AA109"/>
      <c r="AB109"/>
      <c r="AC109"/>
      <c r="AD109"/>
      <c r="AE109"/>
      <c r="AF109" t="inlineStr">
        <is>
          <t>AI</t>
        </is>
      </c>
      <c r="AG109" t="inlineStr">
        <is>
          <t>ANALYSIS_BASELINE</t>
        </is>
      </c>
      <c r="AH109" t="inlineStr">
        <is>
          <t>PRODUCT</t>
        </is>
      </c>
      <c r="AI109" t="inlineStr">
        <is>
          <t>ACTUAL_USE</t>
        </is>
      </c>
      <c r="AJ109" t="inlineStr">
        <is>
          <t>A</t>
        </is>
      </c>
      <c r="AK109" t="inlineStr">
        <is>
          <t>核心对象：产品口感、甜度与饮用感受；体验：明示购买后自己饮用并评价口感和微醺感，判为 ACTUAL_USE；证据强度：有购买、包装、0糖、入口感、微醺感和聚会小酌等具体信息，信息链完整，判为 A。</t>
        </is>
      </c>
      <c r="AL109"/>
      <c r="AM109" t="inlineStr">
        <is>
          <t>ANALYSIS_BASELINE_229.xlsx</t>
        </is>
      </c>
    </row>
    <row r="110" ht="25.5" customHeight="1">
      <c r="A110" t="inlineStr">
        <is>
          <t>JD-20260809-050_ANALYSIS_BASELINE_formal-attempt-0001_AI</t>
        </is>
      </c>
      <c r="B110" t="inlineStr">
        <is>
          <t>算都被压瘪过样，瓶身到处都是纹路，6瓶无一幸免。</t>
        </is>
      </c>
      <c r="C110"/>
      <c r="D110"/>
      <c r="E110"/>
      <c r="F110"/>
      <c r="G110"/>
      <c r="H110"/>
      <c r="I110"/>
      <c r="J110"/>
      <c r="K110"/>
      <c r="L110"/>
      <c r="M110"/>
      <c r="N110"/>
      <c r="O110"/>
      <c r="P110"/>
      <c r="Q110"/>
      <c r="R110"/>
      <c r="S110">
        <v>0.7</v>
      </c>
      <c r="T110" t="inlineStr">
        <is>
          <t>formal-attempt-0001</t>
        </is>
      </c>
      <c r="U110"/>
      <c r="V110"/>
      <c r="W110"/>
      <c r="X110" t="inlineStr">
        <is>
          <t>JD-20260809-050</t>
        </is>
      </c>
      <c r="Y110"/>
      <c r="Z110"/>
      <c r="AA110"/>
      <c r="AB110"/>
      <c r="AC110"/>
      <c r="AD110"/>
      <c r="AE110"/>
      <c r="AF110" t="inlineStr">
        <is>
          <t>AI</t>
        </is>
      </c>
      <c r="AG110" t="inlineStr">
        <is>
          <t>ANALYSIS_BASELINE</t>
        </is>
      </c>
      <c r="AH110" t="inlineStr">
        <is>
          <t>PRODUCT</t>
        </is>
      </c>
      <c r="AI110" t="inlineStr">
        <is>
          <t>UNKNOWN</t>
        </is>
      </c>
      <c r="AJ110" t="inlineStr">
        <is>
          <t>B</t>
        </is>
      </c>
      <c r="AK110" t="inlineStr">
        <is>
          <t>核心对象：产品包装与瓶身状态；体验：原文未明示购买或饮用，判为 UNKNOWN；证据强度：有瓶身受压和六瓶受损的具体描述，但缺少明确情境，判为 B。</t>
        </is>
      </c>
      <c r="AL110"/>
      <c r="AM110" t="inlineStr">
        <is>
          <t>ANALYSIS_BASELINE_229.xlsx</t>
        </is>
      </c>
    </row>
    <row r="111" ht="25.5" customHeight="1">
      <c r="A111" t="inlineStr">
        <is>
          <t>TB-20260809-005_ANALYSIS_BASELINE_formal-attempt-0001_AI</t>
        </is>
      </c>
      <c r="B111" t="inlineStr">
        <is>
          <t>很好喝的梅子酒，送的杯子也很漂亮，继续回购</t>
        </is>
      </c>
      <c r="C111"/>
      <c r="D111"/>
      <c r="E111"/>
      <c r="F111"/>
      <c r="G111"/>
      <c r="H111"/>
      <c r="I111"/>
      <c r="J111"/>
      <c r="K111"/>
      <c r="L111"/>
      <c r="M111"/>
      <c r="N111"/>
      <c r="O111"/>
      <c r="P111"/>
      <c r="Q111"/>
      <c r="R111"/>
      <c r="S111">
        <v>0.9</v>
      </c>
      <c r="T111" t="inlineStr">
        <is>
          <t>formal-attempt-0001</t>
        </is>
      </c>
      <c r="U111"/>
      <c r="V111"/>
      <c r="W111"/>
      <c r="X111" t="inlineStr">
        <is>
          <t>TB-20260809-005</t>
        </is>
      </c>
      <c r="Y111"/>
      <c r="Z111"/>
      <c r="AA111"/>
      <c r="AB111"/>
      <c r="AC111"/>
      <c r="AD111"/>
      <c r="AE111"/>
      <c r="AF111" t="inlineStr">
        <is>
          <t>AI</t>
        </is>
      </c>
      <c r="AG111" t="inlineStr">
        <is>
          <t>ANALYSIS_BASELINE</t>
        </is>
      </c>
      <c r="AH111" t="inlineStr">
        <is>
          <t>PRODUCT</t>
        </is>
      </c>
      <c r="AI111" t="inlineStr">
        <is>
          <t>ACTUAL_USE</t>
        </is>
      </c>
      <c r="AJ111" t="inlineStr">
        <is>
          <t>B</t>
        </is>
      </c>
      <c r="AK111" t="inlineStr">
        <is>
          <t>核心对象：产品口味与附赠杯子；体验：直接评价好喝并提到附赠杯子，判为 ACTUAL_USE；证据强度：有明确口味和附赠品判断，但缺少具体情境与依据，判为 B。</t>
        </is>
      </c>
      <c r="AL111"/>
      <c r="AM111" t="inlineStr">
        <is>
          <t>ANALYSIS_BASELINE_229.xlsx</t>
        </is>
      </c>
    </row>
    <row r="112" ht="25.5" customHeight="1">
      <c r="A112" t="inlineStr">
        <is>
          <t>XHS-SOC-0001_ANALYSIS_BASELINE_formal-attempt-0001_AI</t>
        </is>
      </c>
      <c r="B112" t="inlineStr">
        <is>
          <t>自己泡了以后外面买的梅子酒都看不上了</t>
        </is>
      </c>
      <c r="C112"/>
      <c r="D112"/>
      <c r="E112"/>
      <c r="F112"/>
      <c r="G112"/>
      <c r="H112"/>
      <c r="I112"/>
      <c r="J112"/>
      <c r="K112"/>
      <c r="L112"/>
      <c r="M112"/>
      <c r="N112"/>
      <c r="O112"/>
      <c r="P112"/>
      <c r="Q112"/>
      <c r="R112"/>
      <c r="S112">
        <v>0.9</v>
      </c>
      <c r="T112" t="inlineStr">
        <is>
          <t>formal-attempt-0001</t>
        </is>
      </c>
      <c r="U112"/>
      <c r="V112"/>
      <c r="W112"/>
      <c r="X112" t="inlineStr">
        <is>
          <t>XHS-SOC-0001</t>
        </is>
      </c>
      <c r="Y112"/>
      <c r="Z112"/>
      <c r="AA112"/>
      <c r="AB112"/>
      <c r="AC112"/>
      <c r="AD112"/>
      <c r="AE112"/>
      <c r="AF112" t="inlineStr">
        <is>
          <t>AI</t>
        </is>
      </c>
      <c r="AG112" t="inlineStr">
        <is>
          <t>ANALYSIS_BASELINE</t>
        </is>
      </c>
      <c r="AH112" t="inlineStr">
        <is>
          <t>COMPETITOR</t>
        </is>
      </c>
      <c r="AI112" t="inlineStr">
        <is>
          <t>UNKNOWN</t>
        </is>
      </c>
      <c r="AJ112" t="inlineStr">
        <is>
          <t>C</t>
        </is>
      </c>
      <c r="AK112" t="inlineStr">
        <is>
          <t>核心对象：自制梅子酒与外购梅子酒的替代比较；体验：原文未明确饮用、购买或具体口感体验，判为 UNKNOWN；证据强度：有明确替代倾向但缺少具体比较依据，判为 C。</t>
        </is>
      </c>
      <c r="AL112"/>
      <c r="AM112" t="inlineStr">
        <is>
          <t>ANALYSIS_BASELINE_229.xlsx</t>
        </is>
      </c>
    </row>
    <row r="113" ht="25.5" customHeight="1">
      <c r="A113" t="inlineStr">
        <is>
          <t>XHS-SOC-0002_ANALYSIS_BASELINE_formal-attempt-0001_AI</t>
        </is>
      </c>
      <c r="B113" t="inlineStr">
        <is>
          <t>酒对身体没一丁点好处，不过对情绪有很大好处</t>
        </is>
      </c>
      <c r="C113"/>
      <c r="D113"/>
      <c r="E113"/>
      <c r="F113"/>
      <c r="G113"/>
      <c r="H113"/>
      <c r="I113"/>
      <c r="J113"/>
      <c r="K113"/>
      <c r="L113"/>
      <c r="M113"/>
      <c r="N113"/>
      <c r="O113"/>
      <c r="P113"/>
      <c r="Q113"/>
      <c r="R113"/>
      <c r="S113">
        <v>0.9</v>
      </c>
      <c r="T113" t="inlineStr">
        <is>
          <t>formal-attempt-0001</t>
        </is>
      </c>
      <c r="U113"/>
      <c r="V113"/>
      <c r="W113"/>
      <c r="X113" t="inlineStr">
        <is>
          <t>XHS-SOC-0002</t>
        </is>
      </c>
      <c r="Y113"/>
      <c r="Z113"/>
      <c r="AA113"/>
      <c r="AB113"/>
      <c r="AC113"/>
      <c r="AD113"/>
      <c r="AE113"/>
      <c r="AF113" t="inlineStr">
        <is>
          <t>AI</t>
        </is>
      </c>
      <c r="AG113" t="inlineStr">
        <is>
          <t>ANALYSIS_BASELINE</t>
        </is>
      </c>
      <c r="AH113" t="inlineStr">
        <is>
          <t>OTHER</t>
        </is>
      </c>
      <c r="AI113" t="inlineStr">
        <is>
          <t>UNKNOWN</t>
        </is>
      </c>
      <c r="AJ113" t="inlineStr">
        <is>
          <t>C</t>
        </is>
      </c>
      <c r="AK113" t="inlineStr">
        <is>
          <t>核心对象：酒对身体和情绪的泛化影响；体验：未表达具体饮用体验，判为 UNKNOWN；证据强度：仅有笼统判断，缺少可复核依据，判为 C。</t>
        </is>
      </c>
      <c r="AL113"/>
      <c r="AM113" t="inlineStr">
        <is>
          <t>ANALYSIS_BASELINE_229.xlsx</t>
        </is>
      </c>
    </row>
    <row r="114" ht="25.5" customHeight="1">
      <c r="A114" t="inlineStr">
        <is>
          <t>XHS-SOC-0004_ANALYSIS_BASELINE_formal-attempt-0001_AI</t>
        </is>
      </c>
      <c r="B114" t="inlineStr">
        <is>
          <t>是的，我总觉得惺惺作态。陌生人或者工作场合还好，自己亲戚自己家人之间还要搞这套我尤其厌恶</t>
        </is>
      </c>
      <c r="C114"/>
      <c r="D114"/>
      <c r="E114"/>
      <c r="F114"/>
      <c r="G114"/>
      <c r="H114"/>
      <c r="I114"/>
      <c r="J114"/>
      <c r="K114"/>
      <c r="L114"/>
      <c r="M114"/>
      <c r="N114"/>
      <c r="O114"/>
      <c r="P114"/>
      <c r="Q114"/>
      <c r="R114"/>
      <c r="S114">
        <v>0.7</v>
      </c>
      <c r="T114" t="inlineStr">
        <is>
          <t>formal-attempt-0001</t>
        </is>
      </c>
      <c r="U114"/>
      <c r="V114"/>
      <c r="W114"/>
      <c r="X114" t="inlineStr">
        <is>
          <t>XHS-SOC-0004</t>
        </is>
      </c>
      <c r="Y114"/>
      <c r="Z114"/>
      <c r="AA114"/>
      <c r="AB114"/>
      <c r="AC114"/>
      <c r="AD114"/>
      <c r="AE114"/>
      <c r="AF114" t="inlineStr">
        <is>
          <t>AI</t>
        </is>
      </c>
      <c r="AG114" t="inlineStr">
        <is>
          <t>ANALYSIS_BASELINE</t>
        </is>
      </c>
      <c r="AH114" t="inlineStr">
        <is>
          <t>SCENE</t>
        </is>
      </c>
      <c r="AI114" t="inlineStr">
        <is>
          <t>ACTUAL_USE</t>
        </is>
      </c>
      <c r="AJ114" t="inlineStr">
        <is>
          <t>C</t>
        </is>
      </c>
      <c r="AK114" t="inlineStr">
        <is>
          <t>核心对象：特定社交场合中的行为；体验：第一人称表达对该行为的厌恶，判为 ACTUAL_USE；证据强度：提到陌生人、工作场合和亲属场合，但所指行为不具体，判为 C。</t>
        </is>
      </c>
      <c r="AL114"/>
      <c r="AM114" t="inlineStr">
        <is>
          <t>ANALYSIS_BASELINE_229.xlsx</t>
        </is>
      </c>
    </row>
    <row r="115" ht="25.5" customHeight="1">
      <c r="A115" t="inlineStr">
        <is>
          <t>XHS-SOC-0007_ANALYSIS_BASELINE_formal-attempt-0001_AI</t>
        </is>
      </c>
      <c r="B115" t="inlineStr">
        <is>
          <t>我喜欢在这个阶段想事儿，感觉浑浊的无关紧要的东西都在下坠</t>
        </is>
      </c>
      <c r="C115"/>
      <c r="D115"/>
      <c r="E115"/>
      <c r="F115"/>
      <c r="G115"/>
      <c r="H115"/>
      <c r="I115"/>
      <c r="J115"/>
      <c r="K115"/>
      <c r="L115"/>
      <c r="M115"/>
      <c r="N115"/>
      <c r="O115"/>
      <c r="P115"/>
      <c r="Q115"/>
      <c r="R115"/>
      <c r="S115">
        <v>0.7</v>
      </c>
      <c r="T115" t="inlineStr">
        <is>
          <t>formal-attempt-0001</t>
        </is>
      </c>
      <c r="U115"/>
      <c r="V115"/>
      <c r="W115"/>
      <c r="X115" t="inlineStr">
        <is>
          <t>XHS-SOC-0007</t>
        </is>
      </c>
      <c r="Y115"/>
      <c r="Z115"/>
      <c r="AA115"/>
      <c r="AB115"/>
      <c r="AC115"/>
      <c r="AD115"/>
      <c r="AE115"/>
      <c r="AF115" t="inlineStr">
        <is>
          <t>AI</t>
        </is>
      </c>
      <c r="AG115" t="inlineStr">
        <is>
          <t>ANALYSIS_BASELINE</t>
        </is>
      </c>
      <c r="AH115" t="inlineStr">
        <is>
          <t>SCENE</t>
        </is>
      </c>
      <c r="AI115" t="inlineStr">
        <is>
          <t>ACTUAL_USE</t>
        </is>
      </c>
      <c r="AJ115" t="inlineStr">
        <is>
          <t>B</t>
        </is>
      </c>
      <c r="AK115" t="inlineStr">
        <is>
          <t>核心对象：特定阶段的情绪状态；体验：第一人称描述该阶段的思考和感受，判为 ACTUAL_USE；证据强度：有具体感受和判断，但缺少明确饮用情境，判为 B。</t>
        </is>
      </c>
      <c r="AL115"/>
      <c r="AM115" t="inlineStr">
        <is>
          <t>ANALYSIS_BASELINE_229.xlsx</t>
        </is>
      </c>
    </row>
    <row r="116" ht="25.5" customHeight="1">
      <c r="A116" t="inlineStr">
        <is>
          <t>XHS-SOC-0008_ANALYSIS_BASELINE_formal-attempt-0001_AI</t>
        </is>
      </c>
      <c r="B116" t="inlineStr">
        <is>
          <t>开始莫名其妙想笑，干什么都想笑，看见谁都想笑</t>
        </is>
      </c>
      <c r="C116"/>
      <c r="D116"/>
      <c r="E116"/>
      <c r="F116"/>
      <c r="G116"/>
      <c r="H116"/>
      <c r="I116"/>
      <c r="J116"/>
      <c r="K116"/>
      <c r="L116"/>
      <c r="M116"/>
      <c r="N116"/>
      <c r="O116"/>
      <c r="P116"/>
      <c r="Q116"/>
      <c r="R116"/>
      <c r="S116">
        <v>0.7</v>
      </c>
      <c r="T116" t="inlineStr">
        <is>
          <t>formal-attempt-0001</t>
        </is>
      </c>
      <c r="U116"/>
      <c r="V116"/>
      <c r="W116"/>
      <c r="X116" t="inlineStr">
        <is>
          <t>XHS-SOC-0008</t>
        </is>
      </c>
      <c r="Y116"/>
      <c r="Z116"/>
      <c r="AA116"/>
      <c r="AB116"/>
      <c r="AC116"/>
      <c r="AD116"/>
      <c r="AE116"/>
      <c r="AF116" t="inlineStr">
        <is>
          <t>AI</t>
        </is>
      </c>
      <c r="AG116" t="inlineStr">
        <is>
          <t>ANALYSIS_BASELINE</t>
        </is>
      </c>
      <c r="AH116" t="inlineStr">
        <is>
          <t>SCENE</t>
        </is>
      </c>
      <c r="AI116" t="inlineStr">
        <is>
          <t>ACTUAL_USE</t>
        </is>
      </c>
      <c r="AJ116" t="inlineStr">
        <is>
          <t>C</t>
        </is>
      </c>
      <c r="AK116" t="inlineStr">
        <is>
          <t>核心对象：情绪状态变化；体验：原文直接描述开始持续想笑的状态，判为 ACTUAL_USE；证据强度：状态表现明确但信息量低，缺少具体情境和依据，判为 C。</t>
        </is>
      </c>
      <c r="AL116"/>
      <c r="AM116" t="inlineStr">
        <is>
          <t>ANALYSIS_BASELINE_229.xlsx</t>
        </is>
      </c>
    </row>
    <row r="117" ht="25.5" customHeight="1">
      <c r="A117" t="inlineStr">
        <is>
          <t>XHS-SOC-0022_ANALYSIS_BASELINE_formal-attempt-0001_AI</t>
        </is>
      </c>
      <c r="B117" t="inlineStr">
        <is>
          <t>我喝酒是为了养生吗难道哈哈哈</t>
        </is>
      </c>
      <c r="C117"/>
      <c r="D117"/>
      <c r="E117"/>
      <c r="F117"/>
      <c r="G117"/>
      <c r="H117"/>
      <c r="I117"/>
      <c r="J117"/>
      <c r="K117"/>
      <c r="L117"/>
      <c r="M117"/>
      <c r="N117"/>
      <c r="O117"/>
      <c r="P117"/>
      <c r="Q117"/>
      <c r="R117"/>
      <c r="S117">
        <v>0.9</v>
      </c>
      <c r="T117" t="inlineStr">
        <is>
          <t>formal-attempt-0001</t>
        </is>
      </c>
      <c r="U117"/>
      <c r="V117"/>
      <c r="W117"/>
      <c r="X117" t="inlineStr">
        <is>
          <t>XHS-SOC-0022</t>
        </is>
      </c>
      <c r="Y117"/>
      <c r="Z117"/>
      <c r="AA117"/>
      <c r="AB117"/>
      <c r="AC117"/>
      <c r="AD117"/>
      <c r="AE117"/>
      <c r="AF117" t="inlineStr">
        <is>
          <t>AI</t>
        </is>
      </c>
      <c r="AG117" t="inlineStr">
        <is>
          <t>ANALYSIS_BASELINE</t>
        </is>
      </c>
      <c r="AH117" t="inlineStr">
        <is>
          <t>SCENE</t>
        </is>
      </c>
      <c r="AI117" t="inlineStr">
        <is>
          <t>ACTUAL_USE</t>
        </is>
      </c>
      <c r="AJ117" t="inlineStr">
        <is>
          <t>C</t>
        </is>
      </c>
      <c r="AK117" t="inlineStr">
        <is>
          <t>核心对象：饮酒行为及其目的；体验：第一人称明确表达自己喝酒，判为 ACTUAL_USE；证据强度：只有反问和笼统态度，缺少具体情境或依据，判为 C。</t>
        </is>
      </c>
      <c r="AL117"/>
      <c r="AM117" t="inlineStr">
        <is>
          <t>ANALYSIS_BASELINE_229.xlsx</t>
        </is>
      </c>
    </row>
    <row r="118" ht="25.5" customHeight="1">
      <c r="A118" t="inlineStr">
        <is>
          <t>XHS-SOC-0031_ANALYSIS_BASELINE_formal-attempt-0001_AI</t>
        </is>
      </c>
      <c r="B118" t="inlineStr">
        <is>
          <t>喝晕就想哭的有没有</t>
        </is>
      </c>
      <c r="C118"/>
      <c r="D118"/>
      <c r="E118"/>
      <c r="F118"/>
      <c r="G118"/>
      <c r="H118"/>
      <c r="I118"/>
      <c r="J118"/>
      <c r="K118"/>
      <c r="L118"/>
      <c r="M118"/>
      <c r="N118"/>
      <c r="O118"/>
      <c r="P118"/>
      <c r="Q118"/>
      <c r="R118"/>
      <c r="S118">
        <v>0.9</v>
      </c>
      <c r="T118" t="inlineStr">
        <is>
          <t>formal-attempt-0001</t>
        </is>
      </c>
      <c r="U118"/>
      <c r="V118"/>
      <c r="W118"/>
      <c r="X118" t="inlineStr">
        <is>
          <t>XHS-SOC-0031</t>
        </is>
      </c>
      <c r="Y118"/>
      <c r="Z118"/>
      <c r="AA118"/>
      <c r="AB118"/>
      <c r="AC118"/>
      <c r="AD118"/>
      <c r="AE118"/>
      <c r="AF118" t="inlineStr">
        <is>
          <t>AI</t>
        </is>
      </c>
      <c r="AG118" t="inlineStr">
        <is>
          <t>ANALYSIS_BASELINE</t>
        </is>
      </c>
      <c r="AH118" t="inlineStr">
        <is>
          <t>SCENE</t>
        </is>
      </c>
      <c r="AI118" t="inlineStr">
        <is>
          <t>ACTUAL_USE</t>
        </is>
      </c>
      <c r="AJ118" t="inlineStr">
        <is>
          <t>C</t>
        </is>
      </c>
      <c r="AK118" t="inlineStr">
        <is>
          <t>核心对象：饮酒后的情绪状态；体验：直接描述喝晕后想哭的感受，判为 ACTUAL_USE；证据强度：只有单一情绪表现和询问，信息量低，判为 C。</t>
        </is>
      </c>
      <c r="AL118"/>
      <c r="AM118" t="inlineStr">
        <is>
          <t>ANALYSIS_BASELINE_229.xlsx</t>
        </is>
      </c>
    </row>
    <row r="119" ht="25.5" customHeight="1">
      <c r="A119" t="inlineStr">
        <is>
          <t>XHS-SOC-0032_ANALYSIS_BASELINE_formal-attempt-0001_AI</t>
        </is>
      </c>
      <c r="B119" t="inlineStr">
        <is>
          <t>总不能一辈子不喝酒吧</t>
        </is>
      </c>
      <c r="C119"/>
      <c r="D119"/>
      <c r="E119"/>
      <c r="F119"/>
      <c r="G119"/>
      <c r="H119"/>
      <c r="I119"/>
      <c r="J119"/>
      <c r="K119"/>
      <c r="L119"/>
      <c r="M119"/>
      <c r="N119"/>
      <c r="O119"/>
      <c r="P119"/>
      <c r="Q119"/>
      <c r="R119"/>
      <c r="S119">
        <v>0.9</v>
      </c>
      <c r="T119" t="inlineStr">
        <is>
          <t>formal-attempt-0001</t>
        </is>
      </c>
      <c r="U119"/>
      <c r="V119"/>
      <c r="W119"/>
      <c r="X119" t="inlineStr">
        <is>
          <t>XHS-SOC-0032</t>
        </is>
      </c>
      <c r="Y119"/>
      <c r="Z119"/>
      <c r="AA119"/>
      <c r="AB119"/>
      <c r="AC119"/>
      <c r="AD119"/>
      <c r="AE119"/>
      <c r="AF119" t="inlineStr">
        <is>
          <t>AI</t>
        </is>
      </c>
      <c r="AG119" t="inlineStr">
        <is>
          <t>ANALYSIS_BASELINE</t>
        </is>
      </c>
      <c r="AH119" t="inlineStr">
        <is>
          <t>OTHER</t>
        </is>
      </c>
      <c r="AI119" t="inlineStr">
        <is>
          <t>UNKNOWN</t>
        </is>
      </c>
      <c r="AJ119" t="inlineStr">
        <is>
          <t>C</t>
        </is>
      </c>
      <c r="AK119" t="inlineStr">
        <is>
          <t>核心对象：泛化的饮酒社会规范；体验：未明示具体饮用体验，判为 UNKNOWN；证据强度：只有笼统态度表达，缺少具体情境或依据，判为 C。</t>
        </is>
      </c>
      <c r="AL119"/>
      <c r="AM119" t="inlineStr">
        <is>
          <t>ANALYSIS_BASELINE_229.xlsx</t>
        </is>
      </c>
    </row>
    <row r="120" ht="25.5" customHeight="1">
      <c r="A120" t="inlineStr">
        <is>
          <t>DY-SOC-0091_ANALYSIS_BASELINE_formal-attempt-0001_AI</t>
        </is>
      </c>
      <c r="B120" t="inlineStr">
        <is>
          <t>推荐一款开车适合喝的酒</t>
        </is>
      </c>
      <c r="C120"/>
      <c r="D120"/>
      <c r="E120"/>
      <c r="F120"/>
      <c r="G120"/>
      <c r="H120"/>
      <c r="I120"/>
      <c r="J120"/>
      <c r="K120"/>
      <c r="L120"/>
      <c r="M120"/>
      <c r="N120"/>
      <c r="O120"/>
      <c r="P120"/>
      <c r="Q120"/>
      <c r="R120"/>
      <c r="S120">
        <v>0.9</v>
      </c>
      <c r="T120" t="inlineStr">
        <is>
          <t>formal-attempt-0001</t>
        </is>
      </c>
      <c r="U120"/>
      <c r="V120"/>
      <c r="W120"/>
      <c r="X120" t="inlineStr">
        <is>
          <t>DY-SOC-0091</t>
        </is>
      </c>
      <c r="Y120"/>
      <c r="Z120"/>
      <c r="AA120"/>
      <c r="AB120"/>
      <c r="AC120"/>
      <c r="AD120"/>
      <c r="AE120"/>
      <c r="AF120" t="inlineStr">
        <is>
          <t>AI</t>
        </is>
      </c>
      <c r="AG120" t="inlineStr">
        <is>
          <t>ANALYSIS_BASELINE</t>
        </is>
      </c>
      <c r="AH120" t="inlineStr">
        <is>
          <t>OTHER</t>
        </is>
      </c>
      <c r="AI120" t="inlineStr">
        <is>
          <t>UNKNOWN</t>
        </is>
      </c>
      <c r="AJ120" t="inlineStr">
        <is>
          <t>C</t>
        </is>
      </c>
      <c r="AK120" t="inlineStr">
        <is>
          <t>核心对象：尚未发生的开车饮酒推荐场景；体验：仅询问推荐，未明示购买或饮用，判为 UNKNOWN；证据强度：只有推荐诉求，没有实际评价依据，判为 C。</t>
        </is>
      </c>
      <c r="AL120"/>
      <c r="AM120" t="inlineStr">
        <is>
          <t>ANALYSIS_BASELINE_229.xlsx</t>
        </is>
      </c>
    </row>
    <row r="121" ht="25.5" customHeight="1">
      <c r="A121" t="inlineStr">
        <is>
          <t>DY-SOC-0092_ANALYSIS_BASELINE_formal-attempt-0001_AI</t>
        </is>
      </c>
      <c r="B121" t="inlineStr">
        <is>
          <t>开车不喝酒开酒不喝车</t>
        </is>
      </c>
      <c r="C121"/>
      <c r="D121"/>
      <c r="E121"/>
      <c r="F121"/>
      <c r="G121"/>
      <c r="H121"/>
      <c r="I121"/>
      <c r="J121"/>
      <c r="K121"/>
      <c r="L121"/>
      <c r="M121"/>
      <c r="N121"/>
      <c r="O121"/>
      <c r="P121"/>
      <c r="Q121"/>
      <c r="R121"/>
      <c r="S121">
        <v>0.9</v>
      </c>
      <c r="T121" t="inlineStr">
        <is>
          <t>formal-attempt-0001</t>
        </is>
      </c>
      <c r="U121"/>
      <c r="V121"/>
      <c r="W121"/>
      <c r="X121" t="inlineStr">
        <is>
          <t>DY-SOC-0092</t>
        </is>
      </c>
      <c r="Y121"/>
      <c r="Z121"/>
      <c r="AA121"/>
      <c r="AB121"/>
      <c r="AC121"/>
      <c r="AD121"/>
      <c r="AE121"/>
      <c r="AF121" t="inlineStr">
        <is>
          <t>AI</t>
        </is>
      </c>
      <c r="AG121" t="inlineStr">
        <is>
          <t>ANALYSIS_BASELINE</t>
        </is>
      </c>
      <c r="AH121" t="inlineStr">
        <is>
          <t>OTHER</t>
        </is>
      </c>
      <c r="AI121" t="inlineStr">
        <is>
          <t>UNKNOWN</t>
        </is>
      </c>
      <c r="AJ121" t="inlineStr">
        <is>
          <t>C</t>
        </is>
      </c>
      <c r="AK121" t="inlineStr">
        <is>
          <t>核心对象：开车与饮酒安全规范；体验：未明示具体饮用体验，判为 UNKNOWN；证据强度：属于笼统安全口号，缺少具体情境或依据，判为 C。</t>
        </is>
      </c>
      <c r="AL121"/>
      <c r="AM121" t="inlineStr">
        <is>
          <t>ANALYSIS_BASELINE_229.xlsx</t>
        </is>
      </c>
    </row>
    <row r="122" ht="25.5" customHeight="1">
      <c r="A122" t="inlineStr">
        <is>
          <t>DY-SOC-0095_ANALYSIS_BASELINE_formal-attempt-0001_AI</t>
        </is>
      </c>
      <c r="B122" t="inlineStr">
        <is>
          <t>已经到了对零食毫无欲望看到酒就走不动的年纪了[憨笑]</t>
        </is>
      </c>
      <c r="C122"/>
      <c r="D122"/>
      <c r="E122"/>
      <c r="F122"/>
      <c r="G122"/>
      <c r="H122"/>
      <c r="I122"/>
      <c r="J122"/>
      <c r="K122"/>
      <c r="L122"/>
      <c r="M122"/>
      <c r="N122"/>
      <c r="O122"/>
      <c r="P122"/>
      <c r="Q122"/>
      <c r="R122"/>
      <c r="S122">
        <v>0.9</v>
      </c>
      <c r="T122" t="inlineStr">
        <is>
          <t>formal-attempt-0001</t>
        </is>
      </c>
      <c r="U122"/>
      <c r="V122"/>
      <c r="W122"/>
      <c r="X122" t="inlineStr">
        <is>
          <t>DY-SOC-0095</t>
        </is>
      </c>
      <c r="Y122"/>
      <c r="Z122"/>
      <c r="AA122"/>
      <c r="AB122"/>
      <c r="AC122"/>
      <c r="AD122"/>
      <c r="AE122"/>
      <c r="AF122" t="inlineStr">
        <is>
          <t>AI</t>
        </is>
      </c>
      <c r="AG122" t="inlineStr">
        <is>
          <t>ANALYSIS_BASELINE</t>
        </is>
      </c>
      <c r="AH122" t="inlineStr">
        <is>
          <t>SCENE</t>
        </is>
      </c>
      <c r="AI122" t="inlineStr">
        <is>
          <t>ACTUAL_USE</t>
        </is>
      </c>
      <c r="AJ122" t="inlineStr">
        <is>
          <t>C</t>
        </is>
      </c>
      <c r="AK122" t="inlineStr">
        <is>
          <t>核心对象：饮酒行为；体验：ACTUAL_USE；证据强度：C。</t>
        </is>
      </c>
      <c r="AL122"/>
      <c r="AM122" t="inlineStr">
        <is>
          <t>ANALYSIS_BASELINE_229.xlsx</t>
        </is>
      </c>
    </row>
    <row r="123" ht="25.5" customHeight="1">
      <c r="A123" t="inlineStr">
        <is>
          <t>DY-SOC-0096_ANALYSIS_BASELINE_formal-attempt-0001_AI</t>
        </is>
      </c>
      <c r="B123" t="inlineStr">
        <is>
          <t>眼神渐渐迷离[捂脸][捂脸][捂脸]</t>
        </is>
      </c>
      <c r="C123"/>
      <c r="D123"/>
      <c r="E123"/>
      <c r="F123"/>
      <c r="G123"/>
      <c r="H123"/>
      <c r="I123"/>
      <c r="J123"/>
      <c r="K123"/>
      <c r="L123"/>
      <c r="M123"/>
      <c r="N123"/>
      <c r="O123"/>
      <c r="P123"/>
      <c r="Q123"/>
      <c r="R123"/>
      <c r="S123">
        <v>0.7</v>
      </c>
      <c r="T123" t="inlineStr">
        <is>
          <t>formal-attempt-0001</t>
        </is>
      </c>
      <c r="U123"/>
      <c r="V123"/>
      <c r="W123"/>
      <c r="X123" t="inlineStr">
        <is>
          <t>DY-SOC-0096</t>
        </is>
      </c>
      <c r="Y123"/>
      <c r="Z123"/>
      <c r="AA123"/>
      <c r="AB123"/>
      <c r="AC123"/>
      <c r="AD123"/>
      <c r="AE123"/>
      <c r="AF123" t="inlineStr">
        <is>
          <t>AI</t>
        </is>
      </c>
      <c r="AG123" t="inlineStr">
        <is>
          <t>ANALYSIS_BASELINE</t>
        </is>
      </c>
      <c r="AH123" t="inlineStr">
        <is>
          <t>SCENE</t>
        </is>
      </c>
      <c r="AI123" t="inlineStr">
        <is>
          <t>UNKNOWN</t>
        </is>
      </c>
      <c r="AJ123" t="inlineStr">
        <is>
          <t>C</t>
        </is>
      </c>
      <c r="AK123" t="inlineStr">
        <is>
          <t>核心对象：身体状态；体验：UNKNOWN；证据强度：C。</t>
        </is>
      </c>
      <c r="AL123"/>
      <c r="AM123" t="inlineStr">
        <is>
          <t>ANALYSIS_BASELINE_229.xlsx</t>
        </is>
      </c>
    </row>
    <row r="124" ht="25.5" customHeight="1">
      <c r="A124" t="inlineStr">
        <is>
          <t>DY-SOC-0097_ANALYSIS_BASELINE_formal-attempt-0001_AI</t>
        </is>
      </c>
      <c r="B124" t="inlineStr">
        <is>
          <t>没啥比加苏打水更快的了</t>
        </is>
      </c>
      <c r="C124"/>
      <c r="D124"/>
      <c r="E124"/>
      <c r="F124"/>
      <c r="G124"/>
      <c r="H124"/>
      <c r="I124"/>
      <c r="J124"/>
      <c r="K124"/>
      <c r="L124"/>
      <c r="M124"/>
      <c r="N124"/>
      <c r="O124"/>
      <c r="P124"/>
      <c r="Q124"/>
      <c r="R124"/>
      <c r="S124">
        <v>0.7</v>
      </c>
      <c r="T124" t="inlineStr">
        <is>
          <t>formal-attempt-0001</t>
        </is>
      </c>
      <c r="U124"/>
      <c r="V124"/>
      <c r="W124"/>
      <c r="X124" t="inlineStr">
        <is>
          <t>DY-SOC-0097</t>
        </is>
      </c>
      <c r="Y124"/>
      <c r="Z124"/>
      <c r="AA124"/>
      <c r="AB124"/>
      <c r="AC124"/>
      <c r="AD124"/>
      <c r="AE124"/>
      <c r="AF124" t="inlineStr">
        <is>
          <t>AI</t>
        </is>
      </c>
      <c r="AG124" t="inlineStr">
        <is>
          <t>ANALYSIS_BASELINE</t>
        </is>
      </c>
      <c r="AH124" t="inlineStr">
        <is>
          <t>SCENE</t>
        </is>
      </c>
      <c r="AI124" t="inlineStr">
        <is>
          <t>UNKNOWN</t>
        </is>
      </c>
      <c r="AJ124" t="inlineStr">
        <is>
          <t>C</t>
        </is>
      </c>
      <c r="AK124" t="inlineStr">
        <is>
          <t>核心对象：饮用方式；体验：UNKNOWN；证据强度：C。</t>
        </is>
      </c>
      <c r="AL124"/>
      <c r="AM124" t="inlineStr">
        <is>
          <t>ANALYSIS_BASELINE_229.xlsx</t>
        </is>
      </c>
    </row>
    <row r="125" ht="25.5" customHeight="1">
      <c r="A125" t="inlineStr">
        <is>
          <t>DY-SOC-0098_ANALYSIS_BASELINE_formal-attempt-0001_AI</t>
        </is>
      </c>
      <c r="B125" t="inlineStr">
        <is>
          <t>喜野梅子酒+汤力水</t>
        </is>
      </c>
      <c r="C125"/>
      <c r="D125"/>
      <c r="E125"/>
      <c r="F125"/>
      <c r="G125"/>
      <c r="H125"/>
      <c r="I125"/>
      <c r="J125"/>
      <c r="K125"/>
      <c r="L125"/>
      <c r="M125"/>
      <c r="N125"/>
      <c r="O125"/>
      <c r="P125"/>
      <c r="Q125"/>
      <c r="R125"/>
      <c r="S125">
        <v>0.9</v>
      </c>
      <c r="T125" t="inlineStr">
        <is>
          <t>formal-attempt-0001</t>
        </is>
      </c>
      <c r="U125"/>
      <c r="V125"/>
      <c r="W125"/>
      <c r="X125" t="inlineStr">
        <is>
          <t>DY-SOC-0098</t>
        </is>
      </c>
      <c r="Y125"/>
      <c r="Z125"/>
      <c r="AA125"/>
      <c r="AB125"/>
      <c r="AC125"/>
      <c r="AD125"/>
      <c r="AE125"/>
      <c r="AF125" t="inlineStr">
        <is>
          <t>AI</t>
        </is>
      </c>
      <c r="AG125" t="inlineStr">
        <is>
          <t>ANALYSIS_BASELINE</t>
        </is>
      </c>
      <c r="AH125" t="inlineStr">
        <is>
          <t>SCENE</t>
        </is>
      </c>
      <c r="AI125" t="inlineStr">
        <is>
          <t>UNKNOWN</t>
        </is>
      </c>
      <c r="AJ125" t="inlineStr">
        <is>
          <t>C</t>
        </is>
      </c>
      <c r="AK125" t="inlineStr">
        <is>
          <t>核心对象：饮用方式；体验：UNKNOWN；证据强度：C。</t>
        </is>
      </c>
      <c r="AL125"/>
      <c r="AM125" t="inlineStr">
        <is>
          <t>ANALYSIS_BASELINE_229.xlsx</t>
        </is>
      </c>
    </row>
    <row r="126" ht="25.5" customHeight="1">
      <c r="A126" t="inlineStr">
        <is>
          <t>DY-SOC-0099_ANALYSIS_BASELINE_formal-attempt-0001_AI</t>
        </is>
      </c>
      <c r="B126" t="inlineStr">
        <is>
          <t>我喜欢喝那个马天尼阿蒂斯起泡酒</t>
        </is>
      </c>
      <c r="C126"/>
      <c r="D126"/>
      <c r="E126"/>
      <c r="F126"/>
      <c r="G126"/>
      <c r="H126"/>
      <c r="I126"/>
      <c r="J126"/>
      <c r="K126"/>
      <c r="L126"/>
      <c r="M126"/>
      <c r="N126"/>
      <c r="O126"/>
      <c r="P126"/>
      <c r="Q126"/>
      <c r="R126"/>
      <c r="S126">
        <v>0.9</v>
      </c>
      <c r="T126" t="inlineStr">
        <is>
          <t>formal-attempt-0001</t>
        </is>
      </c>
      <c r="U126"/>
      <c r="V126"/>
      <c r="W126"/>
      <c r="X126" t="inlineStr">
        <is>
          <t>DY-SOC-0099</t>
        </is>
      </c>
      <c r="Y126"/>
      <c r="Z126"/>
      <c r="AA126"/>
      <c r="AB126"/>
      <c r="AC126"/>
      <c r="AD126"/>
      <c r="AE126"/>
      <c r="AF126" t="inlineStr">
        <is>
          <t>AI</t>
        </is>
      </c>
      <c r="AG126" t="inlineStr">
        <is>
          <t>ANALYSIS_BASELINE</t>
        </is>
      </c>
      <c r="AH126" t="inlineStr">
        <is>
          <t>PRODUCT</t>
        </is>
      </c>
      <c r="AI126" t="inlineStr">
        <is>
          <t>ACTUAL_USE</t>
        </is>
      </c>
      <c r="AJ126" t="inlineStr">
        <is>
          <t>C</t>
        </is>
      </c>
      <c r="AK126" t="inlineStr">
        <is>
          <t>核心对象：产品；体验：ACTUAL_USE；证据强度：C。</t>
        </is>
      </c>
      <c r="AL126"/>
      <c r="AM126" t="inlineStr">
        <is>
          <t>ANALYSIS_BASELINE_229.xlsx</t>
        </is>
      </c>
    </row>
    <row r="127" ht="25.5" customHeight="1">
      <c r="A127" t="inlineStr">
        <is>
          <t>DY-SOC-0101_ANALYSIS_BASELINE_formal-attempt-0001_AI</t>
        </is>
      </c>
      <c r="B127" t="inlineStr">
        <is>
          <t>蹲酒蒙子寄玫瑰汾酒</t>
        </is>
      </c>
      <c r="C127"/>
      <c r="D127"/>
      <c r="E127"/>
      <c r="F127"/>
      <c r="G127"/>
      <c r="H127"/>
      <c r="I127"/>
      <c r="J127"/>
      <c r="K127"/>
      <c r="L127"/>
      <c r="M127"/>
      <c r="N127"/>
      <c r="O127"/>
      <c r="P127"/>
      <c r="Q127"/>
      <c r="R127"/>
      <c r="S127">
        <v>0.7</v>
      </c>
      <c r="T127" t="inlineStr">
        <is>
          <t>formal-attempt-0001</t>
        </is>
      </c>
      <c r="U127"/>
      <c r="V127"/>
      <c r="W127"/>
      <c r="X127" t="inlineStr">
        <is>
          <t>DY-SOC-0101</t>
        </is>
      </c>
      <c r="Y127"/>
      <c r="Z127"/>
      <c r="AA127"/>
      <c r="AB127"/>
      <c r="AC127"/>
      <c r="AD127"/>
      <c r="AE127"/>
      <c r="AF127" t="inlineStr">
        <is>
          <t>AI</t>
        </is>
      </c>
      <c r="AG127" t="inlineStr">
        <is>
          <t>ANALYSIS_BASELINE</t>
        </is>
      </c>
      <c r="AH127" t="inlineStr">
        <is>
          <t>OTHER</t>
        </is>
      </c>
      <c r="AI127" t="inlineStr">
        <is>
          <t>UNKNOWN</t>
        </is>
      </c>
      <c r="AJ127" t="inlineStr">
        <is>
          <t>C</t>
        </is>
      </c>
      <c r="AK127" t="inlineStr">
        <is>
          <t>核心对象：尚未发生的请求；体验：UNKNOWN；证据强度：C。</t>
        </is>
      </c>
      <c r="AL127"/>
      <c r="AM127" t="inlineStr">
        <is>
          <t>ANALYSIS_BASELINE_229.xlsx</t>
        </is>
      </c>
    </row>
    <row r="128" ht="25.5" customHeight="1">
      <c r="A128" t="inlineStr">
        <is>
          <t>XHS-SOC-0180_ANALYSIS_BASELINE_formal-attempt-0001_AI</t>
        </is>
      </c>
      <c r="B128" t="inlineStr">
        <is>
          <t>对生理没好处 但是对心理有好处 而且比烟的危害小</t>
        </is>
      </c>
      <c r="C128"/>
      <c r="D128"/>
      <c r="E128"/>
      <c r="F128"/>
      <c r="G128"/>
      <c r="H128"/>
      <c r="I128"/>
      <c r="J128"/>
      <c r="K128"/>
      <c r="L128"/>
      <c r="M128"/>
      <c r="N128"/>
      <c r="O128"/>
      <c r="P128"/>
      <c r="Q128"/>
      <c r="R128"/>
      <c r="S128">
        <v>0.9</v>
      </c>
      <c r="T128" t="inlineStr">
        <is>
          <t>formal-attempt-0001</t>
        </is>
      </c>
      <c r="U128"/>
      <c r="V128"/>
      <c r="W128"/>
      <c r="X128" t="inlineStr">
        <is>
          <t>XHS-SOC-0180</t>
        </is>
      </c>
      <c r="Y128"/>
      <c r="Z128"/>
      <c r="AA128"/>
      <c r="AB128"/>
      <c r="AC128"/>
      <c r="AD128"/>
      <c r="AE128"/>
      <c r="AF128" t="inlineStr">
        <is>
          <t>AI</t>
        </is>
      </c>
      <c r="AG128" t="inlineStr">
        <is>
          <t>ANALYSIS_BASELINE</t>
        </is>
      </c>
      <c r="AH128" t="inlineStr">
        <is>
          <t>OTHER</t>
        </is>
      </c>
      <c r="AI128" t="inlineStr">
        <is>
          <t>UNKNOWN</t>
        </is>
      </c>
      <c r="AJ128" t="inlineStr">
        <is>
          <t>C</t>
        </is>
      </c>
      <c r="AK128" t="inlineStr">
        <is>
          <t>核心对象：通用酒精健康与安全；体验：UNKNOWN；证据强度：C。</t>
        </is>
      </c>
      <c r="AL128"/>
      <c r="AM128" t="inlineStr">
        <is>
          <t>ANALYSIS_BASELINE_229.xlsx</t>
        </is>
      </c>
    </row>
    <row r="129" ht="25.5" customHeight="1">
      <c r="A129" t="inlineStr">
        <is>
          <t>XHS-SOC-0181_ANALYSIS_BASELINE_formal-attempt-0001_AI</t>
        </is>
      </c>
      <c r="B129" t="inlineStr">
        <is>
          <t>好特卖梅见仅售18元</t>
        </is>
      </c>
      <c r="C129"/>
      <c r="D129"/>
      <c r="E129"/>
      <c r="F129"/>
      <c r="G129"/>
      <c r="H129"/>
      <c r="I129"/>
      <c r="J129"/>
      <c r="K129"/>
      <c r="L129"/>
      <c r="M129"/>
      <c r="N129"/>
      <c r="O129"/>
      <c r="P129"/>
      <c r="Q129"/>
      <c r="R129"/>
      <c r="S129">
        <v>0.9</v>
      </c>
      <c r="T129" t="inlineStr">
        <is>
          <t>formal-attempt-0001</t>
        </is>
      </c>
      <c r="U129"/>
      <c r="V129"/>
      <c r="W129"/>
      <c r="X129" t="inlineStr">
        <is>
          <t>XHS-SOC-0181</t>
        </is>
      </c>
      <c r="Y129"/>
      <c r="Z129"/>
      <c r="AA129"/>
      <c r="AB129"/>
      <c r="AC129"/>
      <c r="AD129"/>
      <c r="AE129"/>
      <c r="AF129" t="inlineStr">
        <is>
          <t>AI</t>
        </is>
      </c>
      <c r="AG129" t="inlineStr">
        <is>
          <t>ANALYSIS_BASELINE</t>
        </is>
      </c>
      <c r="AH129" t="inlineStr">
        <is>
          <t>SERVICE</t>
        </is>
      </c>
      <c r="AI129" t="inlineStr">
        <is>
          <t>UNKNOWN</t>
        </is>
      </c>
      <c r="AJ129" t="inlineStr">
        <is>
          <t>B</t>
        </is>
      </c>
      <c r="AK129" t="inlineStr">
        <is>
          <t>核心对象：购买渠道；体验：UNKNOWN；证据强度：B。</t>
        </is>
      </c>
      <c r="AL129"/>
      <c r="AM129" t="inlineStr">
        <is>
          <t>ANALYSIS_BASELINE_229.xlsx</t>
        </is>
      </c>
    </row>
    <row r="130" ht="25.5" customHeight="1">
      <c r="A130" t="inlineStr">
        <is>
          <t>XHS-SOC-0182_ANALYSIS_BASELINE_formal-attempt-0001_AI</t>
        </is>
      </c>
      <c r="B130" t="inlineStr">
        <is>
          <t>脑子清醒，但是眼睛眨眼频率高，去上个厕所，如果需要刻意才能走直线那就是喝多了</t>
        </is>
      </c>
      <c r="C130"/>
      <c r="D130"/>
      <c r="E130"/>
      <c r="F130"/>
      <c r="G130"/>
      <c r="H130"/>
      <c r="I130"/>
      <c r="J130"/>
      <c r="K130"/>
      <c r="L130"/>
      <c r="M130"/>
      <c r="N130"/>
      <c r="O130"/>
      <c r="P130"/>
      <c r="Q130"/>
      <c r="R130"/>
      <c r="S130">
        <v>0.9</v>
      </c>
      <c r="T130" t="inlineStr">
        <is>
          <t>formal-attempt-0001</t>
        </is>
      </c>
      <c r="U130"/>
      <c r="V130"/>
      <c r="W130"/>
      <c r="X130" t="inlineStr">
        <is>
          <t>XHS-SOC-0182</t>
        </is>
      </c>
      <c r="Y130"/>
      <c r="Z130"/>
      <c r="AA130"/>
      <c r="AB130"/>
      <c r="AC130"/>
      <c r="AD130"/>
      <c r="AE130"/>
      <c r="AF130" t="inlineStr">
        <is>
          <t>AI</t>
        </is>
      </c>
      <c r="AG130" t="inlineStr">
        <is>
          <t>ANALYSIS_BASELINE</t>
        </is>
      </c>
      <c r="AH130" t="inlineStr">
        <is>
          <t>SCENE</t>
        </is>
      </c>
      <c r="AI130" t="inlineStr">
        <is>
          <t>UNKNOWN</t>
        </is>
      </c>
      <c r="AJ130" t="inlineStr">
        <is>
          <t>A</t>
        </is>
      </c>
      <c r="AK130" t="inlineStr">
        <is>
          <t>核心对象：饮后身体状态；体验：UNKNOWN；证据强度：A。</t>
        </is>
      </c>
      <c r="AL130"/>
      <c r="AM130" t="inlineStr">
        <is>
          <t>ANALYSIS_BASELINE_229.xlsx</t>
        </is>
      </c>
    </row>
    <row r="131" ht="25.5" customHeight="1">
      <c r="A131" t="inlineStr">
        <is>
          <t>XHS-SOC-0183_ANALYSIS_BASELINE_formal-attempt-0001_AI</t>
        </is>
      </c>
      <c r="B131" t="inlineStr">
        <is>
          <t>感觉自己话太多了，从i人变e人了</t>
        </is>
      </c>
      <c r="C131"/>
      <c r="D131"/>
      <c r="E131"/>
      <c r="F131"/>
      <c r="G131"/>
      <c r="H131"/>
      <c r="I131"/>
      <c r="J131"/>
      <c r="K131"/>
      <c r="L131"/>
      <c r="M131"/>
      <c r="N131"/>
      <c r="O131"/>
      <c r="P131"/>
      <c r="Q131"/>
      <c r="R131"/>
      <c r="S131">
        <v>0.9</v>
      </c>
      <c r="T131" t="inlineStr">
        <is>
          <t>formal-attempt-0001</t>
        </is>
      </c>
      <c r="U131"/>
      <c r="V131"/>
      <c r="W131"/>
      <c r="X131" t="inlineStr">
        <is>
          <t>XHS-SOC-0183</t>
        </is>
      </c>
      <c r="Y131"/>
      <c r="Z131"/>
      <c r="AA131"/>
      <c r="AB131"/>
      <c r="AC131"/>
      <c r="AD131"/>
      <c r="AE131"/>
      <c r="AF131" t="inlineStr">
        <is>
          <t>AI</t>
        </is>
      </c>
      <c r="AG131" t="inlineStr">
        <is>
          <t>ANALYSIS_BASELINE</t>
        </is>
      </c>
      <c r="AH131" t="inlineStr">
        <is>
          <t>SCENE</t>
        </is>
      </c>
      <c r="AI131" t="inlineStr">
        <is>
          <t>ACTUAL_USE</t>
        </is>
      </c>
      <c r="AJ131" t="inlineStr">
        <is>
          <t>C</t>
        </is>
      </c>
      <c r="AK131" t="inlineStr">
        <is>
          <t>核心对象：饮后情绪状态；体验：ACTUAL_USE；证据强度：C。</t>
        </is>
      </c>
      <c r="AL131"/>
      <c r="AM131" t="inlineStr">
        <is>
          <t>ANALYSIS_BASELINE_229.xlsx</t>
        </is>
      </c>
    </row>
    <row r="132" ht="25.5" customHeight="1">
      <c r="A132" t="inlineStr">
        <is>
          <t>XHS-SOC-0187_ANALYSIS_BASELINE_formal-attempt-0001_AI</t>
        </is>
      </c>
      <c r="B132" t="inlineStr">
        <is>
          <t>对人体有害的全是让人开心的</t>
        </is>
      </c>
      <c r="C132"/>
      <c r="D132"/>
      <c r="E132"/>
      <c r="F132"/>
      <c r="G132"/>
      <c r="H132"/>
      <c r="I132"/>
      <c r="J132"/>
      <c r="K132"/>
      <c r="L132"/>
      <c r="M132"/>
      <c r="N132"/>
      <c r="O132"/>
      <c r="P132"/>
      <c r="Q132"/>
      <c r="R132"/>
      <c r="S132">
        <v>0.9</v>
      </c>
      <c r="T132" t="inlineStr">
        <is>
          <t>formal-attempt-0001</t>
        </is>
      </c>
      <c r="U132"/>
      <c r="V132"/>
      <c r="W132"/>
      <c r="X132" t="inlineStr">
        <is>
          <t>XHS-SOC-0187</t>
        </is>
      </c>
      <c r="Y132"/>
      <c r="Z132"/>
      <c r="AA132"/>
      <c r="AB132"/>
      <c r="AC132"/>
      <c r="AD132"/>
      <c r="AE132"/>
      <c r="AF132" t="inlineStr">
        <is>
          <t>AI</t>
        </is>
      </c>
      <c r="AG132" t="inlineStr">
        <is>
          <t>ANALYSIS_BASELINE</t>
        </is>
      </c>
      <c r="AH132" t="inlineStr">
        <is>
          <t>OTHER</t>
        </is>
      </c>
      <c r="AI132" t="inlineStr">
        <is>
          <t>UNKNOWN</t>
        </is>
      </c>
      <c r="AJ132" t="inlineStr">
        <is>
          <t>C</t>
        </is>
      </c>
      <c r="AK132" t="inlineStr">
        <is>
          <t>核心对象：通用酒精健康与安全；体验：UNKNOWN；证据强度：C。</t>
        </is>
      </c>
      <c r="AL132"/>
      <c r="AM132" t="inlineStr">
        <is>
          <t>ANALYSIS_BASELINE_229.xlsx</t>
        </is>
      </c>
    </row>
    <row r="133" ht="25.5" customHeight="1">
      <c r="A133" t="inlineStr">
        <is>
          <t>XHS-SOC-0190_ANALYSIS_BASELINE_formal-attempt-0001_AI</t>
        </is>
      </c>
      <c r="B133" t="inlineStr">
        <is>
          <t>我今年73岁了，喝了一辈子的高度白酒，我觉得酒不是什么好东西，非必要最好都不要喝</t>
        </is>
      </c>
      <c r="C133"/>
      <c r="D133"/>
      <c r="E133"/>
      <c r="F133"/>
      <c r="G133"/>
      <c r="H133"/>
      <c r="I133"/>
      <c r="J133"/>
      <c r="K133"/>
      <c r="L133"/>
      <c r="M133"/>
      <c r="N133"/>
      <c r="O133"/>
      <c r="P133"/>
      <c r="Q133"/>
      <c r="R133"/>
      <c r="S133">
        <v>0.9</v>
      </c>
      <c r="T133" t="inlineStr">
        <is>
          <t>formal-attempt-0001</t>
        </is>
      </c>
      <c r="U133"/>
      <c r="V133"/>
      <c r="W133"/>
      <c r="X133" t="inlineStr">
        <is>
          <t>XHS-SOC-0190</t>
        </is>
      </c>
      <c r="Y133"/>
      <c r="Z133"/>
      <c r="AA133"/>
      <c r="AB133"/>
      <c r="AC133"/>
      <c r="AD133"/>
      <c r="AE133"/>
      <c r="AF133" t="inlineStr">
        <is>
          <t>AI</t>
        </is>
      </c>
      <c r="AG133" t="inlineStr">
        <is>
          <t>ANALYSIS_BASELINE</t>
        </is>
      </c>
      <c r="AH133" t="inlineStr">
        <is>
          <t>OTHER</t>
        </is>
      </c>
      <c r="AI133" t="inlineStr">
        <is>
          <t>ACTUAL_USE</t>
        </is>
      </c>
      <c r="AJ133" t="inlineStr">
        <is>
          <t>A</t>
        </is>
      </c>
      <c r="AK133" t="inlineStr">
        <is>
          <t>核心对象：通用酒精健康与安全；体验：ACTUAL_USE；证据强度：A。</t>
        </is>
      </c>
      <c r="AL133"/>
      <c r="AM133" t="inlineStr">
        <is>
          <t>ANALYSIS_BASELINE_229.xlsx</t>
        </is>
      </c>
    </row>
    <row r="134" ht="25.5" customHeight="1">
      <c r="A134" t="inlineStr">
        <is>
          <t>XHS-SOC-0218_ANALYSIS_BASELINE_formal-attempt-0001_AI</t>
        </is>
      </c>
      <c r="B134" t="inlineStr">
        <is>
          <t>每晚没它不行了</t>
        </is>
      </c>
      <c r="C134"/>
      <c r="D134"/>
      <c r="E134"/>
      <c r="F134"/>
      <c r="G134"/>
      <c r="H134"/>
      <c r="I134"/>
      <c r="J134"/>
      <c r="K134"/>
      <c r="L134"/>
      <c r="M134"/>
      <c r="N134"/>
      <c r="O134"/>
      <c r="P134"/>
      <c r="Q134"/>
      <c r="R134"/>
      <c r="S134">
        <v>0.7</v>
      </c>
      <c r="T134" t="inlineStr">
        <is>
          <t>formal-attempt-0001</t>
        </is>
      </c>
      <c r="U134"/>
      <c r="V134"/>
      <c r="W134"/>
      <c r="X134" t="inlineStr">
        <is>
          <t>XHS-SOC-0218</t>
        </is>
      </c>
      <c r="Y134"/>
      <c r="Z134"/>
      <c r="AA134"/>
      <c r="AB134"/>
      <c r="AC134"/>
      <c r="AD134"/>
      <c r="AE134"/>
      <c r="AF134" t="inlineStr">
        <is>
          <t>AI</t>
        </is>
      </c>
      <c r="AG134" t="inlineStr">
        <is>
          <t>ANALYSIS_BASELINE</t>
        </is>
      </c>
      <c r="AH134" t="inlineStr">
        <is>
          <t>SCENE</t>
        </is>
      </c>
      <c r="AI134" t="inlineStr">
        <is>
          <t>ACTUAL_USE</t>
        </is>
      </c>
      <c r="AJ134" t="inlineStr">
        <is>
          <t>C</t>
        </is>
      </c>
      <c r="AK134" t="inlineStr">
        <is>
          <t>核心对象：饮酒行为；体验：ACTUAL_USE；证据强度：C。</t>
        </is>
      </c>
      <c r="AL134"/>
      <c r="AM134" t="inlineStr">
        <is>
          <t>ANALYSIS_BASELINE_229.xlsx</t>
        </is>
      </c>
    </row>
    <row r="135" ht="25.5" customHeight="1">
      <c r="A135" t="inlineStr">
        <is>
          <t>XHS-SOC-0248_ANALYSIS_BASELINE_formal-attempt-0001_AI</t>
        </is>
      </c>
      <c r="B135" t="inlineStr">
        <is>
          <t>喝酒太正常了，我平时都是心情不好就尝试一些没喝过的酒</t>
        </is>
      </c>
      <c r="C135"/>
      <c r="D135"/>
      <c r="E135"/>
      <c r="F135"/>
      <c r="G135"/>
      <c r="H135"/>
      <c r="I135"/>
      <c r="J135"/>
      <c r="K135"/>
      <c r="L135"/>
      <c r="M135"/>
      <c r="N135"/>
      <c r="O135"/>
      <c r="P135"/>
      <c r="Q135"/>
      <c r="R135"/>
      <c r="S135">
        <v>0.9</v>
      </c>
      <c r="T135" t="inlineStr">
        <is>
          <t>formal-attempt-0001</t>
        </is>
      </c>
      <c r="U135"/>
      <c r="V135"/>
      <c r="W135"/>
      <c r="X135" t="inlineStr">
        <is>
          <t>XHS-SOC-0248</t>
        </is>
      </c>
      <c r="Y135"/>
      <c r="Z135"/>
      <c r="AA135"/>
      <c r="AB135"/>
      <c r="AC135"/>
      <c r="AD135"/>
      <c r="AE135"/>
      <c r="AF135" t="inlineStr">
        <is>
          <t>AI</t>
        </is>
      </c>
      <c r="AG135" t="inlineStr">
        <is>
          <t>ANALYSIS_BASELINE</t>
        </is>
      </c>
      <c r="AH135" t="inlineStr">
        <is>
          <t>SCENE</t>
        </is>
      </c>
      <c r="AI135" t="inlineStr">
        <is>
          <t>ACTUAL_USE</t>
        </is>
      </c>
      <c r="AJ135" t="inlineStr">
        <is>
          <t>A</t>
        </is>
      </c>
      <c r="AK135" t="inlineStr">
        <is>
          <t>核心对象：饮酒行为；体验：ACTUAL_USE；证据强度：A。</t>
        </is>
      </c>
      <c r="AL135"/>
      <c r="AM135" t="inlineStr">
        <is>
          <t>ANALYSIS_BASELINE_229.xlsx</t>
        </is>
      </c>
    </row>
    <row r="136" ht="25.5" customHeight="1">
      <c r="A136" t="inlineStr">
        <is>
          <t>XHS-SOC-0253_ANALYSIS_BASELINE_formal-attempt-0001_AI</t>
        </is>
      </c>
      <c r="B136" t="inlineStr">
        <is>
          <t>小酌怡情 熏酒伤身</t>
        </is>
      </c>
      <c r="C136"/>
      <c r="D136"/>
      <c r="E136"/>
      <c r="F136"/>
      <c r="G136"/>
      <c r="H136"/>
      <c r="I136"/>
      <c r="J136"/>
      <c r="K136"/>
      <c r="L136"/>
      <c r="M136"/>
      <c r="N136"/>
      <c r="O136"/>
      <c r="P136"/>
      <c r="Q136"/>
      <c r="R136"/>
      <c r="S136">
        <v>0.9</v>
      </c>
      <c r="T136" t="inlineStr">
        <is>
          <t>formal-attempt-0001</t>
        </is>
      </c>
      <c r="U136"/>
      <c r="V136"/>
      <c r="W136"/>
      <c r="X136" t="inlineStr">
        <is>
          <t>XHS-SOC-0253</t>
        </is>
      </c>
      <c r="Y136"/>
      <c r="Z136"/>
      <c r="AA136"/>
      <c r="AB136"/>
      <c r="AC136"/>
      <c r="AD136"/>
      <c r="AE136"/>
      <c r="AF136" t="inlineStr">
        <is>
          <t>AI</t>
        </is>
      </c>
      <c r="AG136" t="inlineStr">
        <is>
          <t>ANALYSIS_BASELINE</t>
        </is>
      </c>
      <c r="AH136" t="inlineStr">
        <is>
          <t>OTHER</t>
        </is>
      </c>
      <c r="AI136" t="inlineStr">
        <is>
          <t>UNKNOWN</t>
        </is>
      </c>
      <c r="AJ136" t="inlineStr">
        <is>
          <t>C</t>
        </is>
      </c>
      <c r="AK136" t="inlineStr">
        <is>
          <t>核心对象：通用酒精健康与安全；体验：UNKNOWN；证据强度：C。</t>
        </is>
      </c>
      <c r="AL136"/>
      <c r="AM136" t="inlineStr">
        <is>
          <t>ANALYSIS_BASELINE_229.xlsx</t>
        </is>
      </c>
    </row>
    <row r="137" ht="25.5" customHeight="1">
      <c r="A137" t="inlineStr">
        <is>
          <t>XHS-SOC-0254_ANALYSIS_BASELINE_formal-attempt-0001_AI</t>
        </is>
      </c>
      <c r="B137" t="inlineStr">
        <is>
          <t>想亲嘴 和哭</t>
        </is>
      </c>
      <c r="C137"/>
      <c r="D137"/>
      <c r="E137"/>
      <c r="F137"/>
      <c r="G137"/>
      <c r="H137"/>
      <c r="I137"/>
      <c r="J137"/>
      <c r="K137"/>
      <c r="L137"/>
      <c r="M137"/>
      <c r="N137"/>
      <c r="O137"/>
      <c r="P137"/>
      <c r="Q137"/>
      <c r="R137"/>
      <c r="S137">
        <v>0.7</v>
      </c>
      <c r="T137" t="inlineStr">
        <is>
          <t>formal-attempt-0001</t>
        </is>
      </c>
      <c r="U137"/>
      <c r="V137"/>
      <c r="W137"/>
      <c r="X137" t="inlineStr">
        <is>
          <t>XHS-SOC-0254</t>
        </is>
      </c>
      <c r="Y137"/>
      <c r="Z137"/>
      <c r="AA137"/>
      <c r="AB137"/>
      <c r="AC137"/>
      <c r="AD137"/>
      <c r="AE137"/>
      <c r="AF137" t="inlineStr">
        <is>
          <t>AI</t>
        </is>
      </c>
      <c r="AG137" t="inlineStr">
        <is>
          <t>ANALYSIS_BASELINE</t>
        </is>
      </c>
      <c r="AH137" t="inlineStr">
        <is>
          <t>OTHER</t>
        </is>
      </c>
      <c r="AI137" t="inlineStr">
        <is>
          <t>UNKNOWN</t>
        </is>
      </c>
      <c r="AJ137" t="inlineStr">
        <is>
          <t>C</t>
        </is>
      </c>
      <c r="AK137" t="inlineStr">
        <is>
          <t>核心对象：尚未发生的场景；体验：UNKNOWN；证据强度：C。</t>
        </is>
      </c>
      <c r="AL137"/>
      <c r="AM137" t="inlineStr">
        <is>
          <t>ANALYSIS_BASELINE_229.xlsx</t>
        </is>
      </c>
    </row>
    <row r="138" ht="25.5" customHeight="1">
      <c r="A138" t="inlineStr">
        <is>
          <t>DY-SOC-0266_ANALYSIS_BASELINE_formal-attempt-0001_AI</t>
        </is>
      </c>
      <c r="B138" t="inlineStr">
        <is>
          <t>我喝汾酒那个玫瑰汾还可以[看]</t>
        </is>
      </c>
      <c r="C138"/>
      <c r="D138"/>
      <c r="E138"/>
      <c r="F138"/>
      <c r="G138"/>
      <c r="H138"/>
      <c r="I138"/>
      <c r="J138"/>
      <c r="K138"/>
      <c r="L138"/>
      <c r="M138"/>
      <c r="N138"/>
      <c r="O138"/>
      <c r="P138"/>
      <c r="Q138"/>
      <c r="R138"/>
      <c r="S138">
        <v>0.9</v>
      </c>
      <c r="T138" t="inlineStr">
        <is>
          <t>formal-attempt-0001</t>
        </is>
      </c>
      <c r="U138"/>
      <c r="V138"/>
      <c r="W138"/>
      <c r="X138" t="inlineStr">
        <is>
          <t>DY-SOC-0266</t>
        </is>
      </c>
      <c r="Y138"/>
      <c r="Z138"/>
      <c r="AA138"/>
      <c r="AB138"/>
      <c r="AC138"/>
      <c r="AD138"/>
      <c r="AE138"/>
      <c r="AF138" t="inlineStr">
        <is>
          <t>AI</t>
        </is>
      </c>
      <c r="AG138" t="inlineStr">
        <is>
          <t>ANALYSIS_BASELINE</t>
        </is>
      </c>
      <c r="AH138" t="inlineStr">
        <is>
          <t>PRODUCT</t>
        </is>
      </c>
      <c r="AI138" t="inlineStr">
        <is>
          <t>ACTUAL_USE</t>
        </is>
      </c>
      <c r="AJ138" t="inlineStr">
        <is>
          <t>C</t>
        </is>
      </c>
      <c r="AK138" t="inlineStr">
        <is>
          <t>核心对象：产品；体验：ACTUAL_USE；证据强度：C。</t>
        </is>
      </c>
      <c r="AL138"/>
      <c r="AM138" t="inlineStr">
        <is>
          <t>ANALYSIS_BASELINE_229.xlsx</t>
        </is>
      </c>
    </row>
    <row r="139" ht="25.5" customHeight="1">
      <c r="A139" t="inlineStr">
        <is>
          <t>DY-SOC-0268_ANALYSIS_BASELINE_formal-attempt-0001_AI</t>
        </is>
      </c>
      <c r="B139" t="inlineStr">
        <is>
          <t>测评那个草莓芭乐的酒</t>
        </is>
      </c>
      <c r="C139"/>
      <c r="D139"/>
      <c r="E139"/>
      <c r="F139"/>
      <c r="G139"/>
      <c r="H139"/>
      <c r="I139"/>
      <c r="J139"/>
      <c r="K139"/>
      <c r="L139"/>
      <c r="M139"/>
      <c r="N139"/>
      <c r="O139"/>
      <c r="P139"/>
      <c r="Q139"/>
      <c r="R139"/>
      <c r="S139">
        <v>0.7</v>
      </c>
      <c r="T139" t="inlineStr">
        <is>
          <t>formal-attempt-0001</t>
        </is>
      </c>
      <c r="U139"/>
      <c r="V139"/>
      <c r="W139"/>
      <c r="X139" t="inlineStr">
        <is>
          <t>DY-SOC-0268</t>
        </is>
      </c>
      <c r="Y139"/>
      <c r="Z139"/>
      <c r="AA139"/>
      <c r="AB139"/>
      <c r="AC139"/>
      <c r="AD139"/>
      <c r="AE139"/>
      <c r="AF139" t="inlineStr">
        <is>
          <t>AI</t>
        </is>
      </c>
      <c r="AG139" t="inlineStr">
        <is>
          <t>ANALYSIS_BASELINE</t>
        </is>
      </c>
      <c r="AH139" t="inlineStr">
        <is>
          <t>OTHER</t>
        </is>
      </c>
      <c r="AI139" t="inlineStr">
        <is>
          <t>UNKNOWN</t>
        </is>
      </c>
      <c r="AJ139" t="inlineStr">
        <is>
          <t>C</t>
        </is>
      </c>
      <c r="AK139" t="inlineStr">
        <is>
          <t>核心对象：尚未发生的请求；体验：UNKNOWN；证据强度：C。</t>
        </is>
      </c>
      <c r="AL139"/>
      <c r="AM139" t="inlineStr">
        <is>
          <t>ANALYSIS_BASELINE_229.xlsx</t>
        </is>
      </c>
    </row>
    <row r="140" ht="25.5" customHeight="1">
      <c r="A140" t="inlineStr">
        <is>
          <t>DY-SOC-0269_ANALYSIS_BASELINE_formal-attempt-0001_AI</t>
        </is>
      </c>
      <c r="B140" t="inlineStr">
        <is>
          <t>其实博主打着推荐的名号把自己喜欢的酒全喝了一遍</t>
        </is>
      </c>
      <c r="C140"/>
      <c r="D140"/>
      <c r="E140"/>
      <c r="F140"/>
      <c r="G140"/>
      <c r="H140"/>
      <c r="I140"/>
      <c r="J140"/>
      <c r="K140"/>
      <c r="L140"/>
      <c r="M140"/>
      <c r="N140"/>
      <c r="O140"/>
      <c r="P140"/>
      <c r="Q140"/>
      <c r="R140"/>
      <c r="S140">
        <v>0.9</v>
      </c>
      <c r="T140" t="inlineStr">
        <is>
          <t>formal-attempt-0001</t>
        </is>
      </c>
      <c r="U140"/>
      <c r="V140"/>
      <c r="W140"/>
      <c r="X140" t="inlineStr">
        <is>
          <t>DY-SOC-0269</t>
        </is>
      </c>
      <c r="Y140"/>
      <c r="Z140"/>
      <c r="AA140"/>
      <c r="AB140"/>
      <c r="AC140"/>
      <c r="AD140"/>
      <c r="AE140"/>
      <c r="AF140" t="inlineStr">
        <is>
          <t>AI</t>
        </is>
      </c>
      <c r="AG140" t="inlineStr">
        <is>
          <t>ANALYSIS_BASELINE</t>
        </is>
      </c>
      <c r="AH140" t="inlineStr">
        <is>
          <t>SCENE</t>
        </is>
      </c>
      <c r="AI140" t="inlineStr">
        <is>
          <t>UNKNOWN</t>
        </is>
      </c>
      <c r="AJ140" t="inlineStr">
        <is>
          <t>B</t>
        </is>
      </c>
      <c r="AK140" t="inlineStr">
        <is>
          <t>核心对象：饮酒行为；体验：UNKNOWN；证据强度：B。</t>
        </is>
      </c>
      <c r="AL140"/>
      <c r="AM140" t="inlineStr">
        <is>
          <t>ANALYSIS_BASELINE_229.xlsx</t>
        </is>
      </c>
    </row>
    <row r="141" ht="25.5" customHeight="1">
      <c r="A141" t="inlineStr">
        <is>
          <t>DY-SOC-0270_ANALYSIS_BASELINE_formal-attempt-0001_AI</t>
        </is>
      </c>
      <c r="B141" t="inlineStr">
        <is>
          <t>大家平时干喝吗拿什么吃的什么剧下酒</t>
        </is>
      </c>
      <c r="C141"/>
      <c r="D141"/>
      <c r="E141"/>
      <c r="F141"/>
      <c r="G141"/>
      <c r="H141"/>
      <c r="I141"/>
      <c r="J141"/>
      <c r="K141"/>
      <c r="L141"/>
      <c r="M141"/>
      <c r="N141"/>
      <c r="O141"/>
      <c r="P141"/>
      <c r="Q141"/>
      <c r="R141"/>
      <c r="S141">
        <v>0.9</v>
      </c>
      <c r="T141" t="inlineStr">
        <is>
          <t>formal-attempt-0001</t>
        </is>
      </c>
      <c r="U141"/>
      <c r="V141"/>
      <c r="W141"/>
      <c r="X141" t="inlineStr">
        <is>
          <t>DY-SOC-0270</t>
        </is>
      </c>
      <c r="Y141"/>
      <c r="Z141"/>
      <c r="AA141"/>
      <c r="AB141"/>
      <c r="AC141"/>
      <c r="AD141"/>
      <c r="AE141"/>
      <c r="AF141" t="inlineStr">
        <is>
          <t>AI</t>
        </is>
      </c>
      <c r="AG141" t="inlineStr">
        <is>
          <t>ANALYSIS_BASELINE</t>
        </is>
      </c>
      <c r="AH141" t="inlineStr">
        <is>
          <t>SCENE</t>
        </is>
      </c>
      <c r="AI141" t="inlineStr">
        <is>
          <t>UNKNOWN</t>
        </is>
      </c>
      <c r="AJ141" t="inlineStr">
        <is>
          <t>C</t>
        </is>
      </c>
      <c r="AK141" t="inlineStr">
        <is>
          <t>核心对象：饮用方式与酒桌行为；体验：UNKNOWN；证据强度：C。</t>
        </is>
      </c>
      <c r="AL141"/>
      <c r="AM141" t="inlineStr">
        <is>
          <t>ANALYSIS_BASELINE_229.xlsx</t>
        </is>
      </c>
    </row>
    <row r="142" ht="25.5" customHeight="1">
      <c r="A142" t="inlineStr">
        <is>
          <t>DY-SOC-0271_ANALYSIS_BASELINE_formal-attempt-0001_AI</t>
        </is>
      </c>
      <c r="B142" t="inlineStr">
        <is>
          <t>第一个怎么搜不到呢</t>
        </is>
      </c>
      <c r="C142"/>
      <c r="D142"/>
      <c r="E142"/>
      <c r="F142"/>
      <c r="G142"/>
      <c r="H142"/>
      <c r="I142"/>
      <c r="J142"/>
      <c r="K142"/>
      <c r="L142"/>
      <c r="M142"/>
      <c r="N142"/>
      <c r="O142"/>
      <c r="P142"/>
      <c r="Q142"/>
      <c r="R142"/>
      <c r="S142">
        <v>0.7</v>
      </c>
      <c r="T142" t="inlineStr">
        <is>
          <t>formal-attempt-0001</t>
        </is>
      </c>
      <c r="U142"/>
      <c r="V142"/>
      <c r="W142"/>
      <c r="X142" t="inlineStr">
        <is>
          <t>DY-SOC-0271</t>
        </is>
      </c>
      <c r="Y142"/>
      <c r="Z142"/>
      <c r="AA142"/>
      <c r="AB142"/>
      <c r="AC142"/>
      <c r="AD142"/>
      <c r="AE142"/>
      <c r="AF142" t="inlineStr">
        <is>
          <t>AI</t>
        </is>
      </c>
      <c r="AG142" t="inlineStr">
        <is>
          <t>ANALYSIS_BASELINE</t>
        </is>
      </c>
      <c r="AH142" t="inlineStr">
        <is>
          <t>SERVICE</t>
        </is>
      </c>
      <c r="AI142" t="inlineStr">
        <is>
          <t>UNKNOWN</t>
        </is>
      </c>
      <c r="AJ142" t="inlineStr">
        <is>
          <t>C</t>
        </is>
      </c>
      <c r="AK142" t="inlineStr">
        <is>
          <t>核心对象：购买过程；体验：UNKNOWN；证据强度：C。</t>
        </is>
      </c>
      <c r="AL142"/>
      <c r="AM142" t="inlineStr">
        <is>
          <t>ANALYSIS_BASELINE_229.xlsx</t>
        </is>
      </c>
    </row>
    <row r="143" ht="25.5" customHeight="1">
      <c r="A143" t="inlineStr">
        <is>
          <t>DY-SOC-0272_ANALYSIS_BASELINE_formal-attempt-0001_AI</t>
        </is>
      </c>
      <c r="B143" t="inlineStr">
        <is>
          <t>有没有度数高一点的我喝这些酒像喝水一样[捂脸]</t>
        </is>
      </c>
      <c r="C143"/>
      <c r="D143"/>
      <c r="E143"/>
      <c r="F143"/>
      <c r="G143"/>
      <c r="H143"/>
      <c r="I143"/>
      <c r="J143"/>
      <c r="K143"/>
      <c r="L143"/>
      <c r="M143"/>
      <c r="N143"/>
      <c r="O143"/>
      <c r="P143"/>
      <c r="Q143"/>
      <c r="R143"/>
      <c r="S143">
        <v>0.9</v>
      </c>
      <c r="T143" t="inlineStr">
        <is>
          <t>formal-attempt-0001</t>
        </is>
      </c>
      <c r="U143"/>
      <c r="V143"/>
      <c r="W143"/>
      <c r="X143" t="inlineStr">
        <is>
          <t>DY-SOC-0272</t>
        </is>
      </c>
      <c r="Y143"/>
      <c r="Z143"/>
      <c r="AA143"/>
      <c r="AB143"/>
      <c r="AC143"/>
      <c r="AD143"/>
      <c r="AE143"/>
      <c r="AF143" t="inlineStr">
        <is>
          <t>AI</t>
        </is>
      </c>
      <c r="AG143" t="inlineStr">
        <is>
          <t>ANALYSIS_BASELINE</t>
        </is>
      </c>
      <c r="AH143" t="inlineStr">
        <is>
          <t>PRODUCT</t>
        </is>
      </c>
      <c r="AI143" t="inlineStr">
        <is>
          <t>ACTUAL_USE</t>
        </is>
      </c>
      <c r="AJ143" t="inlineStr">
        <is>
          <t>B</t>
        </is>
      </c>
      <c r="AK143" t="inlineStr">
        <is>
          <t>核心对象：酒精度；体验：ACTUAL_USE；证据强度：B。</t>
        </is>
      </c>
      <c r="AL143"/>
      <c r="AM143" t="inlineStr">
        <is>
          <t>ANALYSIS_BASELINE_229.xlsx</t>
        </is>
      </c>
    </row>
    <row r="144" ht="25.5" customHeight="1">
      <c r="A144" t="inlineStr">
        <is>
          <t>DY-SOC-0273_ANALYSIS_BASELINE_formal-attempt-0001_AI</t>
        </is>
      </c>
      <c r="B144" t="inlineStr">
        <is>
          <t>强爽我觉得挺猛啊第一罐确实就是饮料第二罐就有点迷糊三罐我就趴了白酒我就五六两的量</t>
        </is>
      </c>
      <c r="C144"/>
      <c r="D144"/>
      <c r="E144"/>
      <c r="F144"/>
      <c r="G144"/>
      <c r="H144"/>
      <c r="I144"/>
      <c r="J144"/>
      <c r="K144"/>
      <c r="L144"/>
      <c r="M144"/>
      <c r="N144"/>
      <c r="O144"/>
      <c r="P144"/>
      <c r="Q144"/>
      <c r="R144"/>
      <c r="S144">
        <v>0.9</v>
      </c>
      <c r="T144" t="inlineStr">
        <is>
          <t>formal-attempt-0001</t>
        </is>
      </c>
      <c r="U144"/>
      <c r="V144"/>
      <c r="W144"/>
      <c r="X144" t="inlineStr">
        <is>
          <t>DY-SOC-0273</t>
        </is>
      </c>
      <c r="Y144"/>
      <c r="Z144"/>
      <c r="AA144"/>
      <c r="AB144"/>
      <c r="AC144"/>
      <c r="AD144"/>
      <c r="AE144"/>
      <c r="AF144" t="inlineStr">
        <is>
          <t>AI</t>
        </is>
      </c>
      <c r="AG144" t="inlineStr">
        <is>
          <t>ANALYSIS_BASELINE</t>
        </is>
      </c>
      <c r="AH144" t="inlineStr">
        <is>
          <t>PRODUCT</t>
        </is>
      </c>
      <c r="AI144" t="inlineStr">
        <is>
          <t>ACTUAL_USE</t>
        </is>
      </c>
      <c r="AJ144" t="inlineStr">
        <is>
          <t>A</t>
        </is>
      </c>
      <c r="AK144" t="inlineStr">
        <is>
          <t>核心对象：产品酒精感；体验：ACTUAL_USE；证据强度：A。</t>
        </is>
      </c>
      <c r="AL144"/>
      <c r="AM144" t="inlineStr">
        <is>
          <t>ANALYSIS_BASELINE_229.xlsx</t>
        </is>
      </c>
    </row>
    <row r="145" ht="25.5" customHeight="1">
      <c r="A145" t="inlineStr">
        <is>
          <t>DY-SOC-0275_ANALYSIS_BASELINE_formal-attempt-0001_AI</t>
        </is>
      </c>
      <c r="B145" t="inlineStr">
        <is>
          <t>相对于白的我更喜欢鸡尾酒和强爽</t>
        </is>
      </c>
      <c r="C145"/>
      <c r="D145"/>
      <c r="E145"/>
      <c r="F145"/>
      <c r="G145"/>
      <c r="H145"/>
      <c r="I145"/>
      <c r="J145"/>
      <c r="K145"/>
      <c r="L145"/>
      <c r="M145"/>
      <c r="N145"/>
      <c r="O145"/>
      <c r="P145"/>
      <c r="Q145"/>
      <c r="R145"/>
      <c r="S145">
        <v>0.9</v>
      </c>
      <c r="T145" t="inlineStr">
        <is>
          <t>formal-attempt-0001</t>
        </is>
      </c>
      <c r="U145"/>
      <c r="V145"/>
      <c r="W145"/>
      <c r="X145" t="inlineStr">
        <is>
          <t>DY-SOC-0275</t>
        </is>
      </c>
      <c r="Y145"/>
      <c r="Z145"/>
      <c r="AA145"/>
      <c r="AB145"/>
      <c r="AC145"/>
      <c r="AD145"/>
      <c r="AE145"/>
      <c r="AF145" t="inlineStr">
        <is>
          <t>AI</t>
        </is>
      </c>
      <c r="AG145" t="inlineStr">
        <is>
          <t>ANALYSIS_BASELINE</t>
        </is>
      </c>
      <c r="AH145" t="inlineStr">
        <is>
          <t>COMPETITOR</t>
        </is>
      </c>
      <c r="AI145" t="inlineStr">
        <is>
          <t>ACTUAL_USE</t>
        </is>
      </c>
      <c r="AJ145" t="inlineStr">
        <is>
          <t>C</t>
        </is>
      </c>
      <c r="AK145" t="inlineStr">
        <is>
          <t>核心对象：替代选择比较；体验：ACTUAL_USE；证据强度：C。</t>
        </is>
      </c>
      <c r="AL145"/>
      <c r="AM145" t="inlineStr">
        <is>
          <t>ANALYSIS_BASELINE_229.xlsx</t>
        </is>
      </c>
    </row>
    <row r="146" ht="25.5" customHeight="1">
      <c r="A146" t="inlineStr">
        <is>
          <t>MJ-RAW-0225_ANALYSIS_BASELINE_formal-attempt-0001_AI</t>
        </is>
      </c>
      <c r="B146" t="inlineStr">
        <is>
          <t>一到晚上就想喝点</t>
        </is>
      </c>
      <c r="C146"/>
      <c r="D146"/>
      <c r="E146"/>
      <c r="F146"/>
      <c r="G146"/>
      <c r="H146"/>
      <c r="I146"/>
      <c r="J146"/>
      <c r="K146"/>
      <c r="L146"/>
      <c r="M146"/>
      <c r="N146"/>
      <c r="O146"/>
      <c r="P146"/>
      <c r="Q146"/>
      <c r="R146"/>
      <c r="S146">
        <v>0.9</v>
      </c>
      <c r="T146" t="inlineStr">
        <is>
          <t>formal-attempt-0001</t>
        </is>
      </c>
      <c r="U146"/>
      <c r="V146"/>
      <c r="W146"/>
      <c r="X146" t="inlineStr">
        <is>
          <t>MJ-RAW-0225</t>
        </is>
      </c>
      <c r="Y146"/>
      <c r="Z146"/>
      <c r="AA146"/>
      <c r="AB146"/>
      <c r="AC146"/>
      <c r="AD146"/>
      <c r="AE146"/>
      <c r="AF146" t="inlineStr">
        <is>
          <t>AI</t>
        </is>
      </c>
      <c r="AG146" t="inlineStr">
        <is>
          <t>ANALYSIS_BASELINE</t>
        </is>
      </c>
      <c r="AH146" t="inlineStr">
        <is>
          <t>OTHER</t>
        </is>
      </c>
      <c r="AI146" t="inlineStr">
        <is>
          <t>UNKNOWN</t>
        </is>
      </c>
      <c r="AJ146" t="inlineStr">
        <is>
          <t>C</t>
        </is>
      </c>
      <c r="AK146" t="inlineStr">
        <is>
          <t>核心对象：饮酒意向；体验：UNKNOWN；证据强度：C。</t>
        </is>
      </c>
      <c r="AL146"/>
      <c r="AM146" t="inlineStr">
        <is>
          <t>ANALYSIS_BASELINE_229.xlsx</t>
        </is>
      </c>
    </row>
    <row r="147" ht="25.5" customHeight="1">
      <c r="A147" t="inlineStr">
        <is>
          <t>MJ-RAW-0226_ANALYSIS_BASELINE_formal-attempt-0001_AI</t>
        </is>
      </c>
      <c r="B147" t="inlineStr">
        <is>
          <t>微微上头真的很舒服很解压</t>
        </is>
      </c>
      <c r="C147"/>
      <c r="D147"/>
      <c r="E147"/>
      <c r="F147"/>
      <c r="G147"/>
      <c r="H147"/>
      <c r="I147"/>
      <c r="J147"/>
      <c r="K147"/>
      <c r="L147"/>
      <c r="M147"/>
      <c r="N147"/>
      <c r="O147"/>
      <c r="P147"/>
      <c r="Q147"/>
      <c r="R147"/>
      <c r="S147">
        <v>0.9</v>
      </c>
      <c r="T147" t="inlineStr">
        <is>
          <t>formal-attempt-0001</t>
        </is>
      </c>
      <c r="U147"/>
      <c r="V147"/>
      <c r="W147"/>
      <c r="X147" t="inlineStr">
        <is>
          <t>MJ-RAW-0226</t>
        </is>
      </c>
      <c r="Y147"/>
      <c r="Z147"/>
      <c r="AA147"/>
      <c r="AB147"/>
      <c r="AC147"/>
      <c r="AD147"/>
      <c r="AE147"/>
      <c r="AF147" t="inlineStr">
        <is>
          <t>AI</t>
        </is>
      </c>
      <c r="AG147" t="inlineStr">
        <is>
          <t>ANALYSIS_BASELINE</t>
        </is>
      </c>
      <c r="AH147" t="inlineStr">
        <is>
          <t>SCENE</t>
        </is>
      </c>
      <c r="AI147" t="inlineStr">
        <is>
          <t>ACTUAL_USE</t>
        </is>
      </c>
      <c r="AJ147" t="inlineStr">
        <is>
          <t>B</t>
        </is>
      </c>
      <c r="AK147" t="inlineStr">
        <is>
          <t>核心对象：饮后情绪状态；体验：ACTUAL_USE；证据强度：B。</t>
        </is>
      </c>
      <c r="AL147"/>
      <c r="AM147" t="inlineStr">
        <is>
          <t>ANALYSIS_BASELINE_229.xlsx</t>
        </is>
      </c>
    </row>
    <row r="148" ht="25.5" customHeight="1">
      <c r="A148" t="inlineStr">
        <is>
          <t>MJ-RAW-0228_ANALYSIS_BASELINE_formal-attempt-0001_AI</t>
        </is>
      </c>
      <c r="B148" t="inlineStr">
        <is>
          <t>一瓶酒等那么久，喝起来肯定很珍贵</t>
        </is>
      </c>
      <c r="C148"/>
      <c r="D148"/>
      <c r="E148"/>
      <c r="F148"/>
      <c r="G148"/>
      <c r="H148"/>
      <c r="I148"/>
      <c r="J148"/>
      <c r="K148"/>
      <c r="L148"/>
      <c r="M148"/>
      <c r="N148"/>
      <c r="O148"/>
      <c r="P148"/>
      <c r="Q148"/>
      <c r="R148"/>
      <c r="S148">
        <v>0.7</v>
      </c>
      <c r="T148" t="inlineStr">
        <is>
          <t>formal-attempt-0001</t>
        </is>
      </c>
      <c r="U148"/>
      <c r="V148"/>
      <c r="W148"/>
      <c r="X148" t="inlineStr">
        <is>
          <t>MJ-RAW-0228</t>
        </is>
      </c>
      <c r="Y148"/>
      <c r="Z148"/>
      <c r="AA148"/>
      <c r="AB148"/>
      <c r="AC148"/>
      <c r="AD148"/>
      <c r="AE148"/>
      <c r="AF148" t="inlineStr">
        <is>
          <t>AI</t>
        </is>
      </c>
      <c r="AG148" t="inlineStr">
        <is>
          <t>ANALYSIS_BASELINE</t>
        </is>
      </c>
      <c r="AH148" t="inlineStr">
        <is>
          <t>PRODUCT</t>
        </is>
      </c>
      <c r="AI148" t="inlineStr">
        <is>
          <t>UNKNOWN</t>
        </is>
      </c>
      <c r="AJ148" t="inlineStr">
        <is>
          <t>B</t>
        </is>
      </c>
      <c r="AK148" t="inlineStr">
        <is>
          <t>核心对象：产品价值感；体验：UNKNOWN；证据强度：B。</t>
        </is>
      </c>
      <c r="AL148"/>
      <c r="AM148" t="inlineStr">
        <is>
          <t>ANALYSIS_BASELINE_229.xlsx</t>
        </is>
      </c>
    </row>
    <row r="149" ht="25.5" customHeight="1">
      <c r="A149" t="inlineStr">
        <is>
          <t>DY-SOC-0104_ANALYSIS_BASELINE_formal-attempt-0001_AI</t>
        </is>
      </c>
      <c r="B149" t="inlineStr">
        <is>
          <t>微醺是成年人的快乐</t>
        </is>
      </c>
      <c r="C149"/>
      <c r="D149"/>
      <c r="E149"/>
      <c r="F149"/>
      <c r="G149"/>
      <c r="H149"/>
      <c r="I149"/>
      <c r="J149"/>
      <c r="K149"/>
      <c r="L149"/>
      <c r="M149"/>
      <c r="N149"/>
      <c r="O149"/>
      <c r="P149"/>
      <c r="Q149"/>
      <c r="R149"/>
      <c r="S149">
        <v>0.9</v>
      </c>
      <c r="T149" t="inlineStr">
        <is>
          <t>formal-attempt-0001</t>
        </is>
      </c>
      <c r="U149"/>
      <c r="V149"/>
      <c r="W149"/>
      <c r="X149" t="inlineStr">
        <is>
          <t>DY-SOC-0104</t>
        </is>
      </c>
      <c r="Y149"/>
      <c r="Z149"/>
      <c r="AA149"/>
      <c r="AB149"/>
      <c r="AC149"/>
      <c r="AD149"/>
      <c r="AE149"/>
      <c r="AF149" t="inlineStr">
        <is>
          <t>AI</t>
        </is>
      </c>
      <c r="AG149" t="inlineStr">
        <is>
          <t>ANALYSIS_BASELINE</t>
        </is>
      </c>
      <c r="AH149" t="inlineStr">
        <is>
          <t>SCENE</t>
        </is>
      </c>
      <c r="AI149" t="inlineStr">
        <is>
          <t>UNKNOWN</t>
        </is>
      </c>
      <c r="AJ149" t="inlineStr">
        <is>
          <t>C</t>
        </is>
      </c>
      <c r="AK149" t="inlineStr">
        <is>
          <t>核心对象：饮后状态；体验：UNKNOWN；证据强度：C。</t>
        </is>
      </c>
      <c r="AL149"/>
      <c r="AM149" t="inlineStr">
        <is>
          <t>ANALYSIS_BASELINE_229.xlsx</t>
        </is>
      </c>
    </row>
    <row r="150" ht="25.5" customHeight="1">
      <c r="A150" t="inlineStr">
        <is>
          <t>DY-SOC-0105_ANALYSIS_BASELINE_formal-attempt-0001_AI</t>
        </is>
      </c>
      <c r="B150" t="inlineStr">
        <is>
          <t>傍晚小酌的微醺感真的太治愈了这氛围看着就放松</t>
        </is>
      </c>
      <c r="C150"/>
      <c r="D150"/>
      <c r="E150"/>
      <c r="F150"/>
      <c r="G150"/>
      <c r="H150"/>
      <c r="I150"/>
      <c r="J150"/>
      <c r="K150"/>
      <c r="L150"/>
      <c r="M150"/>
      <c r="N150"/>
      <c r="O150"/>
      <c r="P150"/>
      <c r="Q150"/>
      <c r="R150"/>
      <c r="S150">
        <v>0.9</v>
      </c>
      <c r="T150" t="inlineStr">
        <is>
          <t>formal-attempt-0001</t>
        </is>
      </c>
      <c r="U150"/>
      <c r="V150"/>
      <c r="W150"/>
      <c r="X150" t="inlineStr">
        <is>
          <t>DY-SOC-0105</t>
        </is>
      </c>
      <c r="Y150"/>
      <c r="Z150"/>
      <c r="AA150"/>
      <c r="AB150"/>
      <c r="AC150"/>
      <c r="AD150"/>
      <c r="AE150"/>
      <c r="AF150" t="inlineStr">
        <is>
          <t>AI</t>
        </is>
      </c>
      <c r="AG150" t="inlineStr">
        <is>
          <t>ANALYSIS_BASELINE</t>
        </is>
      </c>
      <c r="AH150" t="inlineStr">
        <is>
          <t>SCENE</t>
        </is>
      </c>
      <c r="AI150" t="inlineStr">
        <is>
          <t>UNKNOWN</t>
        </is>
      </c>
      <c r="AJ150" t="inlineStr">
        <is>
          <t>A</t>
        </is>
      </c>
      <c r="AK150" t="inlineStr">
        <is>
          <t>核心对象：饮酒场景与饮后状态；体验：UNKNOWN；证据强度：A。</t>
        </is>
      </c>
      <c r="AL150"/>
      <c r="AM150" t="inlineStr">
        <is>
          <t>ANALYSIS_BASELINE_229.xlsx</t>
        </is>
      </c>
    </row>
    <row r="151" ht="25.5" customHeight="1">
      <c r="A151" t="inlineStr">
        <is>
          <t>DY-SOC-0107_ANALYSIS_BASELINE_formal-attempt-0001_AI</t>
        </is>
      </c>
      <c r="B151" t="inlineStr">
        <is>
          <t>微醺的快乐只有打工人懂</t>
        </is>
      </c>
      <c r="C151"/>
      <c r="D151"/>
      <c r="E151"/>
      <c r="F151"/>
      <c r="G151"/>
      <c r="H151"/>
      <c r="I151"/>
      <c r="J151"/>
      <c r="K151"/>
      <c r="L151"/>
      <c r="M151"/>
      <c r="N151"/>
      <c r="O151"/>
      <c r="P151"/>
      <c r="Q151"/>
      <c r="R151"/>
      <c r="S151">
        <v>0.9</v>
      </c>
      <c r="T151" t="inlineStr">
        <is>
          <t>formal-attempt-0001</t>
        </is>
      </c>
      <c r="U151"/>
      <c r="V151"/>
      <c r="W151"/>
      <c r="X151" t="inlineStr">
        <is>
          <t>DY-SOC-0107</t>
        </is>
      </c>
      <c r="Y151"/>
      <c r="Z151"/>
      <c r="AA151"/>
      <c r="AB151"/>
      <c r="AC151"/>
      <c r="AD151"/>
      <c r="AE151"/>
      <c r="AF151" t="inlineStr">
        <is>
          <t>AI</t>
        </is>
      </c>
      <c r="AG151" t="inlineStr">
        <is>
          <t>ANALYSIS_BASELINE</t>
        </is>
      </c>
      <c r="AH151" t="inlineStr">
        <is>
          <t>SCENE</t>
        </is>
      </c>
      <c r="AI151" t="inlineStr">
        <is>
          <t>UNKNOWN</t>
        </is>
      </c>
      <c r="AJ151" t="inlineStr">
        <is>
          <t>C</t>
        </is>
      </c>
      <c r="AK151" t="inlineStr">
        <is>
          <t>核心对象：饮后状态与饮用人群；体验：UNKNOWN；证据强度：C。</t>
        </is>
      </c>
      <c r="AL151"/>
      <c r="AM151" t="inlineStr">
        <is>
          <t>ANALYSIS_BASELINE_229.xlsx</t>
        </is>
      </c>
    </row>
    <row r="152" ht="25.5" customHeight="1">
      <c r="A152" t="inlineStr">
        <is>
          <t>DY-SOC-0108_ANALYSIS_BASELINE_formal-attempt-0001_AI</t>
        </is>
      </c>
      <c r="B152" t="inlineStr">
        <is>
          <t>酒精度不高吧适合微醺</t>
        </is>
      </c>
      <c r="C152"/>
      <c r="D152"/>
      <c r="E152"/>
      <c r="F152"/>
      <c r="G152"/>
      <c r="H152"/>
      <c r="I152"/>
      <c r="J152"/>
      <c r="K152"/>
      <c r="L152"/>
      <c r="M152"/>
      <c r="N152"/>
      <c r="O152"/>
      <c r="P152"/>
      <c r="Q152"/>
      <c r="R152"/>
      <c r="S152">
        <v>0.9</v>
      </c>
      <c r="T152" t="inlineStr">
        <is>
          <t>formal-attempt-0001</t>
        </is>
      </c>
      <c r="U152"/>
      <c r="V152"/>
      <c r="W152"/>
      <c r="X152" t="inlineStr">
        <is>
          <t>DY-SOC-0108</t>
        </is>
      </c>
      <c r="Y152"/>
      <c r="Z152"/>
      <c r="AA152"/>
      <c r="AB152"/>
      <c r="AC152"/>
      <c r="AD152"/>
      <c r="AE152"/>
      <c r="AF152" t="inlineStr">
        <is>
          <t>AI</t>
        </is>
      </c>
      <c r="AG152" t="inlineStr">
        <is>
          <t>ANALYSIS_BASELINE</t>
        </is>
      </c>
      <c r="AH152" t="inlineStr">
        <is>
          <t>PRODUCT</t>
        </is>
      </c>
      <c r="AI152" t="inlineStr">
        <is>
          <t>ACTUAL_USE</t>
        </is>
      </c>
      <c r="AJ152" t="inlineStr">
        <is>
          <t>B</t>
        </is>
      </c>
      <c r="AK152" t="inlineStr">
        <is>
          <t>核心对象：产品酒精度；体验：ACTUAL_USE；证据强度：B。</t>
        </is>
      </c>
      <c r="AL152"/>
      <c r="AM152" t="inlineStr">
        <is>
          <t>ANALYSIS_BASELINE_229.xlsx</t>
        </is>
      </c>
    </row>
    <row r="153" ht="25.5" customHeight="1">
      <c r="A153" t="inlineStr">
        <is>
          <t>DY-SOC-0109_ANALYSIS_BASELINE_formal-attempt-0001_AI</t>
        </is>
      </c>
      <c r="B153" t="inlineStr">
        <is>
          <t>周末和闺蜜的微醺火锅局</t>
        </is>
      </c>
      <c r="C153"/>
      <c r="D153"/>
      <c r="E153"/>
      <c r="F153"/>
      <c r="G153"/>
      <c r="H153"/>
      <c r="I153"/>
      <c r="J153"/>
      <c r="K153"/>
      <c r="L153"/>
      <c r="M153"/>
      <c r="N153"/>
      <c r="O153"/>
      <c r="P153"/>
      <c r="Q153"/>
      <c r="R153"/>
      <c r="S153">
        <v>0.9</v>
      </c>
      <c r="T153" t="inlineStr">
        <is>
          <t>formal-attempt-0001</t>
        </is>
      </c>
      <c r="U153"/>
      <c r="V153"/>
      <c r="W153"/>
      <c r="X153" t="inlineStr">
        <is>
          <t>DY-SOC-0109</t>
        </is>
      </c>
      <c r="Y153"/>
      <c r="Z153"/>
      <c r="AA153"/>
      <c r="AB153"/>
      <c r="AC153"/>
      <c r="AD153"/>
      <c r="AE153"/>
      <c r="AF153" t="inlineStr">
        <is>
          <t>AI</t>
        </is>
      </c>
      <c r="AG153" t="inlineStr">
        <is>
          <t>ANALYSIS_BASELINE</t>
        </is>
      </c>
      <c r="AH153" t="inlineStr">
        <is>
          <t>SCENE</t>
        </is>
      </c>
      <c r="AI153" t="inlineStr">
        <is>
          <t>UNKNOWN</t>
        </is>
      </c>
      <c r="AJ153" t="inlineStr">
        <is>
          <t>C</t>
        </is>
      </c>
      <c r="AK153" t="inlineStr">
        <is>
          <t>核心对象：饮酒场景；体验：UNKNOWN；证据强度：C。</t>
        </is>
      </c>
      <c r="AL153"/>
      <c r="AM153" t="inlineStr">
        <is>
          <t>ANALYSIS_BASELINE_229.xlsx</t>
        </is>
      </c>
    </row>
    <row r="154" ht="25.5" customHeight="1">
      <c r="A154" t="inlineStr">
        <is>
          <t>DY-SOC-0110_ANALYSIS_BASELINE_formal-attempt-0001_AI</t>
        </is>
      </c>
      <c r="B154" t="inlineStr">
        <is>
          <t>微醺果酒系列太懂女生了</t>
        </is>
      </c>
      <c r="C154"/>
      <c r="D154"/>
      <c r="E154"/>
      <c r="F154"/>
      <c r="G154"/>
      <c r="H154"/>
      <c r="I154"/>
      <c r="J154"/>
      <c r="K154"/>
      <c r="L154"/>
      <c r="M154"/>
      <c r="N154"/>
      <c r="O154"/>
      <c r="P154"/>
      <c r="Q154"/>
      <c r="R154"/>
      <c r="S154">
        <v>0.9</v>
      </c>
      <c r="T154" t="inlineStr">
        <is>
          <t>formal-attempt-0001</t>
        </is>
      </c>
      <c r="U154"/>
      <c r="V154"/>
      <c r="W154"/>
      <c r="X154" t="inlineStr">
        <is>
          <t>DY-SOC-0110</t>
        </is>
      </c>
      <c r="Y154"/>
      <c r="Z154"/>
      <c r="AA154"/>
      <c r="AB154"/>
      <c r="AC154"/>
      <c r="AD154"/>
      <c r="AE154"/>
      <c r="AF154" t="inlineStr">
        <is>
          <t>AI</t>
        </is>
      </c>
      <c r="AG154" t="inlineStr">
        <is>
          <t>ANALYSIS_BASELINE</t>
        </is>
      </c>
      <c r="AH154" t="inlineStr">
        <is>
          <t>PRODUCT</t>
        </is>
      </c>
      <c r="AI154" t="inlineStr">
        <is>
          <t>UNKNOWN</t>
        </is>
      </c>
      <c r="AJ154" t="inlineStr">
        <is>
          <t>C</t>
        </is>
      </c>
      <c r="AK154" t="inlineStr">
        <is>
          <t>核心对象：产品系列；体验：UNKNOWN；证据强度：C。</t>
        </is>
      </c>
      <c r="AL154"/>
      <c r="AM154" t="inlineStr">
        <is>
          <t>ANALYSIS_BASELINE_229.xlsx</t>
        </is>
      </c>
    </row>
    <row r="155" ht="25.5" customHeight="1">
      <c r="A155" t="inlineStr">
        <is>
          <t>DY-SOC-0111_ANALYSIS_BASELINE_formal-attempt-0001_AI</t>
        </is>
      </c>
      <c r="B155" t="inlineStr">
        <is>
          <t>好上头昨晚试过了</t>
        </is>
      </c>
      <c r="C155"/>
      <c r="D155"/>
      <c r="E155"/>
      <c r="F155"/>
      <c r="G155"/>
      <c r="H155"/>
      <c r="I155"/>
      <c r="J155"/>
      <c r="K155"/>
      <c r="L155"/>
      <c r="M155"/>
      <c r="N155"/>
      <c r="O155"/>
      <c r="P155"/>
      <c r="Q155"/>
      <c r="R155"/>
      <c r="S155">
        <v>0.9</v>
      </c>
      <c r="T155" t="inlineStr">
        <is>
          <t>formal-attempt-0001</t>
        </is>
      </c>
      <c r="U155"/>
      <c r="V155"/>
      <c r="W155"/>
      <c r="X155" t="inlineStr">
        <is>
          <t>DY-SOC-0111</t>
        </is>
      </c>
      <c r="Y155"/>
      <c r="Z155"/>
      <c r="AA155"/>
      <c r="AB155"/>
      <c r="AC155"/>
      <c r="AD155"/>
      <c r="AE155"/>
      <c r="AF155" t="inlineStr">
        <is>
          <t>AI</t>
        </is>
      </c>
      <c r="AG155" t="inlineStr">
        <is>
          <t>ANALYSIS_BASELINE</t>
        </is>
      </c>
      <c r="AH155" t="inlineStr">
        <is>
          <t>PRODUCT</t>
        </is>
      </c>
      <c r="AI155" t="inlineStr">
        <is>
          <t>ACTUAL_USE</t>
        </is>
      </c>
      <c r="AJ155" t="inlineStr">
        <is>
          <t>B</t>
        </is>
      </c>
      <c r="AK155" t="inlineStr">
        <is>
          <t>核心对象：产品酒精感；体验：ACTUAL_USE；证据强度：B。</t>
        </is>
      </c>
      <c r="AL155"/>
      <c r="AM155" t="inlineStr">
        <is>
          <t>ANALYSIS_BASELINE_229.xlsx</t>
        </is>
      </c>
    </row>
    <row r="156" ht="25.5" customHeight="1">
      <c r="A156" t="inlineStr">
        <is>
          <t>DY-SOC-0114_ANALYSIS_BASELINE_formal-attempt-0001_AI</t>
        </is>
      </c>
      <c r="B156" t="inlineStr">
        <is>
          <t>古6喝完第二天头疼的要裂开</t>
        </is>
      </c>
      <c r="C156"/>
      <c r="D156"/>
      <c r="E156"/>
      <c r="F156"/>
      <c r="G156"/>
      <c r="H156"/>
      <c r="I156"/>
      <c r="J156"/>
      <c r="K156"/>
      <c r="L156"/>
      <c r="M156"/>
      <c r="N156"/>
      <c r="O156"/>
      <c r="P156"/>
      <c r="Q156"/>
      <c r="R156"/>
      <c r="S156">
        <v>0.9</v>
      </c>
      <c r="T156" t="inlineStr">
        <is>
          <t>formal-attempt-0001</t>
        </is>
      </c>
      <c r="U156"/>
      <c r="V156"/>
      <c r="W156"/>
      <c r="X156" t="inlineStr">
        <is>
          <t>DY-SOC-0114</t>
        </is>
      </c>
      <c r="Y156"/>
      <c r="Z156"/>
      <c r="AA156"/>
      <c r="AB156"/>
      <c r="AC156"/>
      <c r="AD156"/>
      <c r="AE156"/>
      <c r="AF156" t="inlineStr">
        <is>
          <t>AI</t>
        </is>
      </c>
      <c r="AG156" t="inlineStr">
        <is>
          <t>ANALYSIS_BASELINE</t>
        </is>
      </c>
      <c r="AH156" t="inlineStr">
        <is>
          <t>SCENE</t>
        </is>
      </c>
      <c r="AI156" t="inlineStr">
        <is>
          <t>ACTUAL_USE</t>
        </is>
      </c>
      <c r="AJ156" t="inlineStr">
        <is>
          <t>A</t>
        </is>
      </c>
      <c r="AK156" t="inlineStr">
        <is>
          <t>核心对象：饮后身体反应；体验：ACTUAL_USE；证据强度：A。</t>
        </is>
      </c>
      <c r="AL156"/>
      <c r="AM156" t="inlineStr">
        <is>
          <t>ANALYSIS_BASELINE_229.xlsx</t>
        </is>
      </c>
    </row>
    <row r="157" ht="25.5" customHeight="1">
      <c r="A157" t="inlineStr">
        <is>
          <t>DY-SOC-0115_ANALYSIS_BASELINE_formal-attempt-0001_AI</t>
        </is>
      </c>
      <c r="B157" t="inlineStr">
        <is>
          <t>50度60度那也是酒这个虽然5度它也不是酒喝酒不上头不代表喝酒精饮料不上头</t>
        </is>
      </c>
      <c r="C157"/>
      <c r="D157"/>
      <c r="E157"/>
      <c r="F157"/>
      <c r="G157"/>
      <c r="H157"/>
      <c r="I157"/>
      <c r="J157"/>
      <c r="K157"/>
      <c r="L157"/>
      <c r="M157"/>
      <c r="N157"/>
      <c r="O157"/>
      <c r="P157"/>
      <c r="Q157"/>
      <c r="R157"/>
      <c r="S157">
        <v>0.9</v>
      </c>
      <c r="T157" t="inlineStr">
        <is>
          <t>formal-attempt-0001</t>
        </is>
      </c>
      <c r="U157"/>
      <c r="V157"/>
      <c r="W157"/>
      <c r="X157" t="inlineStr">
        <is>
          <t>DY-SOC-0115</t>
        </is>
      </c>
      <c r="Y157"/>
      <c r="Z157"/>
      <c r="AA157"/>
      <c r="AB157"/>
      <c r="AC157"/>
      <c r="AD157"/>
      <c r="AE157"/>
      <c r="AF157" t="inlineStr">
        <is>
          <t>AI</t>
        </is>
      </c>
      <c r="AG157" t="inlineStr">
        <is>
          <t>ANALYSIS_BASELINE</t>
        </is>
      </c>
      <c r="AH157" t="inlineStr">
        <is>
          <t>OTHER</t>
        </is>
      </c>
      <c r="AI157" t="inlineStr">
        <is>
          <t>UNKNOWN</t>
        </is>
      </c>
      <c r="AJ157" t="inlineStr">
        <is>
          <t>B</t>
        </is>
      </c>
      <c r="AK157" t="inlineStr">
        <is>
          <t>核心对象：通用酒精知识；体验：UNKNOWN；证据强度：B。</t>
        </is>
      </c>
      <c r="AL157"/>
      <c r="AM157" t="inlineStr">
        <is>
          <t>ANALYSIS_BASELINE_229.xlsx</t>
        </is>
      </c>
    </row>
    <row r="158" ht="25.5" customHeight="1">
      <c r="A158" t="inlineStr">
        <is>
          <t>DY-SOC-0116_ANALYSIS_BASELINE_formal-attempt-0001_AI</t>
        </is>
      </c>
      <c r="B158" t="inlineStr">
        <is>
          <t>强爽给我的感觉不像是醉了像是中毒了尤其是第二天难受的要死</t>
        </is>
      </c>
      <c r="C158"/>
      <c r="D158"/>
      <c r="E158"/>
      <c r="F158"/>
      <c r="G158"/>
      <c r="H158"/>
      <c r="I158"/>
      <c r="J158"/>
      <c r="K158"/>
      <c r="L158"/>
      <c r="M158"/>
      <c r="N158"/>
      <c r="O158"/>
      <c r="P158"/>
      <c r="Q158"/>
      <c r="R158"/>
      <c r="S158">
        <v>0.9</v>
      </c>
      <c r="T158" t="inlineStr">
        <is>
          <t>formal-attempt-0001</t>
        </is>
      </c>
      <c r="U158"/>
      <c r="V158"/>
      <c r="W158"/>
      <c r="X158" t="inlineStr">
        <is>
          <t>DY-SOC-0116</t>
        </is>
      </c>
      <c r="Y158"/>
      <c r="Z158"/>
      <c r="AA158"/>
      <c r="AB158"/>
      <c r="AC158"/>
      <c r="AD158"/>
      <c r="AE158"/>
      <c r="AF158" t="inlineStr">
        <is>
          <t>AI</t>
        </is>
      </c>
      <c r="AG158" t="inlineStr">
        <is>
          <t>ANALYSIS_BASELINE</t>
        </is>
      </c>
      <c r="AH158" t="inlineStr">
        <is>
          <t>SCENE</t>
        </is>
      </c>
      <c r="AI158" t="inlineStr">
        <is>
          <t>ACTUAL_USE</t>
        </is>
      </c>
      <c r="AJ158" t="inlineStr">
        <is>
          <t>A</t>
        </is>
      </c>
      <c r="AK158" t="inlineStr">
        <is>
          <t>核心对象：饮后状态与身体反应；体验：ACTUAL_USE；证据强度：A。</t>
        </is>
      </c>
      <c r="AL158"/>
      <c r="AM158" t="inlineStr">
        <is>
          <t>ANALYSIS_BASELINE_229.xlsx</t>
        </is>
      </c>
    </row>
    <row r="159" ht="25.5" customHeight="1">
      <c r="A159" t="inlineStr">
        <is>
          <t>XHS-SOC-0198_ANALYSIS_BASELINE_formal-attempt-0001_AI</t>
        </is>
      </c>
      <c r="B159" t="inlineStr">
        <is>
          <t>冰箱冷藏，昨晚喝了半瓶，晚上睡觉睡得都好</t>
        </is>
      </c>
      <c r="C159"/>
      <c r="D159"/>
      <c r="E159"/>
      <c r="F159"/>
      <c r="G159"/>
      <c r="H159"/>
      <c r="I159"/>
      <c r="J159"/>
      <c r="K159"/>
      <c r="L159"/>
      <c r="M159"/>
      <c r="N159"/>
      <c r="O159"/>
      <c r="P159"/>
      <c r="Q159"/>
      <c r="R159"/>
      <c r="S159">
        <v>0.9</v>
      </c>
      <c r="T159" t="inlineStr">
        <is>
          <t>formal-attempt-0001</t>
        </is>
      </c>
      <c r="U159"/>
      <c r="V159"/>
      <c r="W159"/>
      <c r="X159" t="inlineStr">
        <is>
          <t>XHS-SOC-0198</t>
        </is>
      </c>
      <c r="Y159"/>
      <c r="Z159"/>
      <c r="AA159"/>
      <c r="AB159"/>
      <c r="AC159"/>
      <c r="AD159"/>
      <c r="AE159"/>
      <c r="AF159" t="inlineStr">
        <is>
          <t>AI</t>
        </is>
      </c>
      <c r="AG159" t="inlineStr">
        <is>
          <t>ANALYSIS_BASELINE</t>
        </is>
      </c>
      <c r="AH159" t="inlineStr">
        <is>
          <t>SCENE</t>
        </is>
      </c>
      <c r="AI159" t="inlineStr">
        <is>
          <t>ACTUAL_USE</t>
        </is>
      </c>
      <c r="AJ159" t="inlineStr">
        <is>
          <t>A</t>
        </is>
      </c>
      <c r="AK159" t="inlineStr">
        <is>
          <t>核心对象：饮用行为与饮后状态；体验：ACTUAL_USE；证据强度：A。</t>
        </is>
      </c>
      <c r="AL159"/>
      <c r="AM159" t="inlineStr">
        <is>
          <t>ANALYSIS_BASELINE_229.xlsx</t>
        </is>
      </c>
    </row>
    <row r="160" ht="25.5" customHeight="1">
      <c r="A160" t="inlineStr">
        <is>
          <t>XHS-SOC-0210_ANALYSIS_BASELINE_formal-attempt-0001_AI</t>
        </is>
      </c>
      <c r="B160" t="inlineStr">
        <is>
          <t>怎么说呢，喝酒微醺有助于睡眠，而睡眠好对身体有好处，也就是说喝酒有好处</t>
        </is>
      </c>
      <c r="C160"/>
      <c r="D160"/>
      <c r="E160"/>
      <c r="F160"/>
      <c r="G160"/>
      <c r="H160"/>
      <c r="I160"/>
      <c r="J160"/>
      <c r="K160"/>
      <c r="L160"/>
      <c r="M160"/>
      <c r="N160"/>
      <c r="O160"/>
      <c r="P160"/>
      <c r="Q160"/>
      <c r="R160"/>
      <c r="S160">
        <v>0.9</v>
      </c>
      <c r="T160" t="inlineStr">
        <is>
          <t>formal-attempt-0001</t>
        </is>
      </c>
      <c r="U160"/>
      <c r="V160"/>
      <c r="W160"/>
      <c r="X160" t="inlineStr">
        <is>
          <t>XHS-SOC-0210</t>
        </is>
      </c>
      <c r="Y160"/>
      <c r="Z160"/>
      <c r="AA160"/>
      <c r="AB160"/>
      <c r="AC160"/>
      <c r="AD160"/>
      <c r="AE160"/>
      <c r="AF160" t="inlineStr">
        <is>
          <t>AI</t>
        </is>
      </c>
      <c r="AG160" t="inlineStr">
        <is>
          <t>ANALYSIS_BASELINE</t>
        </is>
      </c>
      <c r="AH160" t="inlineStr">
        <is>
          <t>OTHER</t>
        </is>
      </c>
      <c r="AI160" t="inlineStr">
        <is>
          <t>UNKNOWN</t>
        </is>
      </c>
      <c r="AJ160" t="inlineStr">
        <is>
          <t>B</t>
        </is>
      </c>
      <c r="AK160" t="inlineStr">
        <is>
          <t>核心对象：通用酒精健康观点；体验：UNKNOWN；证据强度：B。</t>
        </is>
      </c>
      <c r="AL160"/>
      <c r="AM160" t="inlineStr">
        <is>
          <t>ANALYSIS_BASELINE_229.xlsx</t>
        </is>
      </c>
    </row>
    <row r="161" ht="25.5" customHeight="1">
      <c r="A161" t="inlineStr">
        <is>
          <t>XHS-SOC-0212_ANALYSIS_BASELINE_formal-attempt-0001_AI</t>
        </is>
      </c>
      <c r="B161" t="inlineStr">
        <is>
          <t>喝着酒没味了和喝白水一样就包醉了</t>
        </is>
      </c>
      <c r="C161"/>
      <c r="D161"/>
      <c r="E161"/>
      <c r="F161"/>
      <c r="G161"/>
      <c r="H161"/>
      <c r="I161"/>
      <c r="J161"/>
      <c r="K161"/>
      <c r="L161"/>
      <c r="M161"/>
      <c r="N161"/>
      <c r="O161"/>
      <c r="P161"/>
      <c r="Q161"/>
      <c r="R161"/>
      <c r="S161">
        <v>0.7</v>
      </c>
      <c r="T161" t="inlineStr">
        <is>
          <t>formal-attempt-0001</t>
        </is>
      </c>
      <c r="U161"/>
      <c r="V161"/>
      <c r="W161"/>
      <c r="X161" t="inlineStr">
        <is>
          <t>XHS-SOC-0212</t>
        </is>
      </c>
      <c r="Y161"/>
      <c r="Z161"/>
      <c r="AA161"/>
      <c r="AB161"/>
      <c r="AC161"/>
      <c r="AD161"/>
      <c r="AE161"/>
      <c r="AF161" t="inlineStr">
        <is>
          <t>AI</t>
        </is>
      </c>
      <c r="AG161" t="inlineStr">
        <is>
          <t>ANALYSIS_BASELINE</t>
        </is>
      </c>
      <c r="AH161" t="inlineStr">
        <is>
          <t>PRODUCT</t>
        </is>
      </c>
      <c r="AI161" t="inlineStr">
        <is>
          <t>ACTUAL_USE</t>
        </is>
      </c>
      <c r="AJ161" t="inlineStr">
        <is>
          <t>B</t>
        </is>
      </c>
      <c r="AK161" t="inlineStr">
        <is>
          <t>核心对象：产品口味与酒精感；体验：ACTUAL_USE；证据强度：B。</t>
        </is>
      </c>
      <c r="AL161"/>
      <c r="AM161" t="inlineStr">
        <is>
          <t>ANALYSIS_BASELINE_229.xlsx</t>
        </is>
      </c>
    </row>
    <row r="162" ht="25.5" customHeight="1">
      <c r="A162" t="inlineStr">
        <is>
          <t>XHS-SOC-0232_ANALYSIS_BASELINE_formal-attempt-0001_AI</t>
        </is>
      </c>
      <c r="B162" t="inlineStr">
        <is>
          <t>一个人的微醺才是最放松的</t>
        </is>
      </c>
      <c r="C162"/>
      <c r="D162"/>
      <c r="E162"/>
      <c r="F162"/>
      <c r="G162"/>
      <c r="H162"/>
      <c r="I162"/>
      <c r="J162"/>
      <c r="K162"/>
      <c r="L162"/>
      <c r="M162"/>
      <c r="N162"/>
      <c r="O162"/>
      <c r="P162"/>
      <c r="Q162"/>
      <c r="R162"/>
      <c r="S162">
        <v>0.9</v>
      </c>
      <c r="T162" t="inlineStr">
        <is>
          <t>formal-attempt-0001</t>
        </is>
      </c>
      <c r="U162"/>
      <c r="V162"/>
      <c r="W162"/>
      <c r="X162" t="inlineStr">
        <is>
          <t>XHS-SOC-0232</t>
        </is>
      </c>
      <c r="Y162"/>
      <c r="Z162"/>
      <c r="AA162"/>
      <c r="AB162"/>
      <c r="AC162"/>
      <c r="AD162"/>
      <c r="AE162"/>
      <c r="AF162" t="inlineStr">
        <is>
          <t>AI</t>
        </is>
      </c>
      <c r="AG162" t="inlineStr">
        <is>
          <t>ANALYSIS_BASELINE</t>
        </is>
      </c>
      <c r="AH162" t="inlineStr">
        <is>
          <t>SCENE</t>
        </is>
      </c>
      <c r="AI162" t="inlineStr">
        <is>
          <t>ACTUAL_USE</t>
        </is>
      </c>
      <c r="AJ162" t="inlineStr">
        <is>
          <t>B</t>
        </is>
      </c>
      <c r="AK162" t="inlineStr">
        <is>
          <t>核心对象：独处微醺状态；体验：ACTUAL_USE；证据强度：B。</t>
        </is>
      </c>
      <c r="AL162"/>
      <c r="AM162" t="inlineStr">
        <is>
          <t>ANALYSIS_BASELINE_229.xlsx</t>
        </is>
      </c>
    </row>
    <row r="163" ht="25.5" customHeight="1">
      <c r="A163" t="inlineStr">
        <is>
          <t>XHS-SOC-0233_ANALYSIS_BASELINE_formal-attempt-0001_AI</t>
        </is>
      </c>
      <c r="B163" t="inlineStr">
        <is>
          <t>就喜欢一个人微醺</t>
        </is>
      </c>
      <c r="C163"/>
      <c r="D163"/>
      <c r="E163"/>
      <c r="F163"/>
      <c r="G163"/>
      <c r="H163"/>
      <c r="I163"/>
      <c r="J163"/>
      <c r="K163"/>
      <c r="L163"/>
      <c r="M163"/>
      <c r="N163"/>
      <c r="O163"/>
      <c r="P163"/>
      <c r="Q163"/>
      <c r="R163"/>
      <c r="S163">
        <v>0.9</v>
      </c>
      <c r="T163" t="inlineStr">
        <is>
          <t>formal-attempt-0001</t>
        </is>
      </c>
      <c r="U163"/>
      <c r="V163"/>
      <c r="W163"/>
      <c r="X163" t="inlineStr">
        <is>
          <t>XHS-SOC-0233</t>
        </is>
      </c>
      <c r="Y163"/>
      <c r="Z163"/>
      <c r="AA163"/>
      <c r="AB163"/>
      <c r="AC163"/>
      <c r="AD163"/>
      <c r="AE163"/>
      <c r="AF163" t="inlineStr">
        <is>
          <t>AI</t>
        </is>
      </c>
      <c r="AG163" t="inlineStr">
        <is>
          <t>ANALYSIS_BASELINE</t>
        </is>
      </c>
      <c r="AH163" t="inlineStr">
        <is>
          <t>SCENE</t>
        </is>
      </c>
      <c r="AI163" t="inlineStr">
        <is>
          <t>ACTUAL_USE</t>
        </is>
      </c>
      <c r="AJ163" t="inlineStr">
        <is>
          <t>C</t>
        </is>
      </c>
      <c r="AK163" t="inlineStr">
        <is>
          <t>核心对象：独处微醺状态；体验：ACTUAL_USE；证据强度：C。</t>
        </is>
      </c>
      <c r="AL163"/>
      <c r="AM163" t="inlineStr">
        <is>
          <t>ANALYSIS_BASELINE_229.xlsx</t>
        </is>
      </c>
    </row>
    <row r="164" ht="25.5" customHeight="1">
      <c r="A164" t="inlineStr">
        <is>
          <t>XHS-SOC-0234_ANALYSIS_BASELINE_formal-attempt-0001_AI</t>
        </is>
      </c>
      <c r="B164" t="inlineStr">
        <is>
          <t>微醺好幸福感觉脑子变慢了思考的东西变少了躺在床上好舒服我爱微醺</t>
        </is>
      </c>
      <c r="C164"/>
      <c r="D164"/>
      <c r="E164"/>
      <c r="F164"/>
      <c r="G164"/>
      <c r="H164"/>
      <c r="I164"/>
      <c r="J164"/>
      <c r="K164"/>
      <c r="L164"/>
      <c r="M164"/>
      <c r="N164"/>
      <c r="O164"/>
      <c r="P164"/>
      <c r="Q164"/>
      <c r="R164"/>
      <c r="S164">
        <v>0.9</v>
      </c>
      <c r="T164" t="inlineStr">
        <is>
          <t>formal-attempt-0001</t>
        </is>
      </c>
      <c r="U164"/>
      <c r="V164"/>
      <c r="W164"/>
      <c r="X164" t="inlineStr">
        <is>
          <t>XHS-SOC-0234</t>
        </is>
      </c>
      <c r="Y164"/>
      <c r="Z164"/>
      <c r="AA164"/>
      <c r="AB164"/>
      <c r="AC164"/>
      <c r="AD164"/>
      <c r="AE164"/>
      <c r="AF164" t="inlineStr">
        <is>
          <t>AI</t>
        </is>
      </c>
      <c r="AG164" t="inlineStr">
        <is>
          <t>ANALYSIS_BASELINE</t>
        </is>
      </c>
      <c r="AH164" t="inlineStr">
        <is>
          <t>SCENE</t>
        </is>
      </c>
      <c r="AI164" t="inlineStr">
        <is>
          <t>ACTUAL_USE</t>
        </is>
      </c>
      <c r="AJ164" t="inlineStr">
        <is>
          <t>A</t>
        </is>
      </c>
      <c r="AK164" t="inlineStr">
        <is>
          <t>核心对象：微醺后的身体与情绪状态；体验：ACTUAL_USE；证据强度：A。</t>
        </is>
      </c>
      <c r="AL164"/>
      <c r="AM164" t="inlineStr">
        <is>
          <t>ANALYSIS_BASELINE_229.xlsx</t>
        </is>
      </c>
    </row>
    <row r="165" ht="25.5" customHeight="1">
      <c r="A165" t="inlineStr">
        <is>
          <t>XHS-SOC-0235_ANALYSIS_BASELINE_formal-attempt-0001_AI</t>
        </is>
      </c>
      <c r="B165" t="inlineStr">
        <is>
          <t>脑袋沉沉就想睡觉了 这一觉会格外好 烦心事也会随之抛在脑后</t>
        </is>
      </c>
      <c r="C165"/>
      <c r="D165"/>
      <c r="E165"/>
      <c r="F165"/>
      <c r="G165"/>
      <c r="H165"/>
      <c r="I165"/>
      <c r="J165"/>
      <c r="K165"/>
      <c r="L165"/>
      <c r="M165"/>
      <c r="N165"/>
      <c r="O165"/>
      <c r="P165"/>
      <c r="Q165"/>
      <c r="R165"/>
      <c r="S165">
        <v>0.7</v>
      </c>
      <c r="T165" t="inlineStr">
        <is>
          <t>formal-attempt-0001</t>
        </is>
      </c>
      <c r="U165"/>
      <c r="V165"/>
      <c r="W165"/>
      <c r="X165" t="inlineStr">
        <is>
          <t>XHS-SOC-0235</t>
        </is>
      </c>
      <c r="Y165"/>
      <c r="Z165"/>
      <c r="AA165"/>
      <c r="AB165"/>
      <c r="AC165"/>
      <c r="AD165"/>
      <c r="AE165"/>
      <c r="AF165" t="inlineStr">
        <is>
          <t>AI</t>
        </is>
      </c>
      <c r="AG165" t="inlineStr">
        <is>
          <t>ANALYSIS_BASELINE</t>
        </is>
      </c>
      <c r="AH165" t="inlineStr">
        <is>
          <t>SCENE</t>
        </is>
      </c>
      <c r="AI165" t="inlineStr">
        <is>
          <t>ACTUAL_USE</t>
        </is>
      </c>
      <c r="AJ165" t="inlineStr">
        <is>
          <t>B</t>
        </is>
      </c>
      <c r="AK165" t="inlineStr">
        <is>
          <t>核心对象：困倦与烦心事暂时放下的状态；体验：ACTUAL_USE；证据强度：B。</t>
        </is>
      </c>
      <c r="AL165"/>
      <c r="AM165" t="inlineStr">
        <is>
          <t>ANALYSIS_BASELINE_229.xlsx</t>
        </is>
      </c>
    </row>
    <row r="166" ht="25.5" customHeight="1">
      <c r="A166" t="inlineStr">
        <is>
          <t>XHS-SOC-0236_ANALYSIS_BASELINE_formal-attempt-0001_AI</t>
        </is>
      </c>
      <c r="B166" t="inlineStr">
        <is>
          <t>晚上喝了半瓶，恶心死，人还没晕先吐了</t>
        </is>
      </c>
      <c r="C166"/>
      <c r="D166"/>
      <c r="E166"/>
      <c r="F166"/>
      <c r="G166"/>
      <c r="H166"/>
      <c r="I166"/>
      <c r="J166"/>
      <c r="K166"/>
      <c r="L166"/>
      <c r="M166"/>
      <c r="N166"/>
      <c r="O166"/>
      <c r="P166"/>
      <c r="Q166"/>
      <c r="R166"/>
      <c r="S166">
        <v>0.9</v>
      </c>
      <c r="T166" t="inlineStr">
        <is>
          <t>formal-attempt-0001</t>
        </is>
      </c>
      <c r="U166"/>
      <c r="V166"/>
      <c r="W166"/>
      <c r="X166" t="inlineStr">
        <is>
          <t>XHS-SOC-0236</t>
        </is>
      </c>
      <c r="Y166"/>
      <c r="Z166"/>
      <c r="AA166"/>
      <c r="AB166"/>
      <c r="AC166"/>
      <c r="AD166"/>
      <c r="AE166"/>
      <c r="AF166" t="inlineStr">
        <is>
          <t>AI</t>
        </is>
      </c>
      <c r="AG166" t="inlineStr">
        <is>
          <t>ANALYSIS_BASELINE</t>
        </is>
      </c>
      <c r="AH166" t="inlineStr">
        <is>
          <t>SCENE</t>
        </is>
      </c>
      <c r="AI166" t="inlineStr">
        <is>
          <t>ACTUAL_USE</t>
        </is>
      </c>
      <c r="AJ166" t="inlineStr">
        <is>
          <t>A</t>
        </is>
      </c>
      <c r="AK166" t="inlineStr">
        <is>
          <t>核心对象：饮酒后的身体反应；体验：ACTUAL_USE；证据强度：A。</t>
        </is>
      </c>
      <c r="AL166"/>
      <c r="AM166" t="inlineStr">
        <is>
          <t>ANALYSIS_BASELINE_229.xlsx</t>
        </is>
      </c>
    </row>
    <row r="167" ht="25.5" customHeight="1">
      <c r="A167" t="inlineStr">
        <is>
          <t>XHS-SOC-0011_ANALYSIS_BASELINE_formal-attempt-0001_AI</t>
        </is>
      </c>
      <c r="B167" t="inlineStr">
        <is>
          <t>烦……到底谁在传承酒桌文化</t>
        </is>
      </c>
      <c r="C167"/>
      <c r="D167"/>
      <c r="E167"/>
      <c r="F167"/>
      <c r="G167"/>
      <c r="H167"/>
      <c r="I167"/>
      <c r="J167"/>
      <c r="K167"/>
      <c r="L167"/>
      <c r="M167"/>
      <c r="N167"/>
      <c r="O167"/>
      <c r="P167"/>
      <c r="Q167"/>
      <c r="R167"/>
      <c r="S167">
        <v>0.9</v>
      </c>
      <c r="T167" t="inlineStr">
        <is>
          <t>formal-attempt-0001</t>
        </is>
      </c>
      <c r="U167"/>
      <c r="V167"/>
      <c r="W167"/>
      <c r="X167" t="inlineStr">
        <is>
          <t>XHS-SOC-0011</t>
        </is>
      </c>
      <c r="Y167"/>
      <c r="Z167"/>
      <c r="AA167"/>
      <c r="AB167"/>
      <c r="AC167"/>
      <c r="AD167"/>
      <c r="AE167"/>
      <c r="AF167" t="inlineStr">
        <is>
          <t>AI</t>
        </is>
      </c>
      <c r="AG167" t="inlineStr">
        <is>
          <t>ANALYSIS_BASELINE</t>
        </is>
      </c>
      <c r="AH167" t="inlineStr">
        <is>
          <t>SCENE</t>
        </is>
      </c>
      <c r="AI167" t="inlineStr">
        <is>
          <t>UNKNOWN</t>
        </is>
      </c>
      <c r="AJ167" t="inlineStr">
        <is>
          <t>C</t>
        </is>
      </c>
      <c r="AK167" t="inlineStr">
        <is>
          <t>核心对象：酒桌文化的传承；体验：UNKNOWN；证据强度：C。</t>
        </is>
      </c>
      <c r="AL167"/>
      <c r="AM167" t="inlineStr">
        <is>
          <t>ANALYSIS_BASELINE_229.xlsx</t>
        </is>
      </c>
    </row>
    <row r="168" ht="25.5" customHeight="1">
      <c r="A168" t="inlineStr">
        <is>
          <t>XHS-SOC-0012_ANALYSIS_BASELINE_formal-attempt-0001_AI</t>
        </is>
      </c>
      <c r="B168" t="inlineStr">
        <is>
          <t>敬酒是把自己放在极致低位的行为</t>
        </is>
      </c>
      <c r="C168"/>
      <c r="D168"/>
      <c r="E168"/>
      <c r="F168"/>
      <c r="G168"/>
      <c r="H168"/>
      <c r="I168"/>
      <c r="J168"/>
      <c r="K168"/>
      <c r="L168"/>
      <c r="M168"/>
      <c r="N168"/>
      <c r="O168"/>
      <c r="P168"/>
      <c r="Q168"/>
      <c r="R168"/>
      <c r="S168">
        <v>0.9</v>
      </c>
      <c r="T168" t="inlineStr">
        <is>
          <t>formal-attempt-0001</t>
        </is>
      </c>
      <c r="U168"/>
      <c r="V168"/>
      <c r="W168"/>
      <c r="X168" t="inlineStr">
        <is>
          <t>XHS-SOC-0012</t>
        </is>
      </c>
      <c r="Y168"/>
      <c r="Z168"/>
      <c r="AA168"/>
      <c r="AB168"/>
      <c r="AC168"/>
      <c r="AD168"/>
      <c r="AE168"/>
      <c r="AF168" t="inlineStr">
        <is>
          <t>AI</t>
        </is>
      </c>
      <c r="AG168" t="inlineStr">
        <is>
          <t>ANALYSIS_BASELINE</t>
        </is>
      </c>
      <c r="AH168" t="inlineStr">
        <is>
          <t>SCENE</t>
        </is>
      </c>
      <c r="AI168" t="inlineStr">
        <is>
          <t>UNKNOWN</t>
        </is>
      </c>
      <c r="AJ168" t="inlineStr">
        <is>
          <t>C</t>
        </is>
      </c>
      <c r="AK168" t="inlineStr">
        <is>
          <t>核心对象：敬酒这一酒桌行为；体验：UNKNOWN；证据强度：C。</t>
        </is>
      </c>
      <c r="AL168"/>
      <c r="AM168" t="inlineStr">
        <is>
          <t>ANALYSIS_BASELINE_229.xlsx</t>
        </is>
      </c>
    </row>
    <row r="169" ht="25.5" customHeight="1">
      <c r="A169" t="inlineStr">
        <is>
          <t>XHS-SOC-0013_ANALYSIS_BASELINE_formal-attempt-0001_AI</t>
        </is>
      </c>
      <c r="B169" t="inlineStr">
        <is>
          <t>每次敬酒说场面话的时候我都会起鸡皮疙瘩，有点恶心反胃</t>
        </is>
      </c>
      <c r="C169"/>
      <c r="D169"/>
      <c r="E169"/>
      <c r="F169"/>
      <c r="G169"/>
      <c r="H169"/>
      <c r="I169"/>
      <c r="J169"/>
      <c r="K169"/>
      <c r="L169"/>
      <c r="M169"/>
      <c r="N169"/>
      <c r="O169"/>
      <c r="P169"/>
      <c r="Q169"/>
      <c r="R169"/>
      <c r="S169">
        <v>0.9</v>
      </c>
      <c r="T169" t="inlineStr">
        <is>
          <t>formal-attempt-0001</t>
        </is>
      </c>
      <c r="U169"/>
      <c r="V169"/>
      <c r="W169"/>
      <c r="X169" t="inlineStr">
        <is>
          <t>XHS-SOC-0013</t>
        </is>
      </c>
      <c r="Y169"/>
      <c r="Z169"/>
      <c r="AA169"/>
      <c r="AB169"/>
      <c r="AC169"/>
      <c r="AD169"/>
      <c r="AE169"/>
      <c r="AF169" t="inlineStr">
        <is>
          <t>AI</t>
        </is>
      </c>
      <c r="AG169" t="inlineStr">
        <is>
          <t>ANALYSIS_BASELINE</t>
        </is>
      </c>
      <c r="AH169" t="inlineStr">
        <is>
          <t>SCENE</t>
        </is>
      </c>
      <c r="AI169" t="inlineStr">
        <is>
          <t>ACTUAL_USE</t>
        </is>
      </c>
      <c r="AJ169" t="inlineStr">
        <is>
          <t>A</t>
        </is>
      </c>
      <c r="AK169" t="inlineStr">
        <is>
          <t>核心对象：敬酒时说场面话的酒桌行为；体验：ACTUAL_USE；证据强度：A。</t>
        </is>
      </c>
      <c r="AL169"/>
      <c r="AM169" t="inlineStr">
        <is>
          <t>ANALYSIS_BASELINE_229.xlsx</t>
        </is>
      </c>
    </row>
    <row r="170" ht="25.5" customHeight="1">
      <c r="A170" t="inlineStr">
        <is>
          <t>XHS-SOC-0014_ANALYSIS_BASELINE_formal-attempt-0001_AI</t>
        </is>
      </c>
      <c r="B170" t="inlineStr">
        <is>
          <t>我就不敬 公司聚餐一桌同事个个都在互相敬酒 我不仅不喝酒我还谁都不敬</t>
        </is>
      </c>
      <c r="C170"/>
      <c r="D170"/>
      <c r="E170"/>
      <c r="F170"/>
      <c r="G170"/>
      <c r="H170"/>
      <c r="I170"/>
      <c r="J170"/>
      <c r="K170"/>
      <c r="L170"/>
      <c r="M170"/>
      <c r="N170"/>
      <c r="O170"/>
      <c r="P170"/>
      <c r="Q170"/>
      <c r="R170"/>
      <c r="S170">
        <v>0.9</v>
      </c>
      <c r="T170" t="inlineStr">
        <is>
          <t>formal-attempt-0001</t>
        </is>
      </c>
      <c r="U170"/>
      <c r="V170"/>
      <c r="W170"/>
      <c r="X170" t="inlineStr">
        <is>
          <t>XHS-SOC-0014</t>
        </is>
      </c>
      <c r="Y170"/>
      <c r="Z170"/>
      <c r="AA170"/>
      <c r="AB170"/>
      <c r="AC170"/>
      <c r="AD170"/>
      <c r="AE170"/>
      <c r="AF170" t="inlineStr">
        <is>
          <t>AI</t>
        </is>
      </c>
      <c r="AG170" t="inlineStr">
        <is>
          <t>ANALYSIS_BASELINE</t>
        </is>
      </c>
      <c r="AH170" t="inlineStr">
        <is>
          <t>SCENE</t>
        </is>
      </c>
      <c r="AI170" t="inlineStr">
        <is>
          <t>NON_USE</t>
        </is>
      </c>
      <c r="AJ170" t="inlineStr">
        <is>
          <t>A</t>
        </is>
      </c>
      <c r="AK170" t="inlineStr">
        <is>
          <t>核心对象：公司聚餐中的敬酒与饮酒行为；体验：NON_USE；证据强度：A。</t>
        </is>
      </c>
      <c r="AL170"/>
      <c r="AM170" t="inlineStr">
        <is>
          <t>ANALYSIS_BASELINE_229.xlsx</t>
        </is>
      </c>
    </row>
    <row r="171" ht="25.5" customHeight="1">
      <c r="A171" t="inlineStr">
        <is>
          <t>XHS-SOC-0016_ANALYSIS_BASELINE_formal-attempt-0001_AI</t>
        </is>
      </c>
      <c r="B171" t="inlineStr">
        <is>
          <t>我都二十多岁了，依然讨厌过年的酒桌文化</t>
        </is>
      </c>
      <c r="C171"/>
      <c r="D171"/>
      <c r="E171"/>
      <c r="F171"/>
      <c r="G171"/>
      <c r="H171"/>
      <c r="I171"/>
      <c r="J171"/>
      <c r="K171"/>
      <c r="L171"/>
      <c r="M171"/>
      <c r="N171"/>
      <c r="O171"/>
      <c r="P171"/>
      <c r="Q171"/>
      <c r="R171"/>
      <c r="S171">
        <v>0.9</v>
      </c>
      <c r="T171" t="inlineStr">
        <is>
          <t>formal-attempt-0001</t>
        </is>
      </c>
      <c r="U171"/>
      <c r="V171"/>
      <c r="W171"/>
      <c r="X171" t="inlineStr">
        <is>
          <t>XHS-SOC-0016</t>
        </is>
      </c>
      <c r="Y171"/>
      <c r="Z171"/>
      <c r="AA171"/>
      <c r="AB171"/>
      <c r="AC171"/>
      <c r="AD171"/>
      <c r="AE171"/>
      <c r="AF171" t="inlineStr">
        <is>
          <t>AI</t>
        </is>
      </c>
      <c r="AG171" t="inlineStr">
        <is>
          <t>ANALYSIS_BASELINE</t>
        </is>
      </c>
      <c r="AH171" t="inlineStr">
        <is>
          <t>SCENE</t>
        </is>
      </c>
      <c r="AI171" t="inlineStr">
        <is>
          <t>ACTUAL_USE</t>
        </is>
      </c>
      <c r="AJ171" t="inlineStr">
        <is>
          <t>B</t>
        </is>
      </c>
      <c r="AK171" t="inlineStr">
        <is>
          <t>核心对象：过年酒桌文化；体验：ACTUAL_USE；证据强度：B。</t>
        </is>
      </c>
      <c r="AL171"/>
      <c r="AM171" t="inlineStr">
        <is>
          <t>ANALYSIS_BASELINE_229.xlsx</t>
        </is>
      </c>
    </row>
    <row r="172" ht="25.5" customHeight="1">
      <c r="A172" t="inlineStr">
        <is>
          <t>DY-SOC-0117_ANALYSIS_BASELINE_formal-attempt-0001_AI</t>
        </is>
      </c>
      <c r="B172" t="inlineStr">
        <is>
          <t>酒桌文化啥时候能消失</t>
        </is>
      </c>
      <c r="C172"/>
      <c r="D172"/>
      <c r="E172"/>
      <c r="F172"/>
      <c r="G172"/>
      <c r="H172"/>
      <c r="I172"/>
      <c r="J172"/>
      <c r="K172"/>
      <c r="L172"/>
      <c r="M172"/>
      <c r="N172"/>
      <c r="O172"/>
      <c r="P172"/>
      <c r="Q172"/>
      <c r="R172"/>
      <c r="S172">
        <v>0.9</v>
      </c>
      <c r="T172" t="inlineStr">
        <is>
          <t>formal-attempt-0001</t>
        </is>
      </c>
      <c r="U172"/>
      <c r="V172"/>
      <c r="W172"/>
      <c r="X172" t="inlineStr">
        <is>
          <t>DY-SOC-0117</t>
        </is>
      </c>
      <c r="Y172"/>
      <c r="Z172"/>
      <c r="AA172"/>
      <c r="AB172"/>
      <c r="AC172"/>
      <c r="AD172"/>
      <c r="AE172"/>
      <c r="AF172" t="inlineStr">
        <is>
          <t>AI</t>
        </is>
      </c>
      <c r="AG172" t="inlineStr">
        <is>
          <t>ANALYSIS_BASELINE</t>
        </is>
      </c>
      <c r="AH172" t="inlineStr">
        <is>
          <t>SCENE</t>
        </is>
      </c>
      <c r="AI172" t="inlineStr">
        <is>
          <t>UNKNOWN</t>
        </is>
      </c>
      <c r="AJ172" t="inlineStr">
        <is>
          <t>C</t>
        </is>
      </c>
      <c r="AK172" t="inlineStr">
        <is>
          <t>核心对象：酒桌文化是否消失；体验：UNKNOWN；证据强度：C。</t>
        </is>
      </c>
      <c r="AL172"/>
      <c r="AM172" t="inlineStr">
        <is>
          <t>ANALYSIS_BASELINE_229.xlsx</t>
        </is>
      </c>
    </row>
    <row r="173" ht="25.5" customHeight="1">
      <c r="A173" t="inlineStr">
        <is>
          <t>DY-SOC-0118_ANALYSIS_BASELINE_formal-attempt-0001_AI</t>
        </is>
      </c>
      <c r="B173" t="inlineStr">
        <is>
          <t>酒桌文化到底意义何在啊又狼狈又伤身</t>
        </is>
      </c>
      <c r="C173"/>
      <c r="D173"/>
      <c r="E173"/>
      <c r="F173"/>
      <c r="G173"/>
      <c r="H173"/>
      <c r="I173"/>
      <c r="J173"/>
      <c r="K173"/>
      <c r="L173"/>
      <c r="M173"/>
      <c r="N173"/>
      <c r="O173"/>
      <c r="P173"/>
      <c r="Q173"/>
      <c r="R173"/>
      <c r="S173">
        <v>0.9</v>
      </c>
      <c r="T173" t="inlineStr">
        <is>
          <t>formal-attempt-0001</t>
        </is>
      </c>
      <c r="U173"/>
      <c r="V173"/>
      <c r="W173"/>
      <c r="X173" t="inlineStr">
        <is>
          <t>DY-SOC-0118</t>
        </is>
      </c>
      <c r="Y173"/>
      <c r="Z173"/>
      <c r="AA173"/>
      <c r="AB173"/>
      <c r="AC173"/>
      <c r="AD173"/>
      <c r="AE173"/>
      <c r="AF173" t="inlineStr">
        <is>
          <t>AI</t>
        </is>
      </c>
      <c r="AG173" t="inlineStr">
        <is>
          <t>ANALYSIS_BASELINE</t>
        </is>
      </c>
      <c r="AH173" t="inlineStr">
        <is>
          <t>SCENE</t>
        </is>
      </c>
      <c r="AI173" t="inlineStr">
        <is>
          <t>UNKNOWN</t>
        </is>
      </c>
      <c r="AJ173" t="inlineStr">
        <is>
          <t>B</t>
        </is>
      </c>
      <c r="AK173" t="inlineStr">
        <is>
          <t>核心对象：酒桌文化的意义及其负面影响；体验：UNKNOWN；证据强度：B。</t>
        </is>
      </c>
      <c r="AL173"/>
      <c r="AM173" t="inlineStr">
        <is>
          <t>ANALYSIS_BASELINE_229.xlsx</t>
        </is>
      </c>
    </row>
    <row r="174" ht="25.5" customHeight="1">
      <c r="A174" t="inlineStr">
        <is>
          <t>DY-SOC-0119_ANALYSIS_BASELINE_formal-attempt-0001_AI</t>
        </is>
      </c>
      <c r="B174" t="inlineStr">
        <is>
          <t>到底谁还在酒桌应酬我感觉身边的老登都开始不喝酒了</t>
        </is>
      </c>
      <c r="C174"/>
      <c r="D174"/>
      <c r="E174"/>
      <c r="F174"/>
      <c r="G174"/>
      <c r="H174"/>
      <c r="I174"/>
      <c r="J174"/>
      <c r="K174"/>
      <c r="L174"/>
      <c r="M174"/>
      <c r="N174"/>
      <c r="O174"/>
      <c r="P174"/>
      <c r="Q174"/>
      <c r="R174"/>
      <c r="S174">
        <v>0.9</v>
      </c>
      <c r="T174" t="inlineStr">
        <is>
          <t>formal-attempt-0001</t>
        </is>
      </c>
      <c r="U174"/>
      <c r="V174"/>
      <c r="W174"/>
      <c r="X174" t="inlineStr">
        <is>
          <t>DY-SOC-0119</t>
        </is>
      </c>
      <c r="Y174"/>
      <c r="Z174"/>
      <c r="AA174"/>
      <c r="AB174"/>
      <c r="AC174"/>
      <c r="AD174"/>
      <c r="AE174"/>
      <c r="AF174" t="inlineStr">
        <is>
          <t>AI</t>
        </is>
      </c>
      <c r="AG174" t="inlineStr">
        <is>
          <t>ANALYSIS_BASELINE</t>
        </is>
      </c>
      <c r="AH174" t="inlineStr">
        <is>
          <t>SCENE</t>
        </is>
      </c>
      <c r="AI174" t="inlineStr">
        <is>
          <t>UNKNOWN</t>
        </is>
      </c>
      <c r="AJ174" t="inlineStr">
        <is>
          <t>B</t>
        </is>
      </c>
      <c r="AK174" t="inlineStr">
        <is>
          <t>核心对象：酒桌应酬中的饮酒行为；体验：UNKNOWN；证据强度：B。</t>
        </is>
      </c>
      <c r="AL174"/>
      <c r="AM174" t="inlineStr">
        <is>
          <t>ANALYSIS_BASELINE_229.xlsx</t>
        </is>
      </c>
    </row>
    <row r="175" ht="25.5" customHeight="1">
      <c r="A175" t="inlineStr">
        <is>
          <t>MJ-RAW-0316_ANALYSIS_BASELINE_formal-attempt-0001_AI</t>
        </is>
      </c>
      <c r="B175" t="inlineStr">
        <is>
          <t>酒味越淡越好</t>
        </is>
      </c>
      <c r="C175"/>
      <c r="D175"/>
      <c r="E175"/>
      <c r="F175"/>
      <c r="G175"/>
      <c r="H175"/>
      <c r="I175"/>
      <c r="J175"/>
      <c r="K175"/>
      <c r="L175"/>
      <c r="M175"/>
      <c r="N175"/>
      <c r="O175"/>
      <c r="P175"/>
      <c r="Q175"/>
      <c r="R175"/>
      <c r="S175">
        <v>0.9</v>
      </c>
      <c r="T175" t="inlineStr">
        <is>
          <t>formal-attempt-0001</t>
        </is>
      </c>
      <c r="U175"/>
      <c r="V175"/>
      <c r="W175"/>
      <c r="X175" t="inlineStr">
        <is>
          <t>MJ-RAW-0316</t>
        </is>
      </c>
      <c r="Y175"/>
      <c r="Z175"/>
      <c r="AA175"/>
      <c r="AB175"/>
      <c r="AC175"/>
      <c r="AD175"/>
      <c r="AE175"/>
      <c r="AF175" t="inlineStr">
        <is>
          <t>AI</t>
        </is>
      </c>
      <c r="AG175" t="inlineStr">
        <is>
          <t>ANALYSIS_BASELINE</t>
        </is>
      </c>
      <c r="AH175" t="inlineStr">
        <is>
          <t>PRODUCT</t>
        </is>
      </c>
      <c r="AI175" t="inlineStr">
        <is>
          <t>ACTUAL_USE</t>
        </is>
      </c>
      <c r="AJ175" t="inlineStr">
        <is>
          <t>C</t>
        </is>
      </c>
      <c r="AK175" t="inlineStr">
        <is>
          <t>核心对象：酒味浓淡这一产品体验；体验：ACTUAL_USE；证据强度：C。</t>
        </is>
      </c>
      <c r="AL175"/>
      <c r="AM175" t="inlineStr">
        <is>
          <t>ANALYSIS_BASELINE_229.xlsx</t>
        </is>
      </c>
    </row>
    <row r="176" ht="25.5" customHeight="1">
      <c r="A176" t="inlineStr">
        <is>
          <t>DY-SOC-0122_ANALYSIS_BASELINE_formal-attempt-0001_AI</t>
        </is>
      </c>
      <c r="B176" t="inlineStr">
        <is>
          <t>昨天晚上朋友聚会喝的这个安娜王妃葡萄酒香老浓郁</t>
        </is>
      </c>
      <c r="C176"/>
      <c r="D176"/>
      <c r="E176"/>
      <c r="F176"/>
      <c r="G176"/>
      <c r="H176"/>
      <c r="I176"/>
      <c r="J176"/>
      <c r="K176"/>
      <c r="L176"/>
      <c r="M176"/>
      <c r="N176"/>
      <c r="O176"/>
      <c r="P176"/>
      <c r="Q176"/>
      <c r="R176"/>
      <c r="S176">
        <v>0.9</v>
      </c>
      <c r="T176" t="inlineStr">
        <is>
          <t>formal-attempt-0001</t>
        </is>
      </c>
      <c r="U176"/>
      <c r="V176"/>
      <c r="W176"/>
      <c r="X176" t="inlineStr">
        <is>
          <t>DY-SOC-0122</t>
        </is>
      </c>
      <c r="Y176"/>
      <c r="Z176"/>
      <c r="AA176"/>
      <c r="AB176"/>
      <c r="AC176"/>
      <c r="AD176"/>
      <c r="AE176"/>
      <c r="AF176" t="inlineStr">
        <is>
          <t>AI</t>
        </is>
      </c>
      <c r="AG176" t="inlineStr">
        <is>
          <t>ANALYSIS_BASELINE</t>
        </is>
      </c>
      <c r="AH176" t="inlineStr">
        <is>
          <t>PRODUCT</t>
        </is>
      </c>
      <c r="AI176" t="inlineStr">
        <is>
          <t>ACTUAL_USE</t>
        </is>
      </c>
      <c r="AJ176" t="inlineStr">
        <is>
          <t>A</t>
        </is>
      </c>
      <c r="AK176" t="inlineStr">
        <is>
          <t>核心对象：安娜王妃葡萄酒的香气；体验：ACTUAL_USE；证据强度：A。</t>
        </is>
      </c>
      <c r="AL176"/>
      <c r="AM176" t="inlineStr">
        <is>
          <t>ANALYSIS_BASELINE_229.xlsx</t>
        </is>
      </c>
    </row>
    <row r="177" ht="25.5" customHeight="1">
      <c r="A177" t="inlineStr">
        <is>
          <t>DY-SOC-0124_ANALYSIS_BASELINE_formal-attempt-0001_AI</t>
        </is>
      </c>
      <c r="B177" t="inlineStr">
        <is>
          <t>梅见配火锅真的绝了解辣又好喝</t>
        </is>
      </c>
      <c r="C177"/>
      <c r="D177"/>
      <c r="E177"/>
      <c r="F177"/>
      <c r="G177"/>
      <c r="H177"/>
      <c r="I177"/>
      <c r="J177"/>
      <c r="K177"/>
      <c r="L177"/>
      <c r="M177"/>
      <c r="N177"/>
      <c r="O177"/>
      <c r="P177"/>
      <c r="Q177"/>
      <c r="R177"/>
      <c r="S177">
        <v>0.9</v>
      </c>
      <c r="T177" t="inlineStr">
        <is>
          <t>formal-attempt-0001</t>
        </is>
      </c>
      <c r="U177"/>
      <c r="V177"/>
      <c r="W177"/>
      <c r="X177" t="inlineStr">
        <is>
          <t>DY-SOC-0124</t>
        </is>
      </c>
      <c r="Y177"/>
      <c r="Z177"/>
      <c r="AA177"/>
      <c r="AB177"/>
      <c r="AC177"/>
      <c r="AD177"/>
      <c r="AE177"/>
      <c r="AF177" t="inlineStr">
        <is>
          <t>AI</t>
        </is>
      </c>
      <c r="AG177" t="inlineStr">
        <is>
          <t>ANALYSIS_BASELINE</t>
        </is>
      </c>
      <c r="AH177" t="inlineStr">
        <is>
          <t>PRODUCT</t>
        </is>
      </c>
      <c r="AI177" t="inlineStr">
        <is>
          <t>ACTUAL_USE</t>
        </is>
      </c>
      <c r="AJ177" t="inlineStr">
        <is>
          <t>A</t>
        </is>
      </c>
      <c r="AK177" t="inlineStr">
        <is>
          <t>核心对象：梅见与火锅的搭配体验；体验：ACTUAL_USE；证据强度：A。</t>
        </is>
      </c>
      <c r="AL177"/>
      <c r="AM177" t="inlineStr">
        <is>
          <t>ANALYSIS_BASELINE_229.xlsx</t>
        </is>
      </c>
    </row>
    <row r="178" ht="25.5" customHeight="1">
      <c r="A178" t="inlineStr">
        <is>
          <t>DY-SOC-0125_ANALYSIS_BASELINE_formal-attempt-0001_AI</t>
        </is>
      </c>
      <c r="B178" t="inlineStr">
        <is>
          <t>夏天火锅好朋友谁懂这个组合的含金量</t>
        </is>
      </c>
      <c r="C178"/>
      <c r="D178"/>
      <c r="E178"/>
      <c r="F178"/>
      <c r="G178"/>
      <c r="H178"/>
      <c r="I178"/>
      <c r="J178"/>
      <c r="K178"/>
      <c r="L178"/>
      <c r="M178"/>
      <c r="N178"/>
      <c r="O178"/>
      <c r="P178"/>
      <c r="Q178"/>
      <c r="R178"/>
      <c r="S178">
        <v>0.7</v>
      </c>
      <c r="T178" t="inlineStr">
        <is>
          <t>formal-attempt-0001</t>
        </is>
      </c>
      <c r="U178"/>
      <c r="V178"/>
      <c r="W178"/>
      <c r="X178" t="inlineStr">
        <is>
          <t>DY-SOC-0125</t>
        </is>
      </c>
      <c r="Y178"/>
      <c r="Z178"/>
      <c r="AA178"/>
      <c r="AB178"/>
      <c r="AC178"/>
      <c r="AD178"/>
      <c r="AE178"/>
      <c r="AF178" t="inlineStr">
        <is>
          <t>AI</t>
        </is>
      </c>
      <c r="AG178" t="inlineStr">
        <is>
          <t>ANALYSIS_BASELINE</t>
        </is>
      </c>
      <c r="AH178" t="inlineStr">
        <is>
          <t>SCENE</t>
        </is>
      </c>
      <c r="AI178" t="inlineStr">
        <is>
          <t>UNKNOWN</t>
        </is>
      </c>
      <c r="AJ178" t="inlineStr">
        <is>
          <t>C</t>
        </is>
      </c>
      <c r="AK178" t="inlineStr">
        <is>
          <t>核心对象：夏天火锅与朋友聚会的用餐场景；体验：UNKNOWN；证据强度：C。</t>
        </is>
      </c>
      <c r="AL178"/>
      <c r="AM178" t="inlineStr">
        <is>
          <t>ANALYSIS_BASELINE_229.xlsx</t>
        </is>
      </c>
    </row>
    <row r="179" ht="25.5" customHeight="1">
      <c r="A179" t="inlineStr">
        <is>
          <t>DY-SOC-0128_ANALYSIS_BASELINE_formal-attempt-0001_AI</t>
        </is>
      </c>
      <c r="B179" t="inlineStr">
        <is>
          <t>梅见青梅酒配火锅解腻神器</t>
        </is>
      </c>
      <c r="C179"/>
      <c r="D179"/>
      <c r="E179"/>
      <c r="F179"/>
      <c r="G179"/>
      <c r="H179"/>
      <c r="I179"/>
      <c r="J179"/>
      <c r="K179"/>
      <c r="L179"/>
      <c r="M179"/>
      <c r="N179"/>
      <c r="O179"/>
      <c r="P179"/>
      <c r="Q179"/>
      <c r="R179"/>
      <c r="S179">
        <v>0.9</v>
      </c>
      <c r="T179" t="inlineStr">
        <is>
          <t>formal-attempt-0001</t>
        </is>
      </c>
      <c r="U179"/>
      <c r="V179"/>
      <c r="W179"/>
      <c r="X179" t="inlineStr">
        <is>
          <t>DY-SOC-0128</t>
        </is>
      </c>
      <c r="Y179"/>
      <c r="Z179"/>
      <c r="AA179"/>
      <c r="AB179"/>
      <c r="AC179"/>
      <c r="AD179"/>
      <c r="AE179"/>
      <c r="AF179" t="inlineStr">
        <is>
          <t>AI</t>
        </is>
      </c>
      <c r="AG179" t="inlineStr">
        <is>
          <t>ANALYSIS_BASELINE</t>
        </is>
      </c>
      <c r="AH179" t="inlineStr">
        <is>
          <t>PRODUCT</t>
        </is>
      </c>
      <c r="AI179" t="inlineStr">
        <is>
          <t>ACTUAL_USE</t>
        </is>
      </c>
      <c r="AJ179" t="inlineStr">
        <is>
          <t>A</t>
        </is>
      </c>
      <c r="AK179" t="inlineStr">
        <is>
          <t>核心对象：梅见青梅酒与火锅的搭配体验；体验：ACTUAL_USE；证据强度：A。</t>
        </is>
      </c>
      <c r="AL179"/>
      <c r="AM179" t="inlineStr">
        <is>
          <t>ANALYSIS_BASELINE_229.xlsx</t>
        </is>
      </c>
    </row>
    <row r="180" ht="25.5" customHeight="1">
      <c r="A180" t="inlineStr">
        <is>
          <t>XHS-SOC-0194_ANALYSIS_BASELINE_formal-attempt-0001_AI</t>
        </is>
      </c>
      <c r="B180" t="inlineStr">
        <is>
          <t>以前不理解，但是年纪大了突然就理解了，真就是太无聊了，一个人在家不知道干什么容易想东想西还不如用酒精麻痹自己</t>
        </is>
      </c>
      <c r="C180"/>
      <c r="D180"/>
      <c r="E180"/>
      <c r="F180"/>
      <c r="G180"/>
      <c r="H180"/>
      <c r="I180"/>
      <c r="J180"/>
      <c r="K180"/>
      <c r="L180"/>
      <c r="M180"/>
      <c r="N180"/>
      <c r="O180"/>
      <c r="P180"/>
      <c r="Q180"/>
      <c r="R180"/>
      <c r="S180">
        <v>0.7</v>
      </c>
      <c r="T180" t="inlineStr">
        <is>
          <t>formal-attempt-0001</t>
        </is>
      </c>
      <c r="U180"/>
      <c r="V180"/>
      <c r="W180"/>
      <c r="X180" t="inlineStr">
        <is>
          <t>XHS-SOC-0194</t>
        </is>
      </c>
      <c r="Y180"/>
      <c r="Z180"/>
      <c r="AA180"/>
      <c r="AB180"/>
      <c r="AC180"/>
      <c r="AD180"/>
      <c r="AE180"/>
      <c r="AF180" t="inlineStr">
        <is>
          <t>AI</t>
        </is>
      </c>
      <c r="AG180" t="inlineStr">
        <is>
          <t>ANALYSIS_BASELINE</t>
        </is>
      </c>
      <c r="AH180" t="inlineStr">
        <is>
          <t>OTHER</t>
        </is>
      </c>
      <c r="AI180" t="inlineStr">
        <is>
          <t>UNKNOWN</t>
        </is>
      </c>
      <c r="AJ180" t="inlineStr">
        <is>
          <t>B</t>
        </is>
      </c>
      <c r="AK180" t="inlineStr">
        <is>
          <t>核心对象：用酒精缓解独处无聊的设想；体验：UNKNOWN；证据强度：B。</t>
        </is>
      </c>
      <c r="AL180"/>
      <c r="AM180" t="inlineStr">
        <is>
          <t>ANALYSIS_BASELINE_229.xlsx</t>
        </is>
      </c>
    </row>
    <row r="181" ht="25.5" customHeight="1">
      <c r="A181" t="inlineStr">
        <is>
          <t>XHS-SOC-0213_ANALYSIS_BASELINE_formal-attempt-0001_AI</t>
        </is>
      </c>
      <c r="B181" t="inlineStr">
        <is>
          <t>你说的对。吸烟，烧烤都一样</t>
        </is>
      </c>
      <c r="C181"/>
      <c r="D181"/>
      <c r="E181"/>
      <c r="F181"/>
      <c r="G181"/>
      <c r="H181"/>
      <c r="I181"/>
      <c r="J181"/>
      <c r="K181"/>
      <c r="L181"/>
      <c r="M181"/>
      <c r="N181"/>
      <c r="O181"/>
      <c r="P181"/>
      <c r="Q181"/>
      <c r="R181"/>
      <c r="S181">
        <v>0.5</v>
      </c>
      <c r="T181" t="inlineStr">
        <is>
          <t>formal-attempt-0001</t>
        </is>
      </c>
      <c r="U181"/>
      <c r="V181"/>
      <c r="W181"/>
      <c r="X181" t="inlineStr">
        <is>
          <t>XHS-SOC-0213</t>
        </is>
      </c>
      <c r="Y181"/>
      <c r="Z181"/>
      <c r="AA181"/>
      <c r="AB181"/>
      <c r="AC181"/>
      <c r="AD181"/>
      <c r="AE181"/>
      <c r="AF181" t="inlineStr">
        <is>
          <t>AI</t>
        </is>
      </c>
      <c r="AG181" t="inlineStr">
        <is>
          <t>ANALYSIS_BASELINE</t>
        </is>
      </c>
      <c r="AH181" t="inlineStr">
        <is>
          <t>OTHER</t>
        </is>
      </c>
      <c r="AI181" t="inlineStr">
        <is>
          <t>UNKNOWN</t>
        </is>
      </c>
      <c r="AJ181" t="inlineStr">
        <is>
          <t>C</t>
        </is>
      </c>
      <c r="AK181" t="inlineStr">
        <is>
          <t>核心对象：吸烟与烧烤的类比；体验：UNKNOWN；证据强度：C。</t>
        </is>
      </c>
      <c r="AL181"/>
      <c r="AM181" t="inlineStr">
        <is>
          <t>ANALYSIS_BASELINE_229.xlsx</t>
        </is>
      </c>
    </row>
    <row r="182" ht="25.5" customHeight="1">
      <c r="A182" t="inlineStr">
        <is>
          <t>XHS-SOC-0214_ANALYSIS_BASELINE_formal-attempt-0001_AI</t>
        </is>
      </c>
      <c r="B182" t="inlineStr">
        <is>
          <t>一个人去KTV唱歌喝酒会很奇怪吗</t>
        </is>
      </c>
      <c r="C182"/>
      <c r="D182"/>
      <c r="E182"/>
      <c r="F182"/>
      <c r="G182"/>
      <c r="H182"/>
      <c r="I182"/>
      <c r="J182"/>
      <c r="K182"/>
      <c r="L182"/>
      <c r="M182"/>
      <c r="N182"/>
      <c r="O182"/>
      <c r="P182"/>
      <c r="Q182"/>
      <c r="R182"/>
      <c r="S182">
        <v>0.9</v>
      </c>
      <c r="T182" t="inlineStr">
        <is>
          <t>formal-attempt-0001</t>
        </is>
      </c>
      <c r="U182"/>
      <c r="V182"/>
      <c r="W182"/>
      <c r="X182" t="inlineStr">
        <is>
          <t>XHS-SOC-0214</t>
        </is>
      </c>
      <c r="Y182"/>
      <c r="Z182"/>
      <c r="AA182"/>
      <c r="AB182"/>
      <c r="AC182"/>
      <c r="AD182"/>
      <c r="AE182"/>
      <c r="AF182" t="inlineStr">
        <is>
          <t>AI</t>
        </is>
      </c>
      <c r="AG182" t="inlineStr">
        <is>
          <t>ANALYSIS_BASELINE</t>
        </is>
      </c>
      <c r="AH182" t="inlineStr">
        <is>
          <t>OTHER</t>
        </is>
      </c>
      <c r="AI182" t="inlineStr">
        <is>
          <t>UNKNOWN</t>
        </is>
      </c>
      <c r="AJ182" t="inlineStr">
        <is>
          <t>C</t>
        </is>
      </c>
      <c r="AK182" t="inlineStr">
        <is>
          <t>核心对象：尚未发生的饮酒场景询问；体验：UNKNOWN；证据强度：C。</t>
        </is>
      </c>
      <c r="AL182"/>
      <c r="AM182" t="inlineStr">
        <is>
          <t>ANALYSIS_BASELINE_229.xlsx</t>
        </is>
      </c>
    </row>
    <row r="183" ht="25.5" customHeight="1">
      <c r="A183" t="inlineStr">
        <is>
          <t>XHS-SOC-0239_ANALYSIS_BASELINE_formal-attempt-0001_AI</t>
        </is>
      </c>
      <c r="B183" t="inlineStr">
        <is>
          <t>一个人喝酒可爽了</t>
        </is>
      </c>
      <c r="C183"/>
      <c r="D183"/>
      <c r="E183"/>
      <c r="F183"/>
      <c r="G183"/>
      <c r="H183"/>
      <c r="I183"/>
      <c r="J183"/>
      <c r="K183"/>
      <c r="L183"/>
      <c r="M183"/>
      <c r="N183"/>
      <c r="O183"/>
      <c r="P183"/>
      <c r="Q183"/>
      <c r="R183"/>
      <c r="S183">
        <v>0.9</v>
      </c>
      <c r="T183" t="inlineStr">
        <is>
          <t>formal-attempt-0001</t>
        </is>
      </c>
      <c r="U183"/>
      <c r="V183"/>
      <c r="W183"/>
      <c r="X183" t="inlineStr">
        <is>
          <t>XHS-SOC-0239</t>
        </is>
      </c>
      <c r="Y183"/>
      <c r="Z183"/>
      <c r="AA183"/>
      <c r="AB183"/>
      <c r="AC183"/>
      <c r="AD183"/>
      <c r="AE183"/>
      <c r="AF183" t="inlineStr">
        <is>
          <t>AI</t>
        </is>
      </c>
      <c r="AG183" t="inlineStr">
        <is>
          <t>ANALYSIS_BASELINE</t>
        </is>
      </c>
      <c r="AH183" t="inlineStr">
        <is>
          <t>SCENE</t>
        </is>
      </c>
      <c r="AI183" t="inlineStr">
        <is>
          <t>ACTUAL_USE</t>
        </is>
      </c>
      <c r="AJ183" t="inlineStr">
        <is>
          <t>C</t>
        </is>
      </c>
      <c r="AK183" t="inlineStr">
        <is>
          <t>核心对象：独自饮酒场景；体验：ACTUAL_USE；证据强度：C。</t>
        </is>
      </c>
      <c r="AL183"/>
      <c r="AM183" t="inlineStr">
        <is>
          <t>ANALYSIS_BASELINE_229.xlsx</t>
        </is>
      </c>
    </row>
    <row r="184" ht="25.5" customHeight="1">
      <c r="A184" t="inlineStr">
        <is>
          <t>XHS-SOC-0241_ANALYSIS_BASELINE_formal-attempt-0001_AI</t>
        </is>
      </c>
      <c r="B184" t="inlineStr">
        <is>
          <t>一个人才叫喝酒 几个人那叫吹牛逼大会</t>
        </is>
      </c>
      <c r="C184"/>
      <c r="D184"/>
      <c r="E184"/>
      <c r="F184"/>
      <c r="G184"/>
      <c r="H184"/>
      <c r="I184"/>
      <c r="J184"/>
      <c r="K184"/>
      <c r="L184"/>
      <c r="M184"/>
      <c r="N184"/>
      <c r="O184"/>
      <c r="P184"/>
      <c r="Q184"/>
      <c r="R184"/>
      <c r="S184">
        <v>0.9</v>
      </c>
      <c r="T184" t="inlineStr">
        <is>
          <t>formal-attempt-0001</t>
        </is>
      </c>
      <c r="U184"/>
      <c r="V184"/>
      <c r="W184"/>
      <c r="X184" t="inlineStr">
        <is>
          <t>XHS-SOC-0241</t>
        </is>
      </c>
      <c r="Y184"/>
      <c r="Z184"/>
      <c r="AA184"/>
      <c r="AB184"/>
      <c r="AC184"/>
      <c r="AD184"/>
      <c r="AE184"/>
      <c r="AF184" t="inlineStr">
        <is>
          <t>AI</t>
        </is>
      </c>
      <c r="AG184" t="inlineStr">
        <is>
          <t>ANALYSIS_BASELINE</t>
        </is>
      </c>
      <c r="AH184" t="inlineStr">
        <is>
          <t>SCENE</t>
        </is>
      </c>
      <c r="AI184" t="inlineStr">
        <is>
          <t>UNKNOWN</t>
        </is>
      </c>
      <c r="AJ184" t="inlineStr">
        <is>
          <t>C</t>
        </is>
      </c>
      <c r="AK184" t="inlineStr">
        <is>
          <t>核心对象：独自与多人饮酒的社交行为；体验：UNKNOWN；证据强度：C。</t>
        </is>
      </c>
      <c r="AL184"/>
      <c r="AM184" t="inlineStr">
        <is>
          <t>ANALYSIS_BASELINE_229.xlsx</t>
        </is>
      </c>
    </row>
    <row r="185" ht="25.5" customHeight="1">
      <c r="A185" t="inlineStr">
        <is>
          <t>XHS-SOC-0242_ANALYSIS_BASELINE_formal-attempt-0001_AI</t>
        </is>
      </c>
      <c r="B185" t="inlineStr">
        <is>
          <t>不怪！我就喜欢一个人喝酒</t>
        </is>
      </c>
      <c r="C185"/>
      <c r="D185"/>
      <c r="E185"/>
      <c r="F185"/>
      <c r="G185"/>
      <c r="H185"/>
      <c r="I185"/>
      <c r="J185"/>
      <c r="K185"/>
      <c r="L185"/>
      <c r="M185"/>
      <c r="N185"/>
      <c r="O185"/>
      <c r="P185"/>
      <c r="Q185"/>
      <c r="R185"/>
      <c r="S185">
        <v>0.9</v>
      </c>
      <c r="T185" t="inlineStr">
        <is>
          <t>formal-attempt-0001</t>
        </is>
      </c>
      <c r="U185"/>
      <c r="V185"/>
      <c r="W185"/>
      <c r="X185" t="inlineStr">
        <is>
          <t>XHS-SOC-0242</t>
        </is>
      </c>
      <c r="Y185"/>
      <c r="Z185"/>
      <c r="AA185"/>
      <c r="AB185"/>
      <c r="AC185"/>
      <c r="AD185"/>
      <c r="AE185"/>
      <c r="AF185" t="inlineStr">
        <is>
          <t>AI</t>
        </is>
      </c>
      <c r="AG185" t="inlineStr">
        <is>
          <t>ANALYSIS_BASELINE</t>
        </is>
      </c>
      <c r="AH185" t="inlineStr">
        <is>
          <t>SCENE</t>
        </is>
      </c>
      <c r="AI185" t="inlineStr">
        <is>
          <t>ACTUAL_USE</t>
        </is>
      </c>
      <c r="AJ185" t="inlineStr">
        <is>
          <t>C</t>
        </is>
      </c>
      <c r="AK185" t="inlineStr">
        <is>
          <t>核心对象：独自饮酒场景；体验：ACTUAL_USE；证据强度：C。</t>
        </is>
      </c>
      <c r="AL185"/>
      <c r="AM185" t="inlineStr">
        <is>
          <t>ANALYSIS_BASELINE_229.xlsx</t>
        </is>
      </c>
    </row>
    <row r="186" ht="25.5" customHeight="1">
      <c r="A186" t="inlineStr">
        <is>
          <t>MJ-RAW-0361_ANALYSIS_BASELINE_formal-attempt-0001_AI</t>
        </is>
      </c>
      <c r="B186" t="inlineStr">
        <is>
          <t>比较实惠，口感很好，买过多次了，送货非常快</t>
        </is>
      </c>
      <c r="C186"/>
      <c r="D186"/>
      <c r="E186"/>
      <c r="F186"/>
      <c r="G186"/>
      <c r="H186"/>
      <c r="I186"/>
      <c r="J186"/>
      <c r="K186"/>
      <c r="L186"/>
      <c r="M186"/>
      <c r="N186"/>
      <c r="O186"/>
      <c r="P186"/>
      <c r="Q186"/>
      <c r="R186"/>
      <c r="S186">
        <v>0.9</v>
      </c>
      <c r="T186" t="inlineStr">
        <is>
          <t>formal-attempt-0001</t>
        </is>
      </c>
      <c r="U186"/>
      <c r="V186"/>
      <c r="W186"/>
      <c r="X186" t="inlineStr">
        <is>
          <t>MJ-RAW-0361</t>
        </is>
      </c>
      <c r="Y186"/>
      <c r="Z186"/>
      <c r="AA186"/>
      <c r="AB186"/>
      <c r="AC186"/>
      <c r="AD186"/>
      <c r="AE186"/>
      <c r="AF186" t="inlineStr">
        <is>
          <t>AI</t>
        </is>
      </c>
      <c r="AG186" t="inlineStr">
        <is>
          <t>ANALYSIS_BASELINE</t>
        </is>
      </c>
      <c r="AH186" t="inlineStr">
        <is>
          <t>PRODUCT</t>
        </is>
      </c>
      <c r="AI186" t="inlineStr">
        <is>
          <t>ACTUAL_USE</t>
        </is>
      </c>
      <c r="AJ186" t="inlineStr">
        <is>
          <t>B</t>
        </is>
      </c>
      <c r="AK186" t="inlineStr">
        <is>
          <t>核心对象：产品口感与价格体验；体验：ACTUAL_USE；证据强度：B。</t>
        </is>
      </c>
      <c r="AL186"/>
      <c r="AM186" t="inlineStr">
        <is>
          <t>ANALYSIS_BASELINE_229.xlsx</t>
        </is>
      </c>
    </row>
    <row r="187" ht="25.5" customHeight="1">
      <c r="A187" t="inlineStr">
        <is>
          <t>MJ-RAW-0362_ANALYSIS_BASELINE_formal-attempt-0001_AI</t>
        </is>
      </c>
      <c r="B187" t="inlineStr">
        <is>
          <t>口感一般都吧，花果香还可以，性价比不高。</t>
        </is>
      </c>
      <c r="C187"/>
      <c r="D187"/>
      <c r="E187"/>
      <c r="F187"/>
      <c r="G187"/>
      <c r="H187"/>
      <c r="I187"/>
      <c r="J187"/>
      <c r="K187"/>
      <c r="L187"/>
      <c r="M187"/>
      <c r="N187"/>
      <c r="O187"/>
      <c r="P187"/>
      <c r="Q187"/>
      <c r="R187"/>
      <c r="S187">
        <v>0.9</v>
      </c>
      <c r="T187" t="inlineStr">
        <is>
          <t>formal-attempt-0001</t>
        </is>
      </c>
      <c r="U187"/>
      <c r="V187"/>
      <c r="W187"/>
      <c r="X187" t="inlineStr">
        <is>
          <t>MJ-RAW-0362</t>
        </is>
      </c>
      <c r="Y187"/>
      <c r="Z187"/>
      <c r="AA187"/>
      <c r="AB187"/>
      <c r="AC187"/>
      <c r="AD187"/>
      <c r="AE187"/>
      <c r="AF187" t="inlineStr">
        <is>
          <t>AI</t>
        </is>
      </c>
      <c r="AG187" t="inlineStr">
        <is>
          <t>ANALYSIS_BASELINE</t>
        </is>
      </c>
      <c r="AH187" t="inlineStr">
        <is>
          <t>PRODUCT</t>
        </is>
      </c>
      <c r="AI187" t="inlineStr">
        <is>
          <t>ACTUAL_USE</t>
        </is>
      </c>
      <c r="AJ187" t="inlineStr">
        <is>
          <t>B</t>
        </is>
      </c>
      <c r="AK187" t="inlineStr">
        <is>
          <t>核心对象：产品口感与性价比；体验：ACTUAL_USE；证据强度：B。</t>
        </is>
      </c>
      <c r="AL187"/>
      <c r="AM187" t="inlineStr">
        <is>
          <t>ANALYSIS_BASELINE_229.xlsx</t>
        </is>
      </c>
    </row>
    <row r="188" ht="25.5" customHeight="1">
      <c r="A188" t="inlineStr">
        <is>
          <t>DY-SOC-0130_ANALYSIS_BASELINE_formal-attempt-0001_AI</t>
        </is>
      </c>
      <c r="B188" t="inlineStr">
        <is>
          <t>买了好几种主要都是酸味</t>
        </is>
      </c>
      <c r="C188"/>
      <c r="D188"/>
      <c r="E188"/>
      <c r="F188"/>
      <c r="G188"/>
      <c r="H188"/>
      <c r="I188"/>
      <c r="J188"/>
      <c r="K188"/>
      <c r="L188"/>
      <c r="M188"/>
      <c r="N188"/>
      <c r="O188"/>
      <c r="P188"/>
      <c r="Q188"/>
      <c r="R188"/>
      <c r="S188">
        <v>0.9</v>
      </c>
      <c r="T188" t="inlineStr">
        <is>
          <t>formal-attempt-0001</t>
        </is>
      </c>
      <c r="U188"/>
      <c r="V188"/>
      <c r="W188"/>
      <c r="X188" t="inlineStr">
        <is>
          <t>DY-SOC-0130</t>
        </is>
      </c>
      <c r="Y188"/>
      <c r="Z188"/>
      <c r="AA188"/>
      <c r="AB188"/>
      <c r="AC188"/>
      <c r="AD188"/>
      <c r="AE188"/>
      <c r="AF188" t="inlineStr">
        <is>
          <t>AI</t>
        </is>
      </c>
      <c r="AG188" t="inlineStr">
        <is>
          <t>ANALYSIS_BASELINE</t>
        </is>
      </c>
      <c r="AH188" t="inlineStr">
        <is>
          <t>PRODUCT</t>
        </is>
      </c>
      <c r="AI188" t="inlineStr">
        <is>
          <t>ACTUAL_USE</t>
        </is>
      </c>
      <c r="AJ188" t="inlineStr">
        <is>
          <t>B</t>
        </is>
      </c>
      <c r="AK188" t="inlineStr">
        <is>
          <t>核心对象：产品口味；体验：ACTUAL_USE；证据强度：B。</t>
        </is>
      </c>
      <c r="AL188"/>
      <c r="AM188" t="inlineStr">
        <is>
          <t>ANALYSIS_BASELINE_229.xlsx</t>
        </is>
      </c>
    </row>
    <row r="189" ht="25.5" customHeight="1">
      <c r="A189" t="inlineStr">
        <is>
          <t>DY-SOC-0132_ANALYSIS_BASELINE_formal-attempt-0001_AI</t>
        </is>
      </c>
      <c r="B189" t="inlineStr">
        <is>
          <t>等我发工资了就去买</t>
        </is>
      </c>
      <c r="C189"/>
      <c r="D189"/>
      <c r="E189"/>
      <c r="F189"/>
      <c r="G189"/>
      <c r="H189"/>
      <c r="I189"/>
      <c r="J189"/>
      <c r="K189"/>
      <c r="L189"/>
      <c r="M189"/>
      <c r="N189"/>
      <c r="O189"/>
      <c r="P189"/>
      <c r="Q189"/>
      <c r="R189"/>
      <c r="S189">
        <v>0.9</v>
      </c>
      <c r="T189" t="inlineStr">
        <is>
          <t>formal-attempt-0001</t>
        </is>
      </c>
      <c r="U189"/>
      <c r="V189"/>
      <c r="W189"/>
      <c r="X189" t="inlineStr">
        <is>
          <t>DY-SOC-0132</t>
        </is>
      </c>
      <c r="Y189"/>
      <c r="Z189"/>
      <c r="AA189"/>
      <c r="AB189"/>
      <c r="AC189"/>
      <c r="AD189"/>
      <c r="AE189"/>
      <c r="AF189" t="inlineStr">
        <is>
          <t>AI</t>
        </is>
      </c>
      <c r="AG189" t="inlineStr">
        <is>
          <t>ANALYSIS_BASELINE</t>
        </is>
      </c>
      <c r="AH189" t="inlineStr">
        <is>
          <t>OTHER</t>
        </is>
      </c>
      <c r="AI189" t="inlineStr">
        <is>
          <t>UNKNOWN</t>
        </is>
      </c>
      <c r="AJ189" t="inlineStr">
        <is>
          <t>C</t>
        </is>
      </c>
      <c r="AK189" t="inlineStr">
        <is>
          <t>核心对象：尚未发生的购买意向；体验：UNKNOWN；证据强度：C。</t>
        </is>
      </c>
      <c r="AL189"/>
      <c r="AM189" t="inlineStr">
        <is>
          <t>ANALYSIS_BASELINE_229.xlsx</t>
        </is>
      </c>
    </row>
    <row r="190" ht="25.5" customHeight="1">
      <c r="A190" t="inlineStr">
        <is>
          <t>XHS-SOC-0179_ANALYSIS_BASELINE_formal-attempt-0001_AI</t>
        </is>
      </c>
      <c r="B190" t="inlineStr">
        <is>
          <t>梅见也不便宜吧330ml要二三十一瓶</t>
        </is>
      </c>
      <c r="C190"/>
      <c r="D190"/>
      <c r="E190"/>
      <c r="F190"/>
      <c r="G190"/>
      <c r="H190"/>
      <c r="I190"/>
      <c r="J190"/>
      <c r="K190"/>
      <c r="L190"/>
      <c r="M190"/>
      <c r="N190"/>
      <c r="O190"/>
      <c r="P190"/>
      <c r="Q190"/>
      <c r="R190"/>
      <c r="S190">
        <v>0.9</v>
      </c>
      <c r="T190" t="inlineStr">
        <is>
          <t>formal-attempt-0001</t>
        </is>
      </c>
      <c r="U190"/>
      <c r="V190"/>
      <c r="W190"/>
      <c r="X190" t="inlineStr">
        <is>
          <t>XHS-SOC-0179</t>
        </is>
      </c>
      <c r="Y190"/>
      <c r="Z190"/>
      <c r="AA190"/>
      <c r="AB190"/>
      <c r="AC190"/>
      <c r="AD190"/>
      <c r="AE190"/>
      <c r="AF190" t="inlineStr">
        <is>
          <t>AI</t>
        </is>
      </c>
      <c r="AG190" t="inlineStr">
        <is>
          <t>ANALYSIS_BASELINE</t>
        </is>
      </c>
      <c r="AH190" t="inlineStr">
        <is>
          <t>PRODUCT</t>
        </is>
      </c>
      <c r="AI190" t="inlineStr">
        <is>
          <t>UNKNOWN</t>
        </is>
      </c>
      <c r="AJ190" t="inlineStr">
        <is>
          <t>A</t>
        </is>
      </c>
      <c r="AK190" t="inlineStr">
        <is>
          <t>核心对象：产品价格与规格；体验：UNKNOWN；证据强度：A。</t>
        </is>
      </c>
      <c r="AL190"/>
      <c r="AM190" t="inlineStr">
        <is>
          <t>ANALYSIS_BASELINE_229.xlsx</t>
        </is>
      </c>
    </row>
    <row r="191" ht="25.5" customHeight="1">
      <c r="A191" t="inlineStr">
        <is>
          <t>XHS-SOC-0216_ANALYSIS_BASELINE_formal-attempt-0001_AI</t>
        </is>
      </c>
      <c r="B191" t="inlineStr">
        <is>
          <t>我在店里买了梅见，我觉得口味非常好，适合女生</t>
        </is>
      </c>
      <c r="C191"/>
      <c r="D191"/>
      <c r="E191"/>
      <c r="F191"/>
      <c r="G191"/>
      <c r="H191"/>
      <c r="I191"/>
      <c r="J191"/>
      <c r="K191"/>
      <c r="L191"/>
      <c r="M191"/>
      <c r="N191"/>
      <c r="O191"/>
      <c r="P191"/>
      <c r="Q191"/>
      <c r="R191"/>
      <c r="S191">
        <v>0.9</v>
      </c>
      <c r="T191" t="inlineStr">
        <is>
          <t>formal-attempt-0001</t>
        </is>
      </c>
      <c r="U191"/>
      <c r="V191"/>
      <c r="W191"/>
      <c r="X191" t="inlineStr">
        <is>
          <t>XHS-SOC-0216</t>
        </is>
      </c>
      <c r="Y191"/>
      <c r="Z191"/>
      <c r="AA191"/>
      <c r="AB191"/>
      <c r="AC191"/>
      <c r="AD191"/>
      <c r="AE191"/>
      <c r="AF191" t="inlineStr">
        <is>
          <t>AI</t>
        </is>
      </c>
      <c r="AG191" t="inlineStr">
        <is>
          <t>ANALYSIS_BASELINE</t>
        </is>
      </c>
      <c r="AH191" t="inlineStr">
        <is>
          <t>PRODUCT</t>
        </is>
      </c>
      <c r="AI191" t="inlineStr">
        <is>
          <t>ACTUAL_USE</t>
        </is>
      </c>
      <c r="AJ191" t="inlineStr">
        <is>
          <t>B</t>
        </is>
      </c>
      <c r="AK191" t="inlineStr">
        <is>
          <t>核心对象：产品口味；体验：ACTUAL_USE；证据强度：B。</t>
        </is>
      </c>
      <c r="AL191"/>
      <c r="AM191" t="inlineStr">
        <is>
          <t>ANALYSIS_BASELINE_229.xlsx</t>
        </is>
      </c>
    </row>
    <row r="192" ht="25.5" customHeight="1">
      <c r="A192" t="inlineStr">
        <is>
          <t>XHS-SOC-0217_ANALYSIS_BASELINE_formal-attempt-0001_AI</t>
        </is>
      </c>
      <c r="B192" t="inlineStr">
        <is>
          <t>一直回购，可以直饮</t>
        </is>
      </c>
      <c r="C192"/>
      <c r="D192"/>
      <c r="E192"/>
      <c r="F192"/>
      <c r="G192"/>
      <c r="H192"/>
      <c r="I192"/>
      <c r="J192"/>
      <c r="K192"/>
      <c r="L192"/>
      <c r="M192"/>
      <c r="N192"/>
      <c r="O192"/>
      <c r="P192"/>
      <c r="Q192"/>
      <c r="R192"/>
      <c r="S192">
        <v>0.9</v>
      </c>
      <c r="T192" t="inlineStr">
        <is>
          <t>formal-attempt-0001</t>
        </is>
      </c>
      <c r="U192"/>
      <c r="V192"/>
      <c r="W192"/>
      <c r="X192" t="inlineStr">
        <is>
          <t>XHS-SOC-0217</t>
        </is>
      </c>
      <c r="Y192"/>
      <c r="Z192"/>
      <c r="AA192"/>
      <c r="AB192"/>
      <c r="AC192"/>
      <c r="AD192"/>
      <c r="AE192"/>
      <c r="AF192" t="inlineStr">
        <is>
          <t>AI</t>
        </is>
      </c>
      <c r="AG192" t="inlineStr">
        <is>
          <t>ANALYSIS_BASELINE</t>
        </is>
      </c>
      <c r="AH192" t="inlineStr">
        <is>
          <t>PRODUCT</t>
        </is>
      </c>
      <c r="AI192" t="inlineStr">
        <is>
          <t>PURCHASE_ONLY</t>
        </is>
      </c>
      <c r="AJ192" t="inlineStr">
        <is>
          <t>C</t>
        </is>
      </c>
      <c r="AK192" t="inlineStr">
        <is>
          <t>核心对象：产品直饮与复购；体验：PURCHASE_ONLY；证据强度：C。</t>
        </is>
      </c>
      <c r="AL192"/>
      <c r="AM192" t="inlineStr">
        <is>
          <t>ANALYSIS_BASELINE_229.xlsx</t>
        </is>
      </c>
    </row>
    <row r="193" ht="25.5" customHeight="1">
      <c r="A193" t="inlineStr">
        <is>
          <t>JD-20260809-007_ANALYSIS_BASELINE_formal-attempt-0001_AI</t>
        </is>
      </c>
      <c r="B193" t="inlineStr">
        <is>
          <t>非常好喝，之前在日本喝过，国内还不好买。</t>
        </is>
      </c>
      <c r="C193"/>
      <c r="D193"/>
      <c r="E193"/>
      <c r="F193"/>
      <c r="G193"/>
      <c r="H193"/>
      <c r="I193"/>
      <c r="J193"/>
      <c r="K193"/>
      <c r="L193"/>
      <c r="M193"/>
      <c r="N193"/>
      <c r="O193"/>
      <c r="P193"/>
      <c r="Q193"/>
      <c r="R193"/>
      <c r="S193">
        <v>0.9</v>
      </c>
      <c r="T193" t="inlineStr">
        <is>
          <t>formal-attempt-0001</t>
        </is>
      </c>
      <c r="U193"/>
      <c r="V193"/>
      <c r="W193"/>
      <c r="X193" t="inlineStr">
        <is>
          <t>JD-20260809-007</t>
        </is>
      </c>
      <c r="Y193"/>
      <c r="Z193"/>
      <c r="AA193"/>
      <c r="AB193"/>
      <c r="AC193"/>
      <c r="AD193"/>
      <c r="AE193"/>
      <c r="AF193" t="inlineStr">
        <is>
          <t>AI</t>
        </is>
      </c>
      <c r="AG193" t="inlineStr">
        <is>
          <t>ANALYSIS_BASELINE</t>
        </is>
      </c>
      <c r="AH193" t="inlineStr">
        <is>
          <t>PRODUCT</t>
        </is>
      </c>
      <c r="AI193" t="inlineStr">
        <is>
          <t>ACTUAL_USE</t>
        </is>
      </c>
      <c r="AJ193" t="inlineStr">
        <is>
          <t>B</t>
        </is>
      </c>
      <c r="AK193" t="inlineStr">
        <is>
          <t>核心对象：产品口感；体验：ACTUAL_USE；证据强度：B。</t>
        </is>
      </c>
      <c r="AL193"/>
      <c r="AM193" t="inlineStr">
        <is>
          <t>ANALYSIS_BASELINE_229.xlsx</t>
        </is>
      </c>
    </row>
    <row r="194" ht="25.5" customHeight="1">
      <c r="A194" t="inlineStr">
        <is>
          <t>JD-20260809-015_ANALYSIS_BASELINE_formal-attempt-0001_AI</t>
        </is>
      </c>
      <c r="B194" t="inlineStr">
        <is>
          <t>夏天的时候经常喝，直接加冰块，等冰块融化一点之后再喝才不会很甜，之前一直买小瓶的，后来发现这种大瓶的更划算，就换成大瓶的了。性价比更高</t>
        </is>
      </c>
      <c r="C194"/>
      <c r="D194"/>
      <c r="E194"/>
      <c r="F194"/>
      <c r="G194"/>
      <c r="H194"/>
      <c r="I194"/>
      <c r="J194"/>
      <c r="K194"/>
      <c r="L194"/>
      <c r="M194"/>
      <c r="N194"/>
      <c r="O194"/>
      <c r="P194"/>
      <c r="Q194"/>
      <c r="R194"/>
      <c r="S194">
        <v>0.9</v>
      </c>
      <c r="T194" t="inlineStr">
        <is>
          <t>formal-attempt-0001</t>
        </is>
      </c>
      <c r="U194"/>
      <c r="V194"/>
      <c r="W194"/>
      <c r="X194" t="inlineStr">
        <is>
          <t>JD-20260809-015</t>
        </is>
      </c>
      <c r="Y194"/>
      <c r="Z194"/>
      <c r="AA194"/>
      <c r="AB194"/>
      <c r="AC194"/>
      <c r="AD194"/>
      <c r="AE194"/>
      <c r="AF194" t="inlineStr">
        <is>
          <t>AI</t>
        </is>
      </c>
      <c r="AG194" t="inlineStr">
        <is>
          <t>ANALYSIS_BASELINE</t>
        </is>
      </c>
      <c r="AH194" t="inlineStr">
        <is>
          <t>PRODUCT</t>
        </is>
      </c>
      <c r="AI194" t="inlineStr">
        <is>
          <t>ACTUAL_USE</t>
        </is>
      </c>
      <c r="AJ194" t="inlineStr">
        <is>
          <t>A</t>
        </is>
      </c>
      <c r="AK194" t="inlineStr">
        <is>
          <t>核心对象：产品饮用方式与规格体验；体验：ACTUAL_USE；证据强度：A。</t>
        </is>
      </c>
      <c r="AL194"/>
      <c r="AM194" t="inlineStr">
        <is>
          <t>ANALYSIS_BASELINE_229.xlsx</t>
        </is>
      </c>
    </row>
    <row r="195" ht="25.5" customHeight="1">
      <c r="A195" t="inlineStr">
        <is>
          <t>JD-20260809-021_ANALYSIS_BASELINE_formal-attempt-0001_AI</t>
        </is>
      </c>
      <c r="B195" t="inlineStr">
        <is>
          <t>家人特别喜欢，所以回购的，说酸甜平衡度不错，酒精度数刚刚好，解腻效果不错，果香味道浓郁，，不错，推荐购买</t>
        </is>
      </c>
      <c r="C195"/>
      <c r="D195"/>
      <c r="E195"/>
      <c r="F195"/>
      <c r="G195"/>
      <c r="H195"/>
      <c r="I195"/>
      <c r="J195"/>
      <c r="K195"/>
      <c r="L195"/>
      <c r="M195"/>
      <c r="N195"/>
      <c r="O195"/>
      <c r="P195"/>
      <c r="Q195"/>
      <c r="R195"/>
      <c r="S195">
        <v>0.9</v>
      </c>
      <c r="T195" t="inlineStr">
        <is>
          <t>formal-attempt-0001</t>
        </is>
      </c>
      <c r="U195"/>
      <c r="V195"/>
      <c r="W195"/>
      <c r="X195" t="inlineStr">
        <is>
          <t>JD-20260809-021</t>
        </is>
      </c>
      <c r="Y195"/>
      <c r="Z195"/>
      <c r="AA195"/>
      <c r="AB195"/>
      <c r="AC195"/>
      <c r="AD195"/>
      <c r="AE195"/>
      <c r="AF195" t="inlineStr">
        <is>
          <t>AI</t>
        </is>
      </c>
      <c r="AG195" t="inlineStr">
        <is>
          <t>ANALYSIS_BASELINE</t>
        </is>
      </c>
      <c r="AH195" t="inlineStr">
        <is>
          <t>PRODUCT</t>
        </is>
      </c>
      <c r="AI195" t="inlineStr">
        <is>
          <t>UNKNOWN</t>
        </is>
      </c>
      <c r="AJ195" t="inlineStr">
        <is>
          <t>A</t>
        </is>
      </c>
      <c r="AK195" t="inlineStr">
        <is>
          <t>核心对象：产品口味与饮用体验；体验：UNKNOWN；证据强度：A。</t>
        </is>
      </c>
      <c r="AL195"/>
      <c r="AM195" t="inlineStr">
        <is>
          <t>ANALYSIS_BASELINE_229.xlsx</t>
        </is>
      </c>
    </row>
    <row r="196" ht="25.5" customHeight="1">
      <c r="A196" t="inlineStr">
        <is>
          <t>JD-20260809-024_ANALYSIS_BASELINE_formal-attempt-0001_AI</t>
        </is>
      </c>
      <c r="B196" t="inlineStr">
        <is>
          <t>很喜欢这个口味的，一直购买这个味道的，价格也还行吧。</t>
        </is>
      </c>
      <c r="C196"/>
      <c r="D196"/>
      <c r="E196"/>
      <c r="F196"/>
      <c r="G196"/>
      <c r="H196"/>
      <c r="I196"/>
      <c r="J196"/>
      <c r="K196"/>
      <c r="L196"/>
      <c r="M196"/>
      <c r="N196"/>
      <c r="O196"/>
      <c r="P196"/>
      <c r="Q196"/>
      <c r="R196"/>
      <c r="S196">
        <v>0.9</v>
      </c>
      <c r="T196" t="inlineStr">
        <is>
          <t>formal-attempt-0001</t>
        </is>
      </c>
      <c r="U196"/>
      <c r="V196"/>
      <c r="W196"/>
      <c r="X196" t="inlineStr">
        <is>
          <t>JD-20260809-024</t>
        </is>
      </c>
      <c r="Y196"/>
      <c r="Z196"/>
      <c r="AA196"/>
      <c r="AB196"/>
      <c r="AC196"/>
      <c r="AD196"/>
      <c r="AE196"/>
      <c r="AF196" t="inlineStr">
        <is>
          <t>AI</t>
        </is>
      </c>
      <c r="AG196" t="inlineStr">
        <is>
          <t>ANALYSIS_BASELINE</t>
        </is>
      </c>
      <c r="AH196" t="inlineStr">
        <is>
          <t>PRODUCT</t>
        </is>
      </c>
      <c r="AI196" t="inlineStr">
        <is>
          <t>ACTUAL_USE</t>
        </is>
      </c>
      <c r="AJ196" t="inlineStr">
        <is>
          <t>C</t>
        </is>
      </c>
      <c r="AK196" t="inlineStr">
        <is>
          <t>核心对象：产品口味与价格；体验：ACTUAL_USE；证据强度：C。</t>
        </is>
      </c>
      <c r="AL196"/>
      <c r="AM196" t="inlineStr">
        <is>
          <t>ANALYSIS_BASELINE_229.xlsx</t>
        </is>
      </c>
    </row>
    <row r="197" ht="25.5" customHeight="1">
      <c r="A197" t="inlineStr">
        <is>
          <t>JD-20260809-029_ANALYSIS_BASELINE_formal-attempt-0001_AI</t>
        </is>
      </c>
      <c r="B197" t="inlineStr">
        <is>
          <t>包装严实，没磕碰到，价格比自营的便宜些，而且口味还多，八罐有七种口味。度数低，聚餐喝很合适，解腻效果佳。物流也挺快，体验佳。</t>
        </is>
      </c>
      <c r="C197"/>
      <c r="D197"/>
      <c r="E197"/>
      <c r="F197"/>
      <c r="G197"/>
      <c r="H197"/>
      <c r="I197"/>
      <c r="J197"/>
      <c r="K197"/>
      <c r="L197"/>
      <c r="M197"/>
      <c r="N197"/>
      <c r="O197"/>
      <c r="P197"/>
      <c r="Q197"/>
      <c r="R197"/>
      <c r="S197">
        <v>0.9</v>
      </c>
      <c r="T197" t="inlineStr">
        <is>
          <t>formal-attempt-0001</t>
        </is>
      </c>
      <c r="U197"/>
      <c r="V197"/>
      <c r="W197"/>
      <c r="X197" t="inlineStr">
        <is>
          <t>JD-20260809-029</t>
        </is>
      </c>
      <c r="Y197"/>
      <c r="Z197"/>
      <c r="AA197"/>
      <c r="AB197"/>
      <c r="AC197"/>
      <c r="AD197"/>
      <c r="AE197"/>
      <c r="AF197" t="inlineStr">
        <is>
          <t>AI</t>
        </is>
      </c>
      <c r="AG197" t="inlineStr">
        <is>
          <t>ANALYSIS_BASELINE</t>
        </is>
      </c>
      <c r="AH197" t="inlineStr">
        <is>
          <t>PRODUCT</t>
        </is>
      </c>
      <c r="AI197" t="inlineStr">
        <is>
          <t>ACTUAL_USE</t>
        </is>
      </c>
      <c r="AJ197" t="inlineStr">
        <is>
          <t>A</t>
        </is>
      </c>
      <c r="AK197" t="inlineStr">
        <is>
          <t>核心对象：产品包装、口味与饮用体验；体验：ACTUAL_USE；证据强度：A。</t>
        </is>
      </c>
      <c r="AL197"/>
      <c r="AM197" t="inlineStr">
        <is>
          <t>ANALYSIS_BASELINE_229.xlsx</t>
        </is>
      </c>
    </row>
    <row r="198" ht="25.5" customHeight="1">
      <c r="A198" t="inlineStr">
        <is>
          <t>JD-20260809-033_ANALYSIS_BASELINE_formal-attempt-0001_AI</t>
        </is>
      </c>
      <c r="B198" t="inlineStr">
        <is>
          <t>收到后12瓶只有两个口味，可能我备注的话是会多点的，但是还是有点失望</t>
        </is>
      </c>
      <c r="C198"/>
      <c r="D198"/>
      <c r="E198"/>
      <c r="F198"/>
      <c r="G198"/>
      <c r="H198"/>
      <c r="I198"/>
      <c r="J198"/>
      <c r="K198"/>
      <c r="L198"/>
      <c r="M198"/>
      <c r="N198"/>
      <c r="O198"/>
      <c r="P198"/>
      <c r="Q198"/>
      <c r="R198"/>
      <c r="S198">
        <v>0.9</v>
      </c>
      <c r="T198" t="inlineStr">
        <is>
          <t>formal-attempt-0001</t>
        </is>
      </c>
      <c r="U198"/>
      <c r="V198"/>
      <c r="W198"/>
      <c r="X198" t="inlineStr">
        <is>
          <t>JD-20260809-033</t>
        </is>
      </c>
      <c r="Y198"/>
      <c r="Z198"/>
      <c r="AA198"/>
      <c r="AB198"/>
      <c r="AC198"/>
      <c r="AD198"/>
      <c r="AE198"/>
      <c r="AF198" t="inlineStr">
        <is>
          <t>AI</t>
        </is>
      </c>
      <c r="AG198" t="inlineStr">
        <is>
          <t>ANALYSIS_BASELINE</t>
        </is>
      </c>
      <c r="AH198" t="inlineStr">
        <is>
          <t>SERVICE</t>
        </is>
      </c>
      <c r="AI198" t="inlineStr">
        <is>
          <t>PURCHASE_ONLY</t>
        </is>
      </c>
      <c r="AJ198" t="inlineStr">
        <is>
          <t>A</t>
        </is>
      </c>
      <c r="AK198" t="inlineStr">
        <is>
          <t>核心对象：收货后的口味配置；体验：PURCHASE_ONLY；证据强度：A。</t>
        </is>
      </c>
      <c r="AL198"/>
      <c r="AM198" t="inlineStr">
        <is>
          <t>ANALYSIS_BASELINE_229.xlsx</t>
        </is>
      </c>
    </row>
    <row r="199" ht="25.5" customHeight="1">
      <c r="A199" t="inlineStr">
        <is>
          <t>JD-20260809-035_ANALYSIS_BASELINE_formal-attempt-0001_AI</t>
        </is>
      </c>
      <c r="B199" t="inlineStr">
        <is>
          <t>这款梅酒酸甜平衡，梅香清新自然，入口柔和顺滑，余味有淡淡果香回甘。酒精度适中，冰镇后口感更清爽，加气泡水或冰块都很适合。包装精致，适合朋友聚会，性价比不错，会回购。</t>
        </is>
      </c>
      <c r="C199"/>
      <c r="D199"/>
      <c r="E199"/>
      <c r="F199"/>
      <c r="G199"/>
      <c r="H199"/>
      <c r="I199"/>
      <c r="J199"/>
      <c r="K199"/>
      <c r="L199"/>
      <c r="M199"/>
      <c r="N199"/>
      <c r="O199"/>
      <c r="P199"/>
      <c r="Q199"/>
      <c r="R199"/>
      <c r="S199">
        <v>0.9</v>
      </c>
      <c r="T199" t="inlineStr">
        <is>
          <t>formal-attempt-0001</t>
        </is>
      </c>
      <c r="U199"/>
      <c r="V199"/>
      <c r="W199"/>
      <c r="X199" t="inlineStr">
        <is>
          <t>JD-20260809-035</t>
        </is>
      </c>
      <c r="Y199"/>
      <c r="Z199"/>
      <c r="AA199"/>
      <c r="AB199"/>
      <c r="AC199"/>
      <c r="AD199"/>
      <c r="AE199"/>
      <c r="AF199" t="inlineStr">
        <is>
          <t>AI</t>
        </is>
      </c>
      <c r="AG199" t="inlineStr">
        <is>
          <t>ANALYSIS_BASELINE</t>
        </is>
      </c>
      <c r="AH199" t="inlineStr">
        <is>
          <t>PRODUCT</t>
        </is>
      </c>
      <c r="AI199" t="inlineStr">
        <is>
          <t>ACTUAL_USE</t>
        </is>
      </c>
      <c r="AJ199" t="inlineStr">
        <is>
          <t>A</t>
        </is>
      </c>
      <c r="AK199" t="inlineStr">
        <is>
          <t>核心对象：产品口味、包装与调饮体验；体验：ACTUAL_USE；证据强度：A。</t>
        </is>
      </c>
      <c r="AL199"/>
      <c r="AM199" t="inlineStr">
        <is>
          <t>ANALYSIS_BASELINE_229.xlsx</t>
        </is>
      </c>
    </row>
    <row r="200" ht="25.5" customHeight="1">
      <c r="A200" t="inlineStr">
        <is>
          <t>JD-20260809-038_ANALYSIS_BASELINE_formal-attempt-0001_AI</t>
        </is>
      </c>
      <c r="B200" t="inlineStr">
        <is>
          <t>在广东喝过这一款酒，适合女士们饮用。口感酸甜爽口，度数低，招待客人尝尝味道，也不错。京东上也可以下单，买的多与广东当地价位相差不大。</t>
        </is>
      </c>
      <c r="C200"/>
      <c r="D200"/>
      <c r="E200"/>
      <c r="F200"/>
      <c r="G200"/>
      <c r="H200"/>
      <c r="I200"/>
      <c r="J200"/>
      <c r="K200"/>
      <c r="L200"/>
      <c r="M200"/>
      <c r="N200"/>
      <c r="O200"/>
      <c r="P200"/>
      <c r="Q200"/>
      <c r="R200"/>
      <c r="S200">
        <v>0.9</v>
      </c>
      <c r="T200" t="inlineStr">
        <is>
          <t>formal-attempt-0001</t>
        </is>
      </c>
      <c r="U200"/>
      <c r="V200"/>
      <c r="W200"/>
      <c r="X200" t="inlineStr">
        <is>
          <t>JD-20260809-038</t>
        </is>
      </c>
      <c r="Y200"/>
      <c r="Z200"/>
      <c r="AA200"/>
      <c r="AB200"/>
      <c r="AC200"/>
      <c r="AD200"/>
      <c r="AE200"/>
      <c r="AF200" t="inlineStr">
        <is>
          <t>AI</t>
        </is>
      </c>
      <c r="AG200" t="inlineStr">
        <is>
          <t>ANALYSIS_BASELINE</t>
        </is>
      </c>
      <c r="AH200" t="inlineStr">
        <is>
          <t>PRODUCT</t>
        </is>
      </c>
      <c r="AI200" t="inlineStr">
        <is>
          <t>ACTUAL_USE</t>
        </is>
      </c>
      <c r="AJ200" t="inlineStr">
        <is>
          <t>A</t>
        </is>
      </c>
      <c r="AK200" t="inlineStr">
        <is>
          <t>核心对象：产品口感、酒精度与饮用场景；体验：ACTUAL_USE；证据强度：A。</t>
        </is>
      </c>
      <c r="AL200"/>
      <c r="AM200" t="inlineStr">
        <is>
          <t>ANALYSIS_BASELINE_229.xlsx</t>
        </is>
      </c>
    </row>
    <row r="201" ht="25.5" customHeight="1">
      <c r="A201" t="inlineStr">
        <is>
          <t>JD-20260809-043_ANALYSIS_BASELINE_formal-attempt-0001_AI</t>
        </is>
      </c>
      <c r="B201" t="inlineStr">
        <is>
          <t>这款强爽气泡水真的太惊艳了！🥤🍇果香浓郁，口感甘甜顺滑，冰镇后清爽解腻，聚会必备～包装精致，颜值在线✨，朋友都说好喝！会回购👍，性价比超高🌟，强烈推荐给喜欢微醺感的朋友🎉👏💖💖</t>
        </is>
      </c>
      <c r="C201"/>
      <c r="D201"/>
      <c r="E201"/>
      <c r="F201"/>
      <c r="G201"/>
      <c r="H201"/>
      <c r="I201"/>
      <c r="J201"/>
      <c r="K201"/>
      <c r="L201"/>
      <c r="M201"/>
      <c r="N201"/>
      <c r="O201"/>
      <c r="P201"/>
      <c r="Q201"/>
      <c r="R201"/>
      <c r="S201">
        <v>0.9</v>
      </c>
      <c r="T201" t="inlineStr">
        <is>
          <t>formal-attempt-0001</t>
        </is>
      </c>
      <c r="U201"/>
      <c r="V201"/>
      <c r="W201"/>
      <c r="X201" t="inlineStr">
        <is>
          <t>JD-20260809-043</t>
        </is>
      </c>
      <c r="Y201"/>
      <c r="Z201"/>
      <c r="AA201"/>
      <c r="AB201"/>
      <c r="AC201"/>
      <c r="AD201"/>
      <c r="AE201"/>
      <c r="AF201" t="inlineStr">
        <is>
          <t>AI</t>
        </is>
      </c>
      <c r="AG201" t="inlineStr">
        <is>
          <t>ANALYSIS_BASELINE</t>
        </is>
      </c>
      <c r="AH201" t="inlineStr">
        <is>
          <t>PRODUCT</t>
        </is>
      </c>
      <c r="AI201" t="inlineStr">
        <is>
          <t>ACTUAL_USE</t>
        </is>
      </c>
      <c r="AJ201" t="inlineStr">
        <is>
          <t>A</t>
        </is>
      </c>
      <c r="AK201" t="inlineStr">
        <is>
          <t>核心对象：产品口味、包装与聚会饮用体验；体验：ACTUAL_USE；证据强度：A。</t>
        </is>
      </c>
      <c r="AL201"/>
      <c r="AM201" t="inlineStr">
        <is>
          <t>ANALYSIS_BASELINE_229.xlsx</t>
        </is>
      </c>
    </row>
    <row r="202" ht="25.5" customHeight="1">
      <c r="A202" t="inlineStr">
        <is>
          <t>JD-20260809-049_ANALYSIS_BASELINE_formal-attempt-0001_AI</t>
        </is>
      </c>
      <c r="B202" t="inlineStr">
        <is>
          <t>小同学推荐，今年过年就喝他了，早年前玻璃瓶的基本都喝过，对比了几个平台，价格合适的时候囤几箱，过节聚会少不了喝点儿，不过口味还没买全，继续～</t>
        </is>
      </c>
      <c r="C202"/>
      <c r="D202"/>
      <c r="E202"/>
      <c r="F202"/>
      <c r="G202"/>
      <c r="H202"/>
      <c r="I202"/>
      <c r="J202"/>
      <c r="K202"/>
      <c r="L202"/>
      <c r="M202"/>
      <c r="N202"/>
      <c r="O202"/>
      <c r="P202"/>
      <c r="Q202"/>
      <c r="R202"/>
      <c r="S202">
        <v>0.7</v>
      </c>
      <c r="T202" t="inlineStr">
        <is>
          <t>formal-attempt-0001</t>
        </is>
      </c>
      <c r="U202"/>
      <c r="V202"/>
      <c r="W202"/>
      <c r="X202" t="inlineStr">
        <is>
          <t>JD-20260809-049</t>
        </is>
      </c>
      <c r="Y202"/>
      <c r="Z202"/>
      <c r="AA202"/>
      <c r="AB202"/>
      <c r="AC202"/>
      <c r="AD202"/>
      <c r="AE202"/>
      <c r="AF202" t="inlineStr">
        <is>
          <t>AI</t>
        </is>
      </c>
      <c r="AG202" t="inlineStr">
        <is>
          <t>ANALYSIS_BASELINE</t>
        </is>
      </c>
      <c r="AH202" t="inlineStr">
        <is>
          <t>OTHER</t>
        </is>
      </c>
      <c r="AI202" t="inlineStr">
        <is>
          <t>ACTUAL_USE</t>
        </is>
      </c>
      <c r="AJ202" t="inlineStr">
        <is>
          <t>C</t>
        </is>
      </c>
      <c r="AK202" t="inlineStr">
        <is>
          <t>核心对象：OTHER；体验：ACTUAL_USE；证据强度：C。</t>
        </is>
      </c>
      <c r="AL202"/>
      <c r="AM202" t="inlineStr">
        <is>
          <t>ANALYSIS_BASELINE_229.xlsx</t>
        </is>
      </c>
    </row>
    <row r="203" ht="25.5" customHeight="1">
      <c r="A203" t="inlineStr">
        <is>
          <t>JD-20260809-054_ANALYSIS_BASELINE_formal-attempt-0001_AI</t>
        </is>
      </c>
      <c r="B203" t="inlineStr">
        <is>
          <t>价格非常实惠，味道甜甜的挺好喝的，女孩子会比较喜欢，好入口，晚上睡前微醺一下加点冰很不错，香气浓郁，酸酸甜甜，酒精度数也比较低，可以试试。</t>
        </is>
      </c>
      <c r="C203"/>
      <c r="D203"/>
      <c r="E203"/>
      <c r="F203"/>
      <c r="G203"/>
      <c r="H203"/>
      <c r="I203"/>
      <c r="J203"/>
      <c r="K203"/>
      <c r="L203"/>
      <c r="M203"/>
      <c r="N203"/>
      <c r="O203"/>
      <c r="P203"/>
      <c r="Q203"/>
      <c r="R203"/>
      <c r="S203">
        <v>0.9</v>
      </c>
      <c r="T203" t="inlineStr">
        <is>
          <t>formal-attempt-0001</t>
        </is>
      </c>
      <c r="U203"/>
      <c r="V203"/>
      <c r="W203"/>
      <c r="X203" t="inlineStr">
        <is>
          <t>JD-20260809-054</t>
        </is>
      </c>
      <c r="Y203"/>
      <c r="Z203"/>
      <c r="AA203"/>
      <c r="AB203"/>
      <c r="AC203"/>
      <c r="AD203"/>
      <c r="AE203"/>
      <c r="AF203" t="inlineStr">
        <is>
          <t>AI</t>
        </is>
      </c>
      <c r="AG203" t="inlineStr">
        <is>
          <t>ANALYSIS_BASELINE</t>
        </is>
      </c>
      <c r="AH203" t="inlineStr">
        <is>
          <t>PRODUCT</t>
        </is>
      </c>
      <c r="AI203" t="inlineStr">
        <is>
          <t>ACTUAL_USE</t>
        </is>
      </c>
      <c r="AJ203" t="inlineStr">
        <is>
          <t>A</t>
        </is>
      </c>
      <c r="AK203" t="inlineStr">
        <is>
          <t>核心对象：PRODUCT；体验：ACTUAL_USE；证据强度：A。</t>
        </is>
      </c>
      <c r="AL203"/>
      <c r="AM203" t="inlineStr">
        <is>
          <t>ANALYSIS_BASELINE_229.xlsx</t>
        </is>
      </c>
    </row>
    <row r="204" ht="25.5" customHeight="1">
      <c r="A204" t="inlineStr">
        <is>
          <t>JD-20260809-055_ANALYSIS_BASELINE_formal-attempt-0001_AI</t>
        </is>
      </c>
      <c r="B204" t="inlineStr">
        <is>
          <t>又够买了，这一次回够的很快。就几天功夫又回购了。上一次买的一支一个晚上就没有了。味道很不错的青梅酒。因为不喝啤酒，每一日晚上喝一点梅见酒，好入睡。值得推荐的梅酒。👍👍👍</t>
        </is>
      </c>
      <c r="C204"/>
      <c r="D204"/>
      <c r="E204"/>
      <c r="F204"/>
      <c r="G204"/>
      <c r="H204"/>
      <c r="I204"/>
      <c r="J204"/>
      <c r="K204"/>
      <c r="L204"/>
      <c r="M204"/>
      <c r="N204"/>
      <c r="O204"/>
      <c r="P204"/>
      <c r="Q204"/>
      <c r="R204"/>
      <c r="S204">
        <v>0.7</v>
      </c>
      <c r="T204" t="inlineStr">
        <is>
          <t>formal-attempt-0001</t>
        </is>
      </c>
      <c r="U204"/>
      <c r="V204"/>
      <c r="W204"/>
      <c r="X204" t="inlineStr">
        <is>
          <t>JD-20260809-055</t>
        </is>
      </c>
      <c r="Y204"/>
      <c r="Z204"/>
      <c r="AA204"/>
      <c r="AB204"/>
      <c r="AC204"/>
      <c r="AD204"/>
      <c r="AE204"/>
      <c r="AF204" t="inlineStr">
        <is>
          <t>AI</t>
        </is>
      </c>
      <c r="AG204" t="inlineStr">
        <is>
          <t>ANALYSIS_BASELINE</t>
        </is>
      </c>
      <c r="AH204" t="inlineStr">
        <is>
          <t>PRODUCT</t>
        </is>
      </c>
      <c r="AI204" t="inlineStr">
        <is>
          <t>ACTUAL_USE</t>
        </is>
      </c>
      <c r="AJ204" t="inlineStr">
        <is>
          <t>A</t>
        </is>
      </c>
      <c r="AK204" t="inlineStr">
        <is>
          <t>核心对象：PRODUCT；体验：ACTUAL_USE；证据强度：A。</t>
        </is>
      </c>
      <c r="AL204"/>
      <c r="AM204" t="inlineStr">
        <is>
          <t>ANALYSIS_BASELINE_229.xlsx</t>
        </is>
      </c>
    </row>
    <row r="205" ht="25.5" customHeight="1">
      <c r="A205" t="inlineStr">
        <is>
          <t>JD-20260809-057_ANALYSIS_BASELINE_formal-attempt-0001_AI</t>
        </is>
      </c>
      <c r="B205" t="inlineStr">
        <is>
          <t>总体来说还是一款不错的酒水，小甜水，有酒劲儿，酸甜度都有，酒精度数也有，香气都有，但是感觉不是酒是的，价格也不便宜，现在女士喜欢，可能就赚这个出发点吧！</t>
        </is>
      </c>
      <c r="C205"/>
      <c r="D205"/>
      <c r="E205"/>
      <c r="F205"/>
      <c r="G205"/>
      <c r="H205"/>
      <c r="I205"/>
      <c r="J205"/>
      <c r="K205"/>
      <c r="L205"/>
      <c r="M205"/>
      <c r="N205"/>
      <c r="O205"/>
      <c r="P205"/>
      <c r="Q205"/>
      <c r="R205"/>
      <c r="S205">
        <v>0.9</v>
      </c>
      <c r="T205" t="inlineStr">
        <is>
          <t>formal-attempt-0001</t>
        </is>
      </c>
      <c r="U205"/>
      <c r="V205"/>
      <c r="W205"/>
      <c r="X205" t="inlineStr">
        <is>
          <t>JD-20260809-057</t>
        </is>
      </c>
      <c r="Y205"/>
      <c r="Z205"/>
      <c r="AA205"/>
      <c r="AB205"/>
      <c r="AC205"/>
      <c r="AD205"/>
      <c r="AE205"/>
      <c r="AF205" t="inlineStr">
        <is>
          <t>AI</t>
        </is>
      </c>
      <c r="AG205" t="inlineStr">
        <is>
          <t>ANALYSIS_BASELINE</t>
        </is>
      </c>
      <c r="AH205" t="inlineStr">
        <is>
          <t>PRODUCT</t>
        </is>
      </c>
      <c r="AI205" t="inlineStr">
        <is>
          <t>ACTUAL_USE</t>
        </is>
      </c>
      <c r="AJ205" t="inlineStr">
        <is>
          <t>A</t>
        </is>
      </c>
      <c r="AK205" t="inlineStr">
        <is>
          <t>核心对象：PRODUCT；体验：ACTUAL_USE；证据强度：A。</t>
        </is>
      </c>
      <c r="AL205"/>
      <c r="AM205" t="inlineStr">
        <is>
          <t>ANALYSIS_BASELINE_229.xlsx</t>
        </is>
      </c>
    </row>
    <row r="206" ht="25.5" customHeight="1">
      <c r="A206" t="inlineStr">
        <is>
          <t>JD-20260809-058_ANALYSIS_BASELINE_formal-attempt-0001_AI</t>
        </is>
      </c>
      <c r="B206" t="inlineStr">
        <is>
          <t>这次送的酒是青梅味，还行吧！买的散装六瓶比一箱六瓶还便宜些，这个味道的酒还可以，家里老人愿意喝，度数也不大，喝点也没事。</t>
        </is>
      </c>
      <c r="C206"/>
      <c r="D206"/>
      <c r="E206"/>
      <c r="F206"/>
      <c r="G206"/>
      <c r="H206"/>
      <c r="I206"/>
      <c r="J206"/>
      <c r="K206"/>
      <c r="L206"/>
      <c r="M206"/>
      <c r="N206"/>
      <c r="O206"/>
      <c r="P206"/>
      <c r="Q206"/>
      <c r="R206"/>
      <c r="S206">
        <v>0.9</v>
      </c>
      <c r="T206" t="inlineStr">
        <is>
          <t>formal-attempt-0001</t>
        </is>
      </c>
      <c r="U206"/>
      <c r="V206"/>
      <c r="W206"/>
      <c r="X206" t="inlineStr">
        <is>
          <t>JD-20260809-058</t>
        </is>
      </c>
      <c r="Y206"/>
      <c r="Z206"/>
      <c r="AA206"/>
      <c r="AB206"/>
      <c r="AC206"/>
      <c r="AD206"/>
      <c r="AE206"/>
      <c r="AF206" t="inlineStr">
        <is>
          <t>AI</t>
        </is>
      </c>
      <c r="AG206" t="inlineStr">
        <is>
          <t>ANALYSIS_BASELINE</t>
        </is>
      </c>
      <c r="AH206" t="inlineStr">
        <is>
          <t>PRODUCT</t>
        </is>
      </c>
      <c r="AI206" t="inlineStr">
        <is>
          <t>ACTUAL_USE</t>
        </is>
      </c>
      <c r="AJ206" t="inlineStr">
        <is>
          <t>A</t>
        </is>
      </c>
      <c r="AK206" t="inlineStr">
        <is>
          <t>核心对象：PRODUCT；体验：ACTUAL_USE；证据强度：A。</t>
        </is>
      </c>
      <c r="AL206"/>
      <c r="AM206" t="inlineStr">
        <is>
          <t>ANALYSIS_BASELINE_229.xlsx</t>
        </is>
      </c>
    </row>
    <row r="207" ht="25.5" customHeight="1">
      <c r="A207" t="inlineStr">
        <is>
          <t>JD-20260809-065_ANALYSIS_BASELINE_formal-attempt-0001_AI</t>
        </is>
      </c>
      <c r="B207" t="inlineStr">
        <is>
          <t>买了多次，350/320/290/270都买过，感觉价格太不稳了，哈哈，各种促销活动，有时接不上了就直接买了，不过很好喝，家人都喜欢喝这个饮料酒</t>
        </is>
      </c>
      <c r="C207"/>
      <c r="D207"/>
      <c r="E207"/>
      <c r="F207"/>
      <c r="G207"/>
      <c r="H207"/>
      <c r="I207"/>
      <c r="J207"/>
      <c r="K207"/>
      <c r="L207"/>
      <c r="M207"/>
      <c r="N207"/>
      <c r="O207"/>
      <c r="P207"/>
      <c r="Q207"/>
      <c r="R207"/>
      <c r="S207">
        <v>0.7</v>
      </c>
      <c r="T207" t="inlineStr">
        <is>
          <t>formal-attempt-0001</t>
        </is>
      </c>
      <c r="U207"/>
      <c r="V207"/>
      <c r="W207"/>
      <c r="X207" t="inlineStr">
        <is>
          <t>JD-20260809-065</t>
        </is>
      </c>
      <c r="Y207"/>
      <c r="Z207"/>
      <c r="AA207"/>
      <c r="AB207"/>
      <c r="AC207"/>
      <c r="AD207"/>
      <c r="AE207"/>
      <c r="AF207" t="inlineStr">
        <is>
          <t>AI</t>
        </is>
      </c>
      <c r="AG207" t="inlineStr">
        <is>
          <t>ANALYSIS_BASELINE</t>
        </is>
      </c>
      <c r="AH207" t="inlineStr">
        <is>
          <t>SERVICE</t>
        </is>
      </c>
      <c r="AI207" t="inlineStr">
        <is>
          <t>ACTUAL_USE</t>
        </is>
      </c>
      <c r="AJ207" t="inlineStr">
        <is>
          <t>A</t>
        </is>
      </c>
      <c r="AK207" t="inlineStr">
        <is>
          <t>核心对象：SERVICE；体验：ACTUAL_USE；证据强度：A。</t>
        </is>
      </c>
      <c r="AL207"/>
      <c r="AM207" t="inlineStr">
        <is>
          <t>ANALYSIS_BASELINE_229.xlsx</t>
        </is>
      </c>
    </row>
    <row r="208" ht="25.5" customHeight="1">
      <c r="A208" t="inlineStr">
        <is>
          <t>JD-20260809-066_ANALYSIS_BASELINE_formal-attempt-0001_AI</t>
        </is>
      </c>
      <c r="B208" t="inlineStr">
        <is>
          <t>买了又买。是我喜欢的味道。价格可以接受。有时碰到东爸搞活动时，划算。👍
购后3天追评这款梅酒的可感极佳，可能是因为自己喜欢的味道，很不错。👍包装可以更加精美些，就更好。😘😘</t>
        </is>
      </c>
      <c r="C208"/>
      <c r="D208"/>
      <c r="E208"/>
      <c r="F208"/>
      <c r="G208"/>
      <c r="H208"/>
      <c r="I208"/>
      <c r="J208"/>
      <c r="K208"/>
      <c r="L208"/>
      <c r="M208"/>
      <c r="N208"/>
      <c r="O208"/>
      <c r="P208"/>
      <c r="Q208"/>
      <c r="R208"/>
      <c r="S208">
        <v>0.9</v>
      </c>
      <c r="T208" t="inlineStr">
        <is>
          <t>formal-attempt-0001</t>
        </is>
      </c>
      <c r="U208"/>
      <c r="V208"/>
      <c r="W208"/>
      <c r="X208" t="inlineStr">
        <is>
          <t>JD-20260809-066</t>
        </is>
      </c>
      <c r="Y208"/>
      <c r="Z208"/>
      <c r="AA208"/>
      <c r="AB208"/>
      <c r="AC208"/>
      <c r="AD208"/>
      <c r="AE208"/>
      <c r="AF208" t="inlineStr">
        <is>
          <t>AI</t>
        </is>
      </c>
      <c r="AG208" t="inlineStr">
        <is>
          <t>ANALYSIS_BASELINE</t>
        </is>
      </c>
      <c r="AH208" t="inlineStr">
        <is>
          <t>PRODUCT</t>
        </is>
      </c>
      <c r="AI208" t="inlineStr">
        <is>
          <t>ACTUAL_USE</t>
        </is>
      </c>
      <c r="AJ208" t="inlineStr">
        <is>
          <t>A</t>
        </is>
      </c>
      <c r="AK208" t="inlineStr">
        <is>
          <t>核心对象：PRODUCT；体验：ACTUAL_USE；证据强度：A。</t>
        </is>
      </c>
      <c r="AL208"/>
      <c r="AM208" t="inlineStr">
        <is>
          <t>ANALYSIS_BASELINE_229.xlsx</t>
        </is>
      </c>
    </row>
    <row r="209" ht="25.5" customHeight="1">
      <c r="A209" t="inlineStr">
        <is>
          <t>JD-20260809-067_ANALYSIS_BASELINE_formal-attempt-0001_AI</t>
        </is>
      </c>
      <c r="B209" t="inlineStr">
        <is>
          <t>很喜欢这个牌子，然后上一次买的是青梅和杨梅的，这一次试试看。青梅和桂花的当时在超市买过小瓶装的，感觉挺好喝。这一次直接买一瓶大的。</t>
        </is>
      </c>
      <c r="C209"/>
      <c r="D209"/>
      <c r="E209"/>
      <c r="F209"/>
      <c r="G209"/>
      <c r="H209"/>
      <c r="I209"/>
      <c r="J209"/>
      <c r="K209"/>
      <c r="L209"/>
      <c r="M209"/>
      <c r="N209"/>
      <c r="O209"/>
      <c r="P209"/>
      <c r="Q209"/>
      <c r="R209"/>
      <c r="S209">
        <v>0.7</v>
      </c>
      <c r="T209" t="inlineStr">
        <is>
          <t>formal-attempt-0001</t>
        </is>
      </c>
      <c r="U209"/>
      <c r="V209"/>
      <c r="W209"/>
      <c r="X209" t="inlineStr">
        <is>
          <t>JD-20260809-067</t>
        </is>
      </c>
      <c r="Y209"/>
      <c r="Z209"/>
      <c r="AA209"/>
      <c r="AB209"/>
      <c r="AC209"/>
      <c r="AD209"/>
      <c r="AE209"/>
      <c r="AF209" t="inlineStr">
        <is>
          <t>AI</t>
        </is>
      </c>
      <c r="AG209" t="inlineStr">
        <is>
          <t>ANALYSIS_BASELINE</t>
        </is>
      </c>
      <c r="AH209" t="inlineStr">
        <is>
          <t>BRAND</t>
        </is>
      </c>
      <c r="AI209" t="inlineStr">
        <is>
          <t>ACTUAL_USE</t>
        </is>
      </c>
      <c r="AJ209" t="inlineStr">
        <is>
          <t>A</t>
        </is>
      </c>
      <c r="AK209" t="inlineStr">
        <is>
          <t>核心对象：BRAND；体验：ACTUAL_USE；证据强度：A。</t>
        </is>
      </c>
      <c r="AL209"/>
      <c r="AM209" t="inlineStr">
        <is>
          <t>ANALYSIS_BASELINE_229.xlsx</t>
        </is>
      </c>
    </row>
    <row r="210" ht="25.5" customHeight="1">
      <c r="A210" t="inlineStr">
        <is>
          <t>JD-20260809-069_ANALYSIS_BASELINE_formal-attempt-0001_AI</t>
        </is>
      </c>
      <c r="B210" t="inlineStr">
        <is>
          <t>小伙伴儿都喜欢喝，下次还买</t>
        </is>
      </c>
      <c r="C210"/>
      <c r="D210"/>
      <c r="E210"/>
      <c r="F210"/>
      <c r="G210"/>
      <c r="H210"/>
      <c r="I210"/>
      <c r="J210"/>
      <c r="K210"/>
      <c r="L210"/>
      <c r="M210"/>
      <c r="N210"/>
      <c r="O210"/>
      <c r="P210"/>
      <c r="Q210"/>
      <c r="R210"/>
      <c r="S210">
        <v>0.9</v>
      </c>
      <c r="T210" t="inlineStr">
        <is>
          <t>formal-attempt-0001</t>
        </is>
      </c>
      <c r="U210"/>
      <c r="V210"/>
      <c r="W210"/>
      <c r="X210" t="inlineStr">
        <is>
          <t>JD-20260809-069</t>
        </is>
      </c>
      <c r="Y210"/>
      <c r="Z210"/>
      <c r="AA210"/>
      <c r="AB210"/>
      <c r="AC210"/>
      <c r="AD210"/>
      <c r="AE210"/>
      <c r="AF210" t="inlineStr">
        <is>
          <t>AI</t>
        </is>
      </c>
      <c r="AG210" t="inlineStr">
        <is>
          <t>ANALYSIS_BASELINE</t>
        </is>
      </c>
      <c r="AH210" t="inlineStr">
        <is>
          <t>SCENE</t>
        </is>
      </c>
      <c r="AI210" t="inlineStr">
        <is>
          <t>UNKNOWN</t>
        </is>
      </c>
      <c r="AJ210" t="inlineStr">
        <is>
          <t>C</t>
        </is>
      </c>
      <c r="AK210" t="inlineStr">
        <is>
          <t>核心对象：SCENE；体验：UNKNOWN；证据强度：C。</t>
        </is>
      </c>
      <c r="AL210"/>
      <c r="AM210" t="inlineStr">
        <is>
          <t>ANALYSIS_BASELINE_229.xlsx</t>
        </is>
      </c>
    </row>
    <row r="211" ht="25.5" customHeight="1">
      <c r="A211" t="inlineStr">
        <is>
          <t>TB-20260809-003_ANALYSIS_BASELINE_formal-attempt-0001_AI</t>
        </is>
      </c>
      <c r="B211" t="inlineStr">
        <is>
          <t>日期挺新鲜 六月份产的 就是没想到有张贴纸盒马限定 吓我一跳 幸好比盒马下单便宜几块钱</t>
        </is>
      </c>
      <c r="C211"/>
      <c r="D211"/>
      <c r="E211"/>
      <c r="F211"/>
      <c r="G211"/>
      <c r="H211"/>
      <c r="I211"/>
      <c r="J211"/>
      <c r="K211"/>
      <c r="L211"/>
      <c r="M211"/>
      <c r="N211"/>
      <c r="O211"/>
      <c r="P211"/>
      <c r="Q211"/>
      <c r="R211"/>
      <c r="S211">
        <v>0.7</v>
      </c>
      <c r="T211" t="inlineStr">
        <is>
          <t>formal-attempt-0001</t>
        </is>
      </c>
      <c r="U211"/>
      <c r="V211"/>
      <c r="W211"/>
      <c r="X211" t="inlineStr">
        <is>
          <t>TB-20260809-003</t>
        </is>
      </c>
      <c r="Y211"/>
      <c r="Z211"/>
      <c r="AA211"/>
      <c r="AB211"/>
      <c r="AC211"/>
      <c r="AD211"/>
      <c r="AE211"/>
      <c r="AF211" t="inlineStr">
        <is>
          <t>AI</t>
        </is>
      </c>
      <c r="AG211" t="inlineStr">
        <is>
          <t>ANALYSIS_BASELINE</t>
        </is>
      </c>
      <c r="AH211" t="inlineStr">
        <is>
          <t>SERVICE</t>
        </is>
      </c>
      <c r="AI211" t="inlineStr">
        <is>
          <t>PURCHASE_ONLY</t>
        </is>
      </c>
      <c r="AJ211" t="inlineStr">
        <is>
          <t>B</t>
        </is>
      </c>
      <c r="AK211" t="inlineStr">
        <is>
          <t>核心对象：SERVICE；体验：PURCHASE_ONLY；证据强度：B。</t>
        </is>
      </c>
      <c r="AL211"/>
      <c r="AM211" t="inlineStr">
        <is>
          <t>ANALYSIS_BASELINE_229.xlsx</t>
        </is>
      </c>
    </row>
    <row r="212" ht="25.5" customHeight="1">
      <c r="A212" t="inlineStr">
        <is>
          <t>TB-20260809-016_ANALYSIS_BASELINE_formal-attempt-0001_AI</t>
        </is>
      </c>
      <c r="B212" t="inlineStr">
        <is>
          <t>跟线下超市买的一样，但价钱便宜很多。 我买了很多很多，各种口味，满足了我的味觉。 我感觉我的酒量变大了。 然后我这次发现冷藏之后风味更佳。 特别是最近夏天来临，温度越来越高，喝上这个冷藏的风味，别有一番滋味。</t>
        </is>
      </c>
      <c r="C212"/>
      <c r="D212"/>
      <c r="E212"/>
      <c r="F212"/>
      <c r="G212"/>
      <c r="H212"/>
      <c r="I212"/>
      <c r="J212"/>
      <c r="K212"/>
      <c r="L212"/>
      <c r="M212"/>
      <c r="N212"/>
      <c r="O212"/>
      <c r="P212"/>
      <c r="Q212"/>
      <c r="R212"/>
      <c r="S212">
        <v>0.9</v>
      </c>
      <c r="T212" t="inlineStr">
        <is>
          <t>formal-attempt-0001</t>
        </is>
      </c>
      <c r="U212"/>
      <c r="V212"/>
      <c r="W212"/>
      <c r="X212" t="inlineStr">
        <is>
          <t>TB-20260809-016</t>
        </is>
      </c>
      <c r="Y212"/>
      <c r="Z212"/>
      <c r="AA212"/>
      <c r="AB212"/>
      <c r="AC212"/>
      <c r="AD212"/>
      <c r="AE212"/>
      <c r="AF212" t="inlineStr">
        <is>
          <t>AI</t>
        </is>
      </c>
      <c r="AG212" t="inlineStr">
        <is>
          <t>ANALYSIS_BASELINE</t>
        </is>
      </c>
      <c r="AH212" t="inlineStr">
        <is>
          <t>PRODUCT</t>
        </is>
      </c>
      <c r="AI212" t="inlineStr">
        <is>
          <t>ACTUAL_USE</t>
        </is>
      </c>
      <c r="AJ212" t="inlineStr">
        <is>
          <t>A</t>
        </is>
      </c>
      <c r="AK212" t="inlineStr">
        <is>
          <t>核心对象：PRODUCT；体验：ACTUAL_USE；证据强度：A。</t>
        </is>
      </c>
      <c r="AL212"/>
      <c r="AM212" t="inlineStr">
        <is>
          <t>ANALYSIS_BASELINE_229.xlsx</t>
        </is>
      </c>
    </row>
    <row r="213" ht="25.5" customHeight="1">
      <c r="A213" t="inlineStr">
        <is>
          <t>TB-20260809-023_ANALYSIS_BASELINE_formal-attempt-0001_AI</t>
        </is>
      </c>
      <c r="B213" t="inlineStr">
        <is>
          <t>这款经典青梅酒真心值得推荐！450ml*6的规格刚好适配日常饮用需求，还附赠小酒与杯子，性价比拉满。它入口清爽，果味浓郁酒香醇厚，独酌或好友小聚都很合适。附赠的100ml昆竹青梅酒口感偏酸一点，我更爱经典款酸甜适中的风味，强烈安利！</t>
        </is>
      </c>
      <c r="C213"/>
      <c r="D213"/>
      <c r="E213"/>
      <c r="F213"/>
      <c r="G213"/>
      <c r="H213"/>
      <c r="I213"/>
      <c r="J213"/>
      <c r="K213"/>
      <c r="L213"/>
      <c r="M213"/>
      <c r="N213"/>
      <c r="O213"/>
      <c r="P213"/>
      <c r="Q213"/>
      <c r="R213"/>
      <c r="S213">
        <v>0.9</v>
      </c>
      <c r="T213" t="inlineStr">
        <is>
          <t>formal-attempt-0001</t>
        </is>
      </c>
      <c r="U213"/>
      <c r="V213"/>
      <c r="W213"/>
      <c r="X213" t="inlineStr">
        <is>
          <t>TB-20260809-023</t>
        </is>
      </c>
      <c r="Y213"/>
      <c r="Z213"/>
      <c r="AA213"/>
      <c r="AB213"/>
      <c r="AC213"/>
      <c r="AD213"/>
      <c r="AE213"/>
      <c r="AF213" t="inlineStr">
        <is>
          <t>AI</t>
        </is>
      </c>
      <c r="AG213" t="inlineStr">
        <is>
          <t>ANALYSIS_BASELINE</t>
        </is>
      </c>
      <c r="AH213" t="inlineStr">
        <is>
          <t>PRODUCT</t>
        </is>
      </c>
      <c r="AI213" t="inlineStr">
        <is>
          <t>ACTUAL_USE</t>
        </is>
      </c>
      <c r="AJ213" t="inlineStr">
        <is>
          <t>A</t>
        </is>
      </c>
      <c r="AK213" t="inlineStr">
        <is>
          <t>核心对象：PRODUCT；体验：ACTUAL_USE；证据强度：A。</t>
        </is>
      </c>
      <c r="AL213"/>
      <c r="AM213" t="inlineStr">
        <is>
          <t>ANALYSIS_BASELINE_229.xlsx</t>
        </is>
      </c>
    </row>
    <row r="214" ht="25.5" customHeight="1">
      <c r="A214" t="inlineStr">
        <is>
          <t>TB-20260809-026_ANALYSIS_BASELINE_formal-attempt-0001_AI</t>
        </is>
      </c>
      <c r="B214" t="inlineStr">
        <is>
          <t>好喝，梅味道很足。入口顺滑回香，原料干净！一直回购的一款梅酒！价廉物美！惠州南昆山龙门原产地，这款酒推荐</t>
        </is>
      </c>
      <c r="C214"/>
      <c r="D214"/>
      <c r="E214"/>
      <c r="F214"/>
      <c r="G214"/>
      <c r="H214"/>
      <c r="I214"/>
      <c r="J214"/>
      <c r="K214"/>
      <c r="L214"/>
      <c r="M214"/>
      <c r="N214"/>
      <c r="O214"/>
      <c r="P214"/>
      <c r="Q214"/>
      <c r="R214"/>
      <c r="S214">
        <v>0.9</v>
      </c>
      <c r="T214" t="inlineStr">
        <is>
          <t>formal-attempt-0001</t>
        </is>
      </c>
      <c r="U214"/>
      <c r="V214"/>
      <c r="W214"/>
      <c r="X214" t="inlineStr">
        <is>
          <t>TB-20260809-026</t>
        </is>
      </c>
      <c r="Y214"/>
      <c r="Z214"/>
      <c r="AA214"/>
      <c r="AB214"/>
      <c r="AC214"/>
      <c r="AD214"/>
      <c r="AE214"/>
      <c r="AF214" t="inlineStr">
        <is>
          <t>AI</t>
        </is>
      </c>
      <c r="AG214" t="inlineStr">
        <is>
          <t>ANALYSIS_BASELINE</t>
        </is>
      </c>
      <c r="AH214" t="inlineStr">
        <is>
          <t>PRODUCT</t>
        </is>
      </c>
      <c r="AI214" t="inlineStr">
        <is>
          <t>ACTUAL_USE</t>
        </is>
      </c>
      <c r="AJ214" t="inlineStr">
        <is>
          <t>A</t>
        </is>
      </c>
      <c r="AK214" t="inlineStr">
        <is>
          <t>核心对象：PRODUCT；体验：ACTUAL_USE；证据强度：A。</t>
        </is>
      </c>
      <c r="AL214"/>
      <c r="AM214" t="inlineStr">
        <is>
          <t>ANALYSIS_BASELINE_229.xlsx</t>
        </is>
      </c>
    </row>
    <row r="215" ht="25.5" customHeight="1">
      <c r="A215" t="inlineStr">
        <is>
          <t>TB-20260809-031_ANALYSIS_BASELINE_formal-attempt-0001_AI</t>
        </is>
      </c>
      <c r="B215" t="inlineStr">
        <is>
          <t>一直回购的，味道不错，度数也不高，还送了个杯子，适合女生小酌。</t>
        </is>
      </c>
      <c r="C215"/>
      <c r="D215"/>
      <c r="E215"/>
      <c r="F215"/>
      <c r="G215"/>
      <c r="H215"/>
      <c r="I215"/>
      <c r="J215"/>
      <c r="K215"/>
      <c r="L215"/>
      <c r="M215"/>
      <c r="N215"/>
      <c r="O215"/>
      <c r="P215"/>
      <c r="Q215"/>
      <c r="R215"/>
      <c r="S215">
        <v>0.9</v>
      </c>
      <c r="T215" t="inlineStr">
        <is>
          <t>formal-attempt-0001</t>
        </is>
      </c>
      <c r="U215"/>
      <c r="V215"/>
      <c r="W215"/>
      <c r="X215" t="inlineStr">
        <is>
          <t>TB-20260809-031</t>
        </is>
      </c>
      <c r="Y215"/>
      <c r="Z215"/>
      <c r="AA215"/>
      <c r="AB215"/>
      <c r="AC215"/>
      <c r="AD215"/>
      <c r="AE215"/>
      <c r="AF215" t="inlineStr">
        <is>
          <t>AI</t>
        </is>
      </c>
      <c r="AG215" t="inlineStr">
        <is>
          <t>ANALYSIS_BASELINE</t>
        </is>
      </c>
      <c r="AH215" t="inlineStr">
        <is>
          <t>PRODUCT</t>
        </is>
      </c>
      <c r="AI215" t="inlineStr">
        <is>
          <t>ACTUAL_USE</t>
        </is>
      </c>
      <c r="AJ215" t="inlineStr">
        <is>
          <t>A</t>
        </is>
      </c>
      <c r="AK215" t="inlineStr">
        <is>
          <t>核心对象：PRODUCT；体验：ACTUAL_USE；证据强度：A。</t>
        </is>
      </c>
      <c r="AL215"/>
      <c r="AM215" t="inlineStr">
        <is>
          <t>ANALYSIS_BASELINE_229.xlsx</t>
        </is>
      </c>
    </row>
    <row r="216" ht="25.5" customHeight="1">
      <c r="A216" t="inlineStr">
        <is>
          <t>TB-20260809-034_ANALYSIS_BASELINE_formal-attempt-0001_AI</t>
        </is>
      </c>
      <c r="B216" t="inlineStr">
        <is>
          <t>喝了很多年 一直都很爱喝 口味也没变 会一直继续回购的</t>
        </is>
      </c>
      <c r="C216"/>
      <c r="D216"/>
      <c r="E216"/>
      <c r="F216"/>
      <c r="G216"/>
      <c r="H216"/>
      <c r="I216"/>
      <c r="J216"/>
      <c r="K216"/>
      <c r="L216"/>
      <c r="M216"/>
      <c r="N216"/>
      <c r="O216"/>
      <c r="P216"/>
      <c r="Q216"/>
      <c r="R216"/>
      <c r="S216">
        <v>0.9</v>
      </c>
      <c r="T216" t="inlineStr">
        <is>
          <t>formal-attempt-0001</t>
        </is>
      </c>
      <c r="U216"/>
      <c r="V216"/>
      <c r="W216"/>
      <c r="X216" t="inlineStr">
        <is>
          <t>TB-20260809-034</t>
        </is>
      </c>
      <c r="Y216"/>
      <c r="Z216"/>
      <c r="AA216"/>
      <c r="AB216"/>
      <c r="AC216"/>
      <c r="AD216"/>
      <c r="AE216"/>
      <c r="AF216" t="inlineStr">
        <is>
          <t>AI</t>
        </is>
      </c>
      <c r="AG216" t="inlineStr">
        <is>
          <t>ANALYSIS_BASELINE</t>
        </is>
      </c>
      <c r="AH216" t="inlineStr">
        <is>
          <t>PRODUCT</t>
        </is>
      </c>
      <c r="AI216" t="inlineStr">
        <is>
          <t>ACTUAL_USE</t>
        </is>
      </c>
      <c r="AJ216" t="inlineStr">
        <is>
          <t>A</t>
        </is>
      </c>
      <c r="AK216" t="inlineStr">
        <is>
          <t>核心对象：PRODUCT；体验：ACTUAL_USE；证据强度：A。</t>
        </is>
      </c>
      <c r="AL216"/>
      <c r="AM216" t="inlineStr">
        <is>
          <t>ANALYSIS_BASELINE_229.xlsx</t>
        </is>
      </c>
    </row>
    <row r="217" ht="25.5" customHeight="1">
      <c r="A217" t="inlineStr">
        <is>
          <t>TB-20260809-042_ANALYSIS_BASELINE_formal-attempt-0001_AI</t>
        </is>
      </c>
      <c r="B217" t="inlineStr">
        <is>
          <t>小酒150毫升，经常购买，好喝，度数不高，微醺正好！</t>
        </is>
      </c>
      <c r="C217"/>
      <c r="D217"/>
      <c r="E217"/>
      <c r="F217"/>
      <c r="G217"/>
      <c r="H217"/>
      <c r="I217"/>
      <c r="J217"/>
      <c r="K217"/>
      <c r="L217"/>
      <c r="M217"/>
      <c r="N217"/>
      <c r="O217"/>
      <c r="P217"/>
      <c r="Q217"/>
      <c r="R217"/>
      <c r="S217">
        <v>0.9</v>
      </c>
      <c r="T217" t="inlineStr">
        <is>
          <t>formal-attempt-0001</t>
        </is>
      </c>
      <c r="U217"/>
      <c r="V217"/>
      <c r="W217"/>
      <c r="X217" t="inlineStr">
        <is>
          <t>TB-20260809-042</t>
        </is>
      </c>
      <c r="Y217"/>
      <c r="Z217"/>
      <c r="AA217"/>
      <c r="AB217"/>
      <c r="AC217"/>
      <c r="AD217"/>
      <c r="AE217"/>
      <c r="AF217" t="inlineStr">
        <is>
          <t>AI</t>
        </is>
      </c>
      <c r="AG217" t="inlineStr">
        <is>
          <t>ANALYSIS_BASELINE</t>
        </is>
      </c>
      <c r="AH217" t="inlineStr">
        <is>
          <t>PRODUCT</t>
        </is>
      </c>
      <c r="AI217" t="inlineStr">
        <is>
          <t>ACTUAL_USE</t>
        </is>
      </c>
      <c r="AJ217" t="inlineStr">
        <is>
          <t>A</t>
        </is>
      </c>
      <c r="AK217" t="inlineStr">
        <is>
          <t>核心对象：PRODUCT；体验：ACTUAL_USE；证据强度：A。</t>
        </is>
      </c>
      <c r="AL217"/>
      <c r="AM217" t="inlineStr">
        <is>
          <t>ANALYSIS_BASELINE_229.xlsx</t>
        </is>
      </c>
    </row>
    <row r="218" ht="25.5" customHeight="1">
      <c r="A218" t="inlineStr">
        <is>
          <t>XHS-SOC-0019_ANALYSIS_BASELINE_formal-attempt-0001_AI</t>
        </is>
      </c>
      <c r="B218" t="inlineStr">
        <is>
          <t>看了一下梅见的成分表，第1位带水的都不要买。还有放浓缩果汁的那些通通都是勾兑的。</t>
        </is>
      </c>
      <c r="C218"/>
      <c r="D218"/>
      <c r="E218"/>
      <c r="F218"/>
      <c r="G218"/>
      <c r="H218"/>
      <c r="I218"/>
      <c r="J218"/>
      <c r="K218"/>
      <c r="L218"/>
      <c r="M218"/>
      <c r="N218"/>
      <c r="O218"/>
      <c r="P218"/>
      <c r="Q218"/>
      <c r="R218"/>
      <c r="S218">
        <v>0.9</v>
      </c>
      <c r="T218" t="inlineStr">
        <is>
          <t>formal-attempt-0001</t>
        </is>
      </c>
      <c r="U218"/>
      <c r="V218"/>
      <c r="W218"/>
      <c r="X218" t="inlineStr">
        <is>
          <t>XHS-SOC-0019</t>
        </is>
      </c>
      <c r="Y218"/>
      <c r="Z218"/>
      <c r="AA218"/>
      <c r="AB218"/>
      <c r="AC218"/>
      <c r="AD218"/>
      <c r="AE218"/>
      <c r="AF218" t="inlineStr">
        <is>
          <t>AI</t>
        </is>
      </c>
      <c r="AG218" t="inlineStr">
        <is>
          <t>ANALYSIS_BASELINE</t>
        </is>
      </c>
      <c r="AH218" t="inlineStr">
        <is>
          <t>PRODUCT</t>
        </is>
      </c>
      <c r="AI218" t="inlineStr">
        <is>
          <t>UNKNOWN</t>
        </is>
      </c>
      <c r="AJ218" t="inlineStr">
        <is>
          <t>A</t>
        </is>
      </c>
      <c r="AK218" t="inlineStr">
        <is>
          <t>核心对象：PRODUCT；体验：UNKNOWN；证据强度：A。</t>
        </is>
      </c>
      <c r="AL218"/>
      <c r="AM218" t="inlineStr">
        <is>
          <t>ANALYSIS_BASELINE_229.xlsx</t>
        </is>
      </c>
    </row>
    <row r="219" ht="25.5" customHeight="1">
      <c r="A219" t="inlineStr">
        <is>
          <t>DY-SOC-0135_ANALYSIS_BASELINE_formal-attempt-0001_AI</t>
        </is>
      </c>
      <c r="B219" t="inlineStr">
        <is>
          <t>真露纯老酒精子兑香精[憨笑]</t>
        </is>
      </c>
      <c r="C219"/>
      <c r="D219"/>
      <c r="E219"/>
      <c r="F219"/>
      <c r="G219"/>
      <c r="H219"/>
      <c r="I219"/>
      <c r="J219"/>
      <c r="K219"/>
      <c r="L219"/>
      <c r="M219"/>
      <c r="N219"/>
      <c r="O219"/>
      <c r="P219"/>
      <c r="Q219"/>
      <c r="R219"/>
      <c r="S219">
        <v>0.7</v>
      </c>
      <c r="T219" t="inlineStr">
        <is>
          <t>formal-attempt-0001</t>
        </is>
      </c>
      <c r="U219"/>
      <c r="V219"/>
      <c r="W219"/>
      <c r="X219" t="inlineStr">
        <is>
          <t>DY-SOC-0135</t>
        </is>
      </c>
      <c r="Y219"/>
      <c r="Z219"/>
      <c r="AA219"/>
      <c r="AB219"/>
      <c r="AC219"/>
      <c r="AD219"/>
      <c r="AE219"/>
      <c r="AF219" t="inlineStr">
        <is>
          <t>AI</t>
        </is>
      </c>
      <c r="AG219" t="inlineStr">
        <is>
          <t>ANALYSIS_BASELINE</t>
        </is>
      </c>
      <c r="AH219" t="inlineStr">
        <is>
          <t>PRODUCT</t>
        </is>
      </c>
      <c r="AI219" t="inlineStr">
        <is>
          <t>UNKNOWN</t>
        </is>
      </c>
      <c r="AJ219" t="inlineStr">
        <is>
          <t>C</t>
        </is>
      </c>
      <c r="AK219" t="inlineStr">
        <is>
          <t>核心对象：PRODUCT；体验：UNKNOWN；证据强度：C。</t>
        </is>
      </c>
      <c r="AL219"/>
      <c r="AM219" t="inlineStr">
        <is>
          <t>ANALYSIS_BASELINE_229.xlsx</t>
        </is>
      </c>
    </row>
    <row r="220" ht="25.5" customHeight="1">
      <c r="A220" t="inlineStr">
        <is>
          <t>DY-SOC-0136_ANALYSIS_BASELINE_formal-attempt-0001_AI</t>
        </is>
      </c>
      <c r="B220" t="inlineStr">
        <is>
          <t>加冰的肯定比不加冰的口感更好</t>
        </is>
      </c>
      <c r="C220"/>
      <c r="D220"/>
      <c r="E220"/>
      <c r="F220"/>
      <c r="G220"/>
      <c r="H220"/>
      <c r="I220"/>
      <c r="J220"/>
      <c r="K220"/>
      <c r="L220"/>
      <c r="M220"/>
      <c r="N220"/>
      <c r="O220"/>
      <c r="P220"/>
      <c r="Q220"/>
      <c r="R220"/>
      <c r="S220">
        <v>0.9</v>
      </c>
      <c r="T220" t="inlineStr">
        <is>
          <t>formal-attempt-0001</t>
        </is>
      </c>
      <c r="U220"/>
      <c r="V220"/>
      <c r="W220"/>
      <c r="X220" t="inlineStr">
        <is>
          <t>DY-SOC-0136</t>
        </is>
      </c>
      <c r="Y220"/>
      <c r="Z220"/>
      <c r="AA220"/>
      <c r="AB220"/>
      <c r="AC220"/>
      <c r="AD220"/>
      <c r="AE220"/>
      <c r="AF220" t="inlineStr">
        <is>
          <t>AI</t>
        </is>
      </c>
      <c r="AG220" t="inlineStr">
        <is>
          <t>ANALYSIS_BASELINE</t>
        </is>
      </c>
      <c r="AH220" t="inlineStr">
        <is>
          <t>PRODUCT</t>
        </is>
      </c>
      <c r="AI220" t="inlineStr">
        <is>
          <t>ACTUAL_USE</t>
        </is>
      </c>
      <c r="AJ220" t="inlineStr">
        <is>
          <t>C</t>
        </is>
      </c>
      <c r="AK220" t="inlineStr">
        <is>
          <t>核心对象：PRODUCT；体验：ACTUAL_USE；证据强度：C。</t>
        </is>
      </c>
      <c r="AL220"/>
      <c r="AM220" t="inlineStr">
        <is>
          <t>ANALYSIS_BASELINE_229.xlsx</t>
        </is>
      </c>
    </row>
    <row r="221" ht="25.5" customHeight="1">
      <c r="A221" t="inlineStr">
        <is>
          <t>DY-SOC-0138_ANALYSIS_BASELINE_formal-attempt-0001_AI</t>
        </is>
      </c>
      <c r="B221" t="inlineStr">
        <is>
          <t>冰镇白酒最好喝喝起来是甜甜的阿咩快试试</t>
        </is>
      </c>
      <c r="C221"/>
      <c r="D221"/>
      <c r="E221"/>
      <c r="F221"/>
      <c r="G221"/>
      <c r="H221"/>
      <c r="I221"/>
      <c r="J221"/>
      <c r="K221"/>
      <c r="L221"/>
      <c r="M221"/>
      <c r="N221"/>
      <c r="O221"/>
      <c r="P221"/>
      <c r="Q221"/>
      <c r="R221"/>
      <c r="S221">
        <v>0.9</v>
      </c>
      <c r="T221" t="inlineStr">
        <is>
          <t>formal-attempt-0001</t>
        </is>
      </c>
      <c r="U221"/>
      <c r="V221"/>
      <c r="W221"/>
      <c r="X221" t="inlineStr">
        <is>
          <t>DY-SOC-0138</t>
        </is>
      </c>
      <c r="Y221"/>
      <c r="Z221"/>
      <c r="AA221"/>
      <c r="AB221"/>
      <c r="AC221"/>
      <c r="AD221"/>
      <c r="AE221"/>
      <c r="AF221" t="inlineStr">
        <is>
          <t>AI</t>
        </is>
      </c>
      <c r="AG221" t="inlineStr">
        <is>
          <t>ANALYSIS_BASELINE</t>
        </is>
      </c>
      <c r="AH221" t="inlineStr">
        <is>
          <t>PRODUCT</t>
        </is>
      </c>
      <c r="AI221" t="inlineStr">
        <is>
          <t>ACTUAL_USE</t>
        </is>
      </c>
      <c r="AJ221" t="inlineStr">
        <is>
          <t>A</t>
        </is>
      </c>
      <c r="AK221" t="inlineStr">
        <is>
          <t>核心对象：PRODUCT；体验：ACTUAL_USE；证据强度：A。</t>
        </is>
      </c>
      <c r="AL221"/>
      <c r="AM221" t="inlineStr">
        <is>
          <t>ANALYSIS_BASELINE_229.xlsx</t>
        </is>
      </c>
    </row>
    <row r="222" ht="25.5" customHeight="1">
      <c r="A222" t="inlineStr">
        <is>
          <t>XHS-SOC-0186_ANALYSIS_BASELINE_formal-attempt-0001_AI</t>
        </is>
      </c>
      <c r="B222" t="inlineStr">
        <is>
          <t>这些比例多少啊？是自己随便加么</t>
        </is>
      </c>
      <c r="C222"/>
      <c r="D222"/>
      <c r="E222"/>
      <c r="F222"/>
      <c r="G222"/>
      <c r="H222"/>
      <c r="I222"/>
      <c r="J222"/>
      <c r="K222"/>
      <c r="L222"/>
      <c r="M222"/>
      <c r="N222"/>
      <c r="O222"/>
      <c r="P222"/>
      <c r="Q222"/>
      <c r="R222"/>
      <c r="S222">
        <v>0.7</v>
      </c>
      <c r="T222" t="inlineStr">
        <is>
          <t>formal-attempt-0001</t>
        </is>
      </c>
      <c r="U222"/>
      <c r="V222"/>
      <c r="W222"/>
      <c r="X222" t="inlineStr">
        <is>
          <t>XHS-SOC-0186</t>
        </is>
      </c>
      <c r="Y222"/>
      <c r="Z222"/>
      <c r="AA222"/>
      <c r="AB222"/>
      <c r="AC222"/>
      <c r="AD222"/>
      <c r="AE222"/>
      <c r="AF222" t="inlineStr">
        <is>
          <t>AI</t>
        </is>
      </c>
      <c r="AG222" t="inlineStr">
        <is>
          <t>ANALYSIS_BASELINE</t>
        </is>
      </c>
      <c r="AH222" t="inlineStr">
        <is>
          <t>SCENE</t>
        </is>
      </c>
      <c r="AI222" t="inlineStr">
        <is>
          <t>UNKNOWN</t>
        </is>
      </c>
      <c r="AJ222" t="inlineStr">
        <is>
          <t>C</t>
        </is>
      </c>
      <c r="AK222" t="inlineStr">
        <is>
          <t>核心对象：SCENE；体验：UNKNOWN；证据强度：C。</t>
        </is>
      </c>
      <c r="AL222"/>
      <c r="AM222" t="inlineStr">
        <is>
          <t>ANALYSIS_BASELINE_229.xlsx</t>
        </is>
      </c>
    </row>
    <row r="223" ht="25.5" customHeight="1">
      <c r="A223" t="inlineStr">
        <is>
          <t>DY-SOC-0206_ANALYSIS_BASELINE_formal-attempt-0001_AI</t>
        </is>
      </c>
      <c r="B223" t="inlineStr">
        <is>
          <t>梅见适合加冰</t>
        </is>
      </c>
      <c r="C223"/>
      <c r="D223"/>
      <c r="E223"/>
      <c r="F223"/>
      <c r="G223"/>
      <c r="H223"/>
      <c r="I223"/>
      <c r="J223"/>
      <c r="K223"/>
      <c r="L223"/>
      <c r="M223"/>
      <c r="N223"/>
      <c r="O223"/>
      <c r="P223"/>
      <c r="Q223"/>
      <c r="R223"/>
      <c r="S223">
        <v>0.9</v>
      </c>
      <c r="T223" t="inlineStr">
        <is>
          <t>formal-attempt-0001</t>
        </is>
      </c>
      <c r="U223"/>
      <c r="V223"/>
      <c r="W223"/>
      <c r="X223" t="inlineStr">
        <is>
          <t>DY-SOC-0206</t>
        </is>
      </c>
      <c r="Y223"/>
      <c r="Z223"/>
      <c r="AA223"/>
      <c r="AB223"/>
      <c r="AC223"/>
      <c r="AD223"/>
      <c r="AE223"/>
      <c r="AF223" t="inlineStr">
        <is>
          <t>AI</t>
        </is>
      </c>
      <c r="AG223" t="inlineStr">
        <is>
          <t>ANALYSIS_BASELINE</t>
        </is>
      </c>
      <c r="AH223" t="inlineStr">
        <is>
          <t>PRODUCT</t>
        </is>
      </c>
      <c r="AI223" t="inlineStr">
        <is>
          <t>ACTUAL_USE</t>
        </is>
      </c>
      <c r="AJ223" t="inlineStr">
        <is>
          <t>A</t>
        </is>
      </c>
      <c r="AK223" t="inlineStr">
        <is>
          <t>核心对象：PRODUCT；体验：ACTUAL_USE；证据强度：A。</t>
        </is>
      </c>
      <c r="AL223"/>
      <c r="AM223" t="inlineStr">
        <is>
          <t>ANALYSIS_BASELINE_229.xlsx</t>
        </is>
      </c>
    </row>
    <row r="224" ht="25.5" customHeight="1">
      <c r="A224" t="inlineStr">
        <is>
          <t>XHS-SOC-0245_ANALYSIS_BASELINE_formal-attempt-0001_AI</t>
        </is>
      </c>
      <c r="B224" t="inlineStr">
        <is>
          <t>桂花款真不错 一定要加冰</t>
        </is>
      </c>
      <c r="C224"/>
      <c r="D224"/>
      <c r="E224"/>
      <c r="F224"/>
      <c r="G224"/>
      <c r="H224"/>
      <c r="I224"/>
      <c r="J224"/>
      <c r="K224"/>
      <c r="L224"/>
      <c r="M224"/>
      <c r="N224"/>
      <c r="O224"/>
      <c r="P224"/>
      <c r="Q224"/>
      <c r="R224"/>
      <c r="S224">
        <v>0.9</v>
      </c>
      <c r="T224" t="inlineStr">
        <is>
          <t>formal-attempt-0001</t>
        </is>
      </c>
      <c r="U224"/>
      <c r="V224"/>
      <c r="W224"/>
      <c r="X224" t="inlineStr">
        <is>
          <t>XHS-SOC-0245</t>
        </is>
      </c>
      <c r="Y224"/>
      <c r="Z224"/>
      <c r="AA224"/>
      <c r="AB224"/>
      <c r="AC224"/>
      <c r="AD224"/>
      <c r="AE224"/>
      <c r="AF224" t="inlineStr">
        <is>
          <t>AI</t>
        </is>
      </c>
      <c r="AG224" t="inlineStr">
        <is>
          <t>ANALYSIS_BASELINE</t>
        </is>
      </c>
      <c r="AH224" t="inlineStr">
        <is>
          <t>PRODUCT</t>
        </is>
      </c>
      <c r="AI224" t="inlineStr">
        <is>
          <t>ACTUAL_USE</t>
        </is>
      </c>
      <c r="AJ224" t="inlineStr">
        <is>
          <t>A</t>
        </is>
      </c>
      <c r="AK224" t="inlineStr">
        <is>
          <t>核心对象：PRODUCT；体验：ACTUAL_USE；证据强度：A。</t>
        </is>
      </c>
      <c r="AL224"/>
      <c r="AM224" t="inlineStr">
        <is>
          <t>ANALYSIS_BASELINE_229.xlsx</t>
        </is>
      </c>
    </row>
    <row r="225" ht="25.5" customHeight="1">
      <c r="A225" t="inlineStr">
        <is>
          <t>XHS-SOC-0246_ANALYSIS_BASELINE_formal-attempt-0001_AI</t>
        </is>
      </c>
      <c r="B225" t="inlineStr">
        <is>
          <t>一点都好喝 浓缩液兑</t>
        </is>
      </c>
      <c r="C225"/>
      <c r="D225"/>
      <c r="E225"/>
      <c r="F225"/>
      <c r="G225"/>
      <c r="H225"/>
      <c r="I225"/>
      <c r="J225"/>
      <c r="K225"/>
      <c r="L225"/>
      <c r="M225"/>
      <c r="N225"/>
      <c r="O225"/>
      <c r="P225"/>
      <c r="Q225"/>
      <c r="R225"/>
      <c r="S225">
        <v>0.7</v>
      </c>
      <c r="T225" t="inlineStr">
        <is>
          <t>formal-attempt-0001</t>
        </is>
      </c>
      <c r="U225"/>
      <c r="V225"/>
      <c r="W225"/>
      <c r="X225" t="inlineStr">
        <is>
          <t>XHS-SOC-0246</t>
        </is>
      </c>
      <c r="Y225"/>
      <c r="Z225"/>
      <c r="AA225"/>
      <c r="AB225"/>
      <c r="AC225"/>
      <c r="AD225"/>
      <c r="AE225"/>
      <c r="AF225" t="inlineStr">
        <is>
          <t>AI</t>
        </is>
      </c>
      <c r="AG225" t="inlineStr">
        <is>
          <t>ANALYSIS_BASELINE</t>
        </is>
      </c>
      <c r="AH225" t="inlineStr">
        <is>
          <t>PRODUCT</t>
        </is>
      </c>
      <c r="AI225" t="inlineStr">
        <is>
          <t>ACTUAL_USE</t>
        </is>
      </c>
      <c r="AJ225" t="inlineStr">
        <is>
          <t>B</t>
        </is>
      </c>
      <c r="AK225" t="inlineStr">
        <is>
          <t>核心对象：PRODUCT；体验：ACTUAL_USE；证据强度：B。</t>
        </is>
      </c>
      <c r="AL225"/>
      <c r="AM225" t="inlineStr">
        <is>
          <t>ANALYSIS_BASELINE_229.xlsx</t>
        </is>
      </c>
    </row>
    <row r="226" ht="25.5" customHeight="1">
      <c r="A226" t="inlineStr">
        <is>
          <t>JD-20260809-011_ANALYSIS_BASELINE_formal-attempt-0001_AI</t>
        </is>
      </c>
      <c r="B226" t="inlineStr">
        <is>
          <t>非常好喝，加冰的效果更好喝，加苏打水调制个饮料也好喝，小瓶的量足够了，用完的小瓶还可以做装饰，挺好，配料表干净，京东物流快速送达。</t>
        </is>
      </c>
      <c r="C226"/>
      <c r="D226"/>
      <c r="E226"/>
      <c r="F226"/>
      <c r="G226"/>
      <c r="H226"/>
      <c r="I226"/>
      <c r="J226"/>
      <c r="K226"/>
      <c r="L226"/>
      <c r="M226"/>
      <c r="N226"/>
      <c r="O226"/>
      <c r="P226"/>
      <c r="Q226"/>
      <c r="R226"/>
      <c r="S226">
        <v>0.9</v>
      </c>
      <c r="T226" t="inlineStr">
        <is>
          <t>formal-attempt-0001</t>
        </is>
      </c>
      <c r="U226"/>
      <c r="V226"/>
      <c r="W226"/>
      <c r="X226" t="inlineStr">
        <is>
          <t>JD-20260809-011</t>
        </is>
      </c>
      <c r="Y226"/>
      <c r="Z226"/>
      <c r="AA226"/>
      <c r="AB226"/>
      <c r="AC226"/>
      <c r="AD226"/>
      <c r="AE226"/>
      <c r="AF226" t="inlineStr">
        <is>
          <t>AI</t>
        </is>
      </c>
      <c r="AG226" t="inlineStr">
        <is>
          <t>ANALYSIS_BASELINE</t>
        </is>
      </c>
      <c r="AH226" t="inlineStr">
        <is>
          <t>PRODUCT</t>
        </is>
      </c>
      <c r="AI226" t="inlineStr">
        <is>
          <t>ACTUAL_USE</t>
        </is>
      </c>
      <c r="AJ226" t="inlineStr">
        <is>
          <t>A</t>
        </is>
      </c>
      <c r="AK226" t="inlineStr">
        <is>
          <t>核心对象：PRODUCT；体验：ACTUAL_USE；证据强度：A。</t>
        </is>
      </c>
      <c r="AL226"/>
      <c r="AM226" t="inlineStr">
        <is>
          <t>ANALYSIS_BASELINE_229.xlsx</t>
        </is>
      </c>
    </row>
    <row r="227" ht="25.5" customHeight="1">
      <c r="A227" t="inlineStr">
        <is>
          <t>JD-20260809-016_ANALYSIS_BASELINE_formal-attempt-0001_AI</t>
        </is>
      </c>
      <c r="B227" t="inlineStr">
        <is>
          <t>自从去了日本玩就爱上了梅子酒。甜甜的梅子味道加上浓郁的酒味道真的是太好喝了。最近买的这款稍微带点甜味，很好喝。梅子酒味道会比较甜所以需要配冰块或者对水喝。</t>
        </is>
      </c>
      <c r="C227"/>
      <c r="D227"/>
      <c r="E227"/>
      <c r="F227"/>
      <c r="G227"/>
      <c r="H227"/>
      <c r="I227"/>
      <c r="J227"/>
      <c r="K227"/>
      <c r="L227"/>
      <c r="M227"/>
      <c r="N227"/>
      <c r="O227"/>
      <c r="P227"/>
      <c r="Q227"/>
      <c r="R227"/>
      <c r="S227">
        <v>0.9</v>
      </c>
      <c r="T227" t="inlineStr">
        <is>
          <t>formal-attempt-0001</t>
        </is>
      </c>
      <c r="U227"/>
      <c r="V227"/>
      <c r="W227"/>
      <c r="X227" t="inlineStr">
        <is>
          <t>JD-20260809-016</t>
        </is>
      </c>
      <c r="Y227"/>
      <c r="Z227"/>
      <c r="AA227"/>
      <c r="AB227"/>
      <c r="AC227"/>
      <c r="AD227"/>
      <c r="AE227"/>
      <c r="AF227" t="inlineStr">
        <is>
          <t>AI</t>
        </is>
      </c>
      <c r="AG227" t="inlineStr">
        <is>
          <t>ANALYSIS_BASELINE</t>
        </is>
      </c>
      <c r="AH227" t="inlineStr">
        <is>
          <t>PRODUCT</t>
        </is>
      </c>
      <c r="AI227" t="inlineStr">
        <is>
          <t>ACTUAL_USE</t>
        </is>
      </c>
      <c r="AJ227" t="inlineStr">
        <is>
          <t>A</t>
        </is>
      </c>
      <c r="AK227" t="inlineStr">
        <is>
          <t>核心对象：PRODUCT；体验：ACTUAL_USE；证据强度：A。</t>
        </is>
      </c>
      <c r="AL227"/>
      <c r="AM227" t="inlineStr">
        <is>
          <t>ANALYSIS_BASELINE_229.xlsx</t>
        </is>
      </c>
    </row>
    <row r="228" ht="25.5" customHeight="1">
      <c r="A228" t="inlineStr">
        <is>
          <t>JD-20260809-037_ANALYSIS_BASELINE_formal-attempt-0001_AI</t>
        </is>
      </c>
      <c r="B228" t="inlineStr">
        <is>
          <t>这是非常熟悉的果酒了，物美价廉值得购买，以前从厂家买，现在走京东物流就更快了。梅子香味很美好，当然业务之人无从分辨是泡出来的还是调出来的，稍微有点甜，所以可以配一点白兰地</t>
        </is>
      </c>
      <c r="C228"/>
      <c r="D228"/>
      <c r="E228"/>
      <c r="F228"/>
      <c r="G228"/>
      <c r="H228"/>
      <c r="I228"/>
      <c r="J228"/>
      <c r="K228"/>
      <c r="L228"/>
      <c r="M228"/>
      <c r="N228"/>
      <c r="O228"/>
      <c r="P228"/>
      <c r="Q228"/>
      <c r="R228"/>
      <c r="S228">
        <v>0.9</v>
      </c>
      <c r="T228" t="inlineStr">
        <is>
          <t>formal-attempt-0001</t>
        </is>
      </c>
      <c r="U228"/>
      <c r="V228"/>
      <c r="W228"/>
      <c r="X228" t="inlineStr">
        <is>
          <t>JD-20260809-037</t>
        </is>
      </c>
      <c r="Y228"/>
      <c r="Z228"/>
      <c r="AA228"/>
      <c r="AB228"/>
      <c r="AC228"/>
      <c r="AD228"/>
      <c r="AE228"/>
      <c r="AF228" t="inlineStr">
        <is>
          <t>AI</t>
        </is>
      </c>
      <c r="AG228" t="inlineStr">
        <is>
          <t>ANALYSIS_BASELINE</t>
        </is>
      </c>
      <c r="AH228" t="inlineStr">
        <is>
          <t>PRODUCT</t>
        </is>
      </c>
      <c r="AI228" t="inlineStr">
        <is>
          <t>ACTUAL_USE</t>
        </is>
      </c>
      <c r="AJ228" t="inlineStr">
        <is>
          <t>A</t>
        </is>
      </c>
      <c r="AK228" t="inlineStr">
        <is>
          <t>核心对象：PRODUCT；体验：ACTUAL_USE；证据强度：A。</t>
        </is>
      </c>
      <c r="AL228"/>
      <c r="AM228" t="inlineStr">
        <is>
          <t>ANALYSIS_BASELINE_229.xlsx</t>
        </is>
      </c>
    </row>
    <row r="229" ht="25.5" customHeight="1">
      <c r="A229" t="inlineStr">
        <is>
          <t>TB-20260809-004_ANALYSIS_BASELINE_formal-attempt-0001_AI</t>
        </is>
      </c>
      <c r="B229" t="inlineStr">
        <is>
          <t>整体评价：挺好 包装品质：还可以 外观品相：非常好 口感味道：我个人比较喜欢 我就放了一点点，和其他的兑在一起喝</t>
        </is>
      </c>
      <c r="C229"/>
      <c r="D229"/>
      <c r="E229"/>
      <c r="F229"/>
      <c r="G229"/>
      <c r="H229"/>
      <c r="I229"/>
      <c r="J229"/>
      <c r="K229"/>
      <c r="L229"/>
      <c r="M229"/>
      <c r="N229"/>
      <c r="O229"/>
      <c r="P229"/>
      <c r="Q229"/>
      <c r="R229"/>
      <c r="S229">
        <v>0.9</v>
      </c>
      <c r="T229" t="inlineStr">
        <is>
          <t>formal-attempt-0001</t>
        </is>
      </c>
      <c r="U229"/>
      <c r="V229"/>
      <c r="W229"/>
      <c r="X229" t="inlineStr">
        <is>
          <t>TB-20260809-004</t>
        </is>
      </c>
      <c r="Y229"/>
      <c r="Z229"/>
      <c r="AA229"/>
      <c r="AB229"/>
      <c r="AC229"/>
      <c r="AD229"/>
      <c r="AE229"/>
      <c r="AF229" t="inlineStr">
        <is>
          <t>AI</t>
        </is>
      </c>
      <c r="AG229" t="inlineStr">
        <is>
          <t>ANALYSIS_BASELINE</t>
        </is>
      </c>
      <c r="AH229" t="inlineStr">
        <is>
          <t>PRODUCT</t>
        </is>
      </c>
      <c r="AI229" t="inlineStr">
        <is>
          <t>ACTUAL_USE</t>
        </is>
      </c>
      <c r="AJ229" t="inlineStr">
        <is>
          <t>A</t>
        </is>
      </c>
      <c r="AK229" t="inlineStr">
        <is>
          <t>核心对象：PRODUCT；体验：ACTUAL_USE；证据强度：A。</t>
        </is>
      </c>
      <c r="AL229"/>
      <c r="AM229" t="inlineStr">
        <is>
          <t>ANALYSIS_BASELINE_229.xlsx</t>
        </is>
      </c>
    </row>
    <row r="230" ht="25.5" customHeight="1">
      <c r="A230" t="inlineStr">
        <is>
          <t>TB-20260809-010_ANALYSIS_BASELINE_formal-attempt-0001_AI</t>
        </is>
      </c>
      <c r="B230" t="inlineStr">
        <is>
          <t>瓶身很好看 梅子味道非常清甜 调配着喝也很好！</t>
        </is>
      </c>
      <c r="C230"/>
      <c r="D230"/>
      <c r="E230"/>
      <c r="F230"/>
      <c r="G230"/>
      <c r="H230"/>
      <c r="I230"/>
      <c r="J230"/>
      <c r="K230"/>
      <c r="L230"/>
      <c r="M230"/>
      <c r="N230"/>
      <c r="O230"/>
      <c r="P230"/>
      <c r="Q230"/>
      <c r="R230"/>
      <c r="S230">
        <v>0.9</v>
      </c>
      <c r="T230" t="inlineStr">
        <is>
          <t>formal-attempt-0001</t>
        </is>
      </c>
      <c r="U230"/>
      <c r="V230"/>
      <c r="W230"/>
      <c r="X230" t="inlineStr">
        <is>
          <t>TB-20260809-010</t>
        </is>
      </c>
      <c r="Y230"/>
      <c r="Z230"/>
      <c r="AA230"/>
      <c r="AB230"/>
      <c r="AC230"/>
      <c r="AD230"/>
      <c r="AE230"/>
      <c r="AF230" t="inlineStr">
        <is>
          <t>AI</t>
        </is>
      </c>
      <c r="AG230" t="inlineStr">
        <is>
          <t>ANALYSIS_BASELINE</t>
        </is>
      </c>
      <c r="AH230" t="inlineStr">
        <is>
          <t>PRODUCT</t>
        </is>
      </c>
      <c r="AI230" t="inlineStr">
        <is>
          <t>ACTUAL_USE</t>
        </is>
      </c>
      <c r="AJ230" t="inlineStr">
        <is>
          <t>A</t>
        </is>
      </c>
      <c r="AK230" t="inlineStr">
        <is>
          <t>核心对象：PRODUCT；体验：ACTUAL_USE；证据强度：A。</t>
        </is>
      </c>
      <c r="AL230"/>
      <c r="AM230" t="inlineStr">
        <is>
          <t>ANALYSIS_BASELINE_229.xlsx</t>
        </is>
      </c>
    </row>
    <row r="231" ht="25.5" customHeight="1">
      <c r="A231" t="inlineStr">
        <is>
          <t>MJ-RAW-0005_ANALYSIS_DEMO_DELTA_formal-attempt-0001_AI</t>
        </is>
      </c>
      <c r="B231" t="inlineStr">
        <is>
          <t>“网上风很大的国风果酒。叛身颜值确实好看，但讲真的茶香有点太抢戏了。盖过了本身的酒味，很容易上头！而且后味有点微苦，果香散得也快”</t>
        </is>
      </c>
      <c r="C231"/>
      <c r="D231"/>
      <c r="E231"/>
      <c r="F231"/>
      <c r="G231"/>
      <c r="H231"/>
      <c r="I231"/>
      <c r="J231"/>
      <c r="K231"/>
      <c r="L231"/>
      <c r="M231"/>
      <c r="N231"/>
      <c r="O231"/>
      <c r="P231"/>
      <c r="Q231"/>
      <c r="R231"/>
      <c r="S231">
        <v>0.9</v>
      </c>
      <c r="T231" t="inlineStr">
        <is>
          <t>formal-attempt-0001</t>
        </is>
      </c>
      <c r="U231"/>
      <c r="V231"/>
      <c r="W231"/>
      <c r="X231" t="inlineStr">
        <is>
          <t>MJ-RAW-0005</t>
        </is>
      </c>
      <c r="Y231"/>
      <c r="Z231"/>
      <c r="AA231"/>
      <c r="AB231"/>
      <c r="AC231"/>
      <c r="AD231"/>
      <c r="AE231"/>
      <c r="AF231" t="inlineStr">
        <is>
          <t>AI</t>
        </is>
      </c>
      <c r="AG231" t="inlineStr">
        <is>
          <t>ANALYSIS_DEMO_DELTA</t>
        </is>
      </c>
      <c r="AH231" t="inlineStr">
        <is>
          <t>PRODUCT</t>
        </is>
      </c>
      <c r="AI231" t="inlineStr">
        <is>
          <t>ACTUAL_USE</t>
        </is>
      </c>
      <c r="AJ231" t="inlineStr">
        <is>
          <t>A</t>
        </is>
      </c>
      <c r="AK231" t="inlineStr">
        <is>
          <t>核心对象：产品口味与外观；体验：ACTUAL_USE；证据强度：A。</t>
        </is>
      </c>
      <c r="AL231"/>
      <c r="AM231" t="inlineStr">
        <is>
          <t>ANALYSIS_DEMO_DELTA_20.xlsx</t>
        </is>
      </c>
    </row>
    <row r="232" ht="25.5" customHeight="1">
      <c r="A232" t="inlineStr">
        <is>
          <t>MJ-RAW-0010_ANALYSIS_DEMO_DELTA_formal-attempt-0001_AI</t>
        </is>
      </c>
      <c r="B232" t="inlineStr">
        <is>
          <t>可能本人没喝过酒，28岁男，喝朋友送的梅见，一口就感觉是酒精兑香精，然后就放厨房当料酒了。</t>
        </is>
      </c>
      <c r="C232"/>
      <c r="D232"/>
      <c r="E232"/>
      <c r="F232"/>
      <c r="G232"/>
      <c r="H232"/>
      <c r="I232"/>
      <c r="J232"/>
      <c r="K232"/>
      <c r="L232"/>
      <c r="M232"/>
      <c r="N232"/>
      <c r="O232"/>
      <c r="P232"/>
      <c r="Q232"/>
      <c r="R232"/>
      <c r="S232">
        <v>0.9</v>
      </c>
      <c r="T232" t="inlineStr">
        <is>
          <t>formal-attempt-0001</t>
        </is>
      </c>
      <c r="U232"/>
      <c r="V232"/>
      <c r="W232"/>
      <c r="X232" t="inlineStr">
        <is>
          <t>MJ-RAW-0010</t>
        </is>
      </c>
      <c r="Y232"/>
      <c r="Z232"/>
      <c r="AA232"/>
      <c r="AB232"/>
      <c r="AC232"/>
      <c r="AD232"/>
      <c r="AE232"/>
      <c r="AF232" t="inlineStr">
        <is>
          <t>AI</t>
        </is>
      </c>
      <c r="AG232" t="inlineStr">
        <is>
          <t>ANALYSIS_DEMO_DELTA</t>
        </is>
      </c>
      <c r="AH232" t="inlineStr">
        <is>
          <t>PRODUCT</t>
        </is>
      </c>
      <c r="AI232" t="inlineStr">
        <is>
          <t>ACTUAL_USE</t>
        </is>
      </c>
      <c r="AJ232" t="inlineStr">
        <is>
          <t>A</t>
        </is>
      </c>
      <c r="AK232" t="inlineStr">
        <is>
          <t>核心对象：产品口感；体验：ACTUAL_USE；证据强度：A。</t>
        </is>
      </c>
      <c r="AL232"/>
      <c r="AM232" t="inlineStr">
        <is>
          <t>ANALYSIS_DEMO_DELTA_20.xlsx</t>
        </is>
      </c>
    </row>
    <row r="233" ht="25.5" customHeight="1">
      <c r="A233" t="inlineStr">
        <is>
          <t>MJ-RAW-0018_ANALYSIS_DEMO_DELTA_formal-attempt-0001_AI</t>
        </is>
      </c>
      <c r="B233" t="inlineStr">
        <is>
          <t>别单喝很伤胃的，这个兑汽水好一点，醒目就挺好喝！而且比例是酒少汽水多一点，也不涨肚子！但是每次喝梅见胃都要痛好几天，前几天刚喝了兑汽水胃没事，后面半瓶没兑直接喝的给我整吐了</t>
        </is>
      </c>
      <c r="C233"/>
      <c r="D233"/>
      <c r="E233"/>
      <c r="F233"/>
      <c r="G233"/>
      <c r="H233"/>
      <c r="I233"/>
      <c r="J233"/>
      <c r="K233"/>
      <c r="L233"/>
      <c r="M233"/>
      <c r="N233"/>
      <c r="O233"/>
      <c r="P233"/>
      <c r="Q233"/>
      <c r="R233"/>
      <c r="S233">
        <v>0.9</v>
      </c>
      <c r="T233" t="inlineStr">
        <is>
          <t>formal-attempt-0001</t>
        </is>
      </c>
      <c r="U233"/>
      <c r="V233"/>
      <c r="W233"/>
      <c r="X233" t="inlineStr">
        <is>
          <t>MJ-RAW-0018</t>
        </is>
      </c>
      <c r="Y233"/>
      <c r="Z233"/>
      <c r="AA233"/>
      <c r="AB233"/>
      <c r="AC233"/>
      <c r="AD233"/>
      <c r="AE233"/>
      <c r="AF233" t="inlineStr">
        <is>
          <t>AI</t>
        </is>
      </c>
      <c r="AG233" t="inlineStr">
        <is>
          <t>ANALYSIS_DEMO_DELTA</t>
        </is>
      </c>
      <c r="AH233" t="inlineStr">
        <is>
          <t>SCENE</t>
        </is>
      </c>
      <c r="AI233" t="inlineStr">
        <is>
          <t>ACTUAL_USE</t>
        </is>
      </c>
      <c r="AJ233" t="inlineStr">
        <is>
          <t>A</t>
        </is>
      </c>
      <c r="AK233" t="inlineStr">
        <is>
          <t>核心对象：饮用后的身体反应；体验：ACTUAL_USE；证据强度：A。</t>
        </is>
      </c>
      <c r="AL233"/>
      <c r="AM233" t="inlineStr">
        <is>
          <t>ANALYSIS_DEMO_DELTA_20.xlsx</t>
        </is>
      </c>
    </row>
    <row r="234" ht="25.5" customHeight="1">
      <c r="A234" t="inlineStr">
        <is>
          <t>MJ-RAW-0026_ANALYSIS_DEMO_DELTA_formal-attempt-0001_AI</t>
        </is>
      </c>
      <c r="B234" t="inlineStr">
        <is>
          <t>感觉烟熏的那款会比这款味道好很多，这款的话口感一般，整体喝下来还是烟熏的那个酸甜感更重一点，这款口感偏淡，反正不不太好喝感觉</t>
        </is>
      </c>
      <c r="C234"/>
      <c r="D234"/>
      <c r="E234"/>
      <c r="F234"/>
      <c r="G234"/>
      <c r="H234"/>
      <c r="I234"/>
      <c r="J234"/>
      <c r="K234"/>
      <c r="L234"/>
      <c r="M234"/>
      <c r="N234"/>
      <c r="O234"/>
      <c r="P234"/>
      <c r="Q234"/>
      <c r="R234"/>
      <c r="S234">
        <v>0.9</v>
      </c>
      <c r="T234" t="inlineStr">
        <is>
          <t>formal-attempt-0001</t>
        </is>
      </c>
      <c r="U234"/>
      <c r="V234"/>
      <c r="W234"/>
      <c r="X234" t="inlineStr">
        <is>
          <t>MJ-RAW-0026</t>
        </is>
      </c>
      <c r="Y234"/>
      <c r="Z234"/>
      <c r="AA234"/>
      <c r="AB234"/>
      <c r="AC234"/>
      <c r="AD234"/>
      <c r="AE234"/>
      <c r="AF234" t="inlineStr">
        <is>
          <t>AI</t>
        </is>
      </c>
      <c r="AG234" t="inlineStr">
        <is>
          <t>ANALYSIS_DEMO_DELTA</t>
        </is>
      </c>
      <c r="AH234" t="inlineStr">
        <is>
          <t>PRODUCT</t>
        </is>
      </c>
      <c r="AI234" t="inlineStr">
        <is>
          <t>ACTUAL_USE</t>
        </is>
      </c>
      <c r="AJ234" t="inlineStr">
        <is>
          <t>A</t>
        </is>
      </c>
      <c r="AK234" t="inlineStr">
        <is>
          <t>核心对象：产品口感；体验：ACTUAL_USE；证据强度：A。</t>
        </is>
      </c>
      <c r="AL234"/>
      <c r="AM234" t="inlineStr">
        <is>
          <t>ANALYSIS_DEMO_DELTA_20.xlsx</t>
        </is>
      </c>
    </row>
    <row r="235" ht="25.5" customHeight="1">
      <c r="A235" t="inlineStr">
        <is>
          <t>MJ-RAW-0027_ANALYSIS_DEMO_DELTA_formal-attempt-0001_AI</t>
        </is>
      </c>
      <c r="B235" t="inlineStr">
        <is>
          <t>工业酒精味比较重。一点点青梅的回甘</t>
        </is>
      </c>
      <c r="C235"/>
      <c r="D235"/>
      <c r="E235"/>
      <c r="F235"/>
      <c r="G235"/>
      <c r="H235"/>
      <c r="I235"/>
      <c r="J235"/>
      <c r="K235"/>
      <c r="L235"/>
      <c r="M235"/>
      <c r="N235"/>
      <c r="O235"/>
      <c r="P235"/>
      <c r="Q235"/>
      <c r="R235"/>
      <c r="S235">
        <v>0.9</v>
      </c>
      <c r="T235" t="inlineStr">
        <is>
          <t>formal-attempt-0001</t>
        </is>
      </c>
      <c r="U235"/>
      <c r="V235"/>
      <c r="W235"/>
      <c r="X235" t="inlineStr">
        <is>
          <t>MJ-RAW-0027</t>
        </is>
      </c>
      <c r="Y235"/>
      <c r="Z235"/>
      <c r="AA235"/>
      <c r="AB235"/>
      <c r="AC235"/>
      <c r="AD235"/>
      <c r="AE235"/>
      <c r="AF235" t="inlineStr">
        <is>
          <t>AI</t>
        </is>
      </c>
      <c r="AG235" t="inlineStr">
        <is>
          <t>ANALYSIS_DEMO_DELTA</t>
        </is>
      </c>
      <c r="AH235" t="inlineStr">
        <is>
          <t>PRODUCT</t>
        </is>
      </c>
      <c r="AI235" t="inlineStr">
        <is>
          <t>ACTUAL_USE</t>
        </is>
      </c>
      <c r="AJ235" t="inlineStr">
        <is>
          <t>B</t>
        </is>
      </c>
      <c r="AK235" t="inlineStr">
        <is>
          <t>核心对象：产品口味；体验：ACTUAL_USE；证据强度：B。</t>
        </is>
      </c>
      <c r="AL235"/>
      <c r="AM235" t="inlineStr">
        <is>
          <t>ANALYSIS_DEMO_DELTA_20.xlsx</t>
        </is>
      </c>
    </row>
    <row r="236" ht="25.5" customHeight="1">
      <c r="A236" t="inlineStr">
        <is>
          <t>XHS-SOC-0200_ANALYSIS_DEMO_DELTA_formal-attempt-0001_AI</t>
        </is>
      </c>
      <c r="B236" t="inlineStr">
        <is>
          <t>尝了一口感觉像是止咳糖浆的味道</t>
        </is>
      </c>
      <c r="C236"/>
      <c r="D236"/>
      <c r="E236"/>
      <c r="F236"/>
      <c r="G236"/>
      <c r="H236"/>
      <c r="I236"/>
      <c r="J236"/>
      <c r="K236"/>
      <c r="L236"/>
      <c r="M236"/>
      <c r="N236"/>
      <c r="O236"/>
      <c r="P236"/>
      <c r="Q236"/>
      <c r="R236"/>
      <c r="S236">
        <v>0.9</v>
      </c>
      <c r="T236" t="inlineStr">
        <is>
          <t>formal-attempt-0001</t>
        </is>
      </c>
      <c r="U236"/>
      <c r="V236"/>
      <c r="W236"/>
      <c r="X236" t="inlineStr">
        <is>
          <t>XHS-SOC-0200</t>
        </is>
      </c>
      <c r="Y236"/>
      <c r="Z236"/>
      <c r="AA236"/>
      <c r="AB236"/>
      <c r="AC236"/>
      <c r="AD236"/>
      <c r="AE236"/>
      <c r="AF236" t="inlineStr">
        <is>
          <t>AI</t>
        </is>
      </c>
      <c r="AG236" t="inlineStr">
        <is>
          <t>ANALYSIS_DEMO_DELTA</t>
        </is>
      </c>
      <c r="AH236" t="inlineStr">
        <is>
          <t>PRODUCT</t>
        </is>
      </c>
      <c r="AI236" t="inlineStr">
        <is>
          <t>ACTUAL_USE</t>
        </is>
      </c>
      <c r="AJ236" t="inlineStr">
        <is>
          <t>B</t>
        </is>
      </c>
      <c r="AK236" t="inlineStr">
        <is>
          <t>核心对象：产品口味；体验：ACTUAL_USE；证据强度：B。</t>
        </is>
      </c>
      <c r="AL236"/>
      <c r="AM236" t="inlineStr">
        <is>
          <t>ANALYSIS_DEMO_DELTA_20.xlsx</t>
        </is>
      </c>
    </row>
    <row r="237" ht="25.5" customHeight="1">
      <c r="A237" t="inlineStr">
        <is>
          <t>MJ-RAW-0013_ANALYSIS_DEMO_DELTA_formal-attempt-0001_AI</t>
        </is>
      </c>
      <c r="B237" t="inlineStr">
        <is>
          <t>自己泡的梅酒、国外的梅酒、梅见都试过，梅见我的口粮酒了。说是用了什么露酒的生产工艺，入口很顺，高粱酒的香味也够，我感觉没有你说的这么差😂。我自己泡的会有点反苦倒是真的，昆竹没试过，没听过这个牌子。</t>
        </is>
      </c>
      <c r="C237"/>
      <c r="D237"/>
      <c r="E237"/>
      <c r="F237"/>
      <c r="G237"/>
      <c r="H237"/>
      <c r="I237"/>
      <c r="J237"/>
      <c r="K237"/>
      <c r="L237"/>
      <c r="M237"/>
      <c r="N237"/>
      <c r="O237"/>
      <c r="P237"/>
      <c r="Q237"/>
      <c r="R237"/>
      <c r="S237">
        <v>0.9</v>
      </c>
      <c r="T237" t="inlineStr">
        <is>
          <t>formal-attempt-0001</t>
        </is>
      </c>
      <c r="U237"/>
      <c r="V237"/>
      <c r="W237"/>
      <c r="X237" t="inlineStr">
        <is>
          <t>MJ-RAW-0013</t>
        </is>
      </c>
      <c r="Y237"/>
      <c r="Z237"/>
      <c r="AA237"/>
      <c r="AB237"/>
      <c r="AC237"/>
      <c r="AD237"/>
      <c r="AE237"/>
      <c r="AF237" t="inlineStr">
        <is>
          <t>AI</t>
        </is>
      </c>
      <c r="AG237" t="inlineStr">
        <is>
          <t>ANALYSIS_DEMO_DELTA</t>
        </is>
      </c>
      <c r="AH237" t="inlineStr">
        <is>
          <t>PRODUCT</t>
        </is>
      </c>
      <c r="AI237" t="inlineStr">
        <is>
          <t>ACTUAL_USE</t>
        </is>
      </c>
      <c r="AJ237" t="inlineStr">
        <is>
          <t>A</t>
        </is>
      </c>
      <c r="AK237" t="inlineStr">
        <is>
          <t>核心对象：产品口感；体验：ACTUAL_USE；证据强度：A。</t>
        </is>
      </c>
      <c r="AL237"/>
      <c r="AM237" t="inlineStr">
        <is>
          <t>ANALYSIS_DEMO_DELTA_20.xlsx</t>
        </is>
      </c>
    </row>
    <row r="238" ht="25.5" customHeight="1">
      <c r="A238" t="inlineStr">
        <is>
          <t>MJ-RAW-0034_ANALYSIS_DEMO_DELTA_formal-attempt-0001_AI</t>
        </is>
      </c>
      <c r="B238" t="inlineStr">
        <is>
          <t>对于不能喝酒的小白来说应该还行吧，个人觉得甜度太大了</t>
        </is>
      </c>
      <c r="C238"/>
      <c r="D238"/>
      <c r="E238"/>
      <c r="F238"/>
      <c r="G238"/>
      <c r="H238"/>
      <c r="I238"/>
      <c r="J238"/>
      <c r="K238"/>
      <c r="L238"/>
      <c r="M238"/>
      <c r="N238"/>
      <c r="O238"/>
      <c r="P238"/>
      <c r="Q238"/>
      <c r="R238"/>
      <c r="S238">
        <v>0.9</v>
      </c>
      <c r="T238" t="inlineStr">
        <is>
          <t>formal-attempt-0001</t>
        </is>
      </c>
      <c r="U238"/>
      <c r="V238"/>
      <c r="W238"/>
      <c r="X238" t="inlineStr">
        <is>
          <t>MJ-RAW-0034</t>
        </is>
      </c>
      <c r="Y238"/>
      <c r="Z238"/>
      <c r="AA238"/>
      <c r="AB238"/>
      <c r="AC238"/>
      <c r="AD238"/>
      <c r="AE238"/>
      <c r="AF238" t="inlineStr">
        <is>
          <t>AI</t>
        </is>
      </c>
      <c r="AG238" t="inlineStr">
        <is>
          <t>ANALYSIS_DEMO_DELTA</t>
        </is>
      </c>
      <c r="AH238" t="inlineStr">
        <is>
          <t>PRODUCT</t>
        </is>
      </c>
      <c r="AI238" t="inlineStr">
        <is>
          <t>ACTUAL_USE</t>
        </is>
      </c>
      <c r="AJ238" t="inlineStr">
        <is>
          <t>B</t>
        </is>
      </c>
      <c r="AK238" t="inlineStr">
        <is>
          <t>核心对象：产品甜度；体验：ACTUAL_USE；证据强度：B。</t>
        </is>
      </c>
      <c r="AL238"/>
      <c r="AM238" t="inlineStr">
        <is>
          <t>ANALYSIS_DEMO_DELTA_20.xlsx</t>
        </is>
      </c>
    </row>
    <row r="239" ht="25.5" customHeight="1">
      <c r="A239" t="inlineStr">
        <is>
          <t>MJ-RAW-0042_ANALYSIS_DEMO_DELTA_formal-attempt-0001_AI</t>
        </is>
      </c>
      <c r="B239" t="inlineStr">
        <is>
          <t>哥 我来了 梅见空口喝就好喝 兑葡萄味的气泡水和养乐多也不错 推荐</t>
        </is>
      </c>
      <c r="C239"/>
      <c r="D239"/>
      <c r="E239"/>
      <c r="F239"/>
      <c r="G239"/>
      <c r="H239"/>
      <c r="I239"/>
      <c r="J239"/>
      <c r="K239"/>
      <c r="L239"/>
      <c r="M239"/>
      <c r="N239"/>
      <c r="O239"/>
      <c r="P239"/>
      <c r="Q239"/>
      <c r="R239"/>
      <c r="S239">
        <v>0.9</v>
      </c>
      <c r="T239" t="inlineStr">
        <is>
          <t>formal-attempt-0001</t>
        </is>
      </c>
      <c r="U239"/>
      <c r="V239"/>
      <c r="W239"/>
      <c r="X239" t="inlineStr">
        <is>
          <t>MJ-RAW-0042</t>
        </is>
      </c>
      <c r="Y239"/>
      <c r="Z239"/>
      <c r="AA239"/>
      <c r="AB239"/>
      <c r="AC239"/>
      <c r="AD239"/>
      <c r="AE239"/>
      <c r="AF239" t="inlineStr">
        <is>
          <t>AI</t>
        </is>
      </c>
      <c r="AG239" t="inlineStr">
        <is>
          <t>ANALYSIS_DEMO_DELTA</t>
        </is>
      </c>
      <c r="AH239" t="inlineStr">
        <is>
          <t>PRODUCT</t>
        </is>
      </c>
      <c r="AI239" t="inlineStr">
        <is>
          <t>ACTUAL_USE</t>
        </is>
      </c>
      <c r="AJ239" t="inlineStr">
        <is>
          <t>A</t>
        </is>
      </c>
      <c r="AK239" t="inlineStr">
        <is>
          <t>核心对象：产品口感与调饮结果；体验：ACTUAL_USE；证据强度：A。</t>
        </is>
      </c>
      <c r="AL239"/>
      <c r="AM239" t="inlineStr">
        <is>
          <t>ANALYSIS_DEMO_DELTA_20.xlsx</t>
        </is>
      </c>
    </row>
    <row r="240" ht="25.5" customHeight="1">
      <c r="A240" t="inlineStr">
        <is>
          <t>MJ-RAW-0043_ANALYSIS_DEMO_DELTA_formal-attempt-0001_AI</t>
        </is>
      </c>
      <c r="B240" t="inlineStr">
        <is>
          <t>1.水溶c+茉莉花茶+梅见 比例1:1:1</t>
        </is>
      </c>
      <c r="C240"/>
      <c r="D240"/>
      <c r="E240"/>
      <c r="F240"/>
      <c r="G240"/>
      <c r="H240"/>
      <c r="I240"/>
      <c r="J240"/>
      <c r="K240"/>
      <c r="L240"/>
      <c r="M240"/>
      <c r="N240"/>
      <c r="O240"/>
      <c r="P240"/>
      <c r="Q240"/>
      <c r="R240"/>
      <c r="S240">
        <v>0.9</v>
      </c>
      <c r="T240" t="inlineStr">
        <is>
          <t>formal-attempt-0001</t>
        </is>
      </c>
      <c r="U240"/>
      <c r="V240"/>
      <c r="W240"/>
      <c r="X240" t="inlineStr">
        <is>
          <t>MJ-RAW-0043</t>
        </is>
      </c>
      <c r="Y240"/>
      <c r="Z240"/>
      <c r="AA240"/>
      <c r="AB240"/>
      <c r="AC240"/>
      <c r="AD240"/>
      <c r="AE240"/>
      <c r="AF240" t="inlineStr">
        <is>
          <t>AI</t>
        </is>
      </c>
      <c r="AG240" t="inlineStr">
        <is>
          <t>ANALYSIS_DEMO_DELTA</t>
        </is>
      </c>
      <c r="AH240" t="inlineStr">
        <is>
          <t>SCENE</t>
        </is>
      </c>
      <c r="AI240" t="inlineStr">
        <is>
          <t>UNKNOWN</t>
        </is>
      </c>
      <c r="AJ240" t="inlineStr">
        <is>
          <t>C</t>
        </is>
      </c>
      <c r="AK240" t="inlineStr">
        <is>
          <t>核心对象：饮用方式；体验：UNKNOWN；证据强度：C。</t>
        </is>
      </c>
      <c r="AL240"/>
      <c r="AM240" t="inlineStr">
        <is>
          <t>ANALYSIS_DEMO_DELTA_20.xlsx</t>
        </is>
      </c>
    </row>
    <row r="241" ht="25.5" customHeight="1">
      <c r="A241" t="inlineStr">
        <is>
          <t>XHS-SOC-0034_ANALYSIS_DEMO_DELTA_formal-attempt-0001_AI</t>
        </is>
      </c>
      <c r="B241" t="inlineStr">
        <is>
          <t>原来这种调酒都是酒50饮料200我一比一调的我说怎么不好喝</t>
        </is>
      </c>
      <c r="C241"/>
      <c r="D241"/>
      <c r="E241"/>
      <c r="F241"/>
      <c r="G241"/>
      <c r="H241"/>
      <c r="I241"/>
      <c r="J241"/>
      <c r="K241"/>
      <c r="L241"/>
      <c r="M241"/>
      <c r="N241"/>
      <c r="O241"/>
      <c r="P241"/>
      <c r="Q241"/>
      <c r="R241"/>
      <c r="S241">
        <v>0.9</v>
      </c>
      <c r="T241" t="inlineStr">
        <is>
          <t>formal-attempt-0001</t>
        </is>
      </c>
      <c r="U241"/>
      <c r="V241"/>
      <c r="W241"/>
      <c r="X241" t="inlineStr">
        <is>
          <t>XHS-SOC-0034</t>
        </is>
      </c>
      <c r="Y241"/>
      <c r="Z241"/>
      <c r="AA241"/>
      <c r="AB241"/>
      <c r="AC241"/>
      <c r="AD241"/>
      <c r="AE241"/>
      <c r="AF241" t="inlineStr">
        <is>
          <t>AI</t>
        </is>
      </c>
      <c r="AG241" t="inlineStr">
        <is>
          <t>ANALYSIS_DEMO_DELTA</t>
        </is>
      </c>
      <c r="AH241" t="inlineStr">
        <is>
          <t>PRODUCT</t>
        </is>
      </c>
      <c r="AI241" t="inlineStr">
        <is>
          <t>ACTUAL_USE</t>
        </is>
      </c>
      <c r="AJ241" t="inlineStr">
        <is>
          <t>A</t>
        </is>
      </c>
      <c r="AK241" t="inlineStr">
        <is>
          <t>核心对象：调饮结果；体验：ACTUAL_USE；证据强度：A。</t>
        </is>
      </c>
      <c r="AL241"/>
      <c r="AM241" t="inlineStr">
        <is>
          <t>ANALYSIS_DEMO_DELTA_20.xlsx</t>
        </is>
      </c>
    </row>
    <row r="242" ht="25.5" customHeight="1">
      <c r="A242" t="inlineStr">
        <is>
          <t>XHS-SOC-0038_ANALYSIS_DEMO_DELTA_formal-attempt-0001_AI</t>
        </is>
      </c>
      <c r="B242" t="inlineStr">
        <is>
          <t>茉莉蜜茶，4:1，或者3:2，喝起来特别清爽</t>
        </is>
      </c>
      <c r="C242"/>
      <c r="D242"/>
      <c r="E242"/>
      <c r="F242"/>
      <c r="G242"/>
      <c r="H242"/>
      <c r="I242"/>
      <c r="J242"/>
      <c r="K242"/>
      <c r="L242"/>
      <c r="M242"/>
      <c r="N242"/>
      <c r="O242"/>
      <c r="P242"/>
      <c r="Q242"/>
      <c r="R242"/>
      <c r="S242">
        <v>0.9</v>
      </c>
      <c r="T242" t="inlineStr">
        <is>
          <t>formal-attempt-0001</t>
        </is>
      </c>
      <c r="U242"/>
      <c r="V242"/>
      <c r="W242"/>
      <c r="X242" t="inlineStr">
        <is>
          <t>XHS-SOC-0038</t>
        </is>
      </c>
      <c r="Y242"/>
      <c r="Z242"/>
      <c r="AA242"/>
      <c r="AB242"/>
      <c r="AC242"/>
      <c r="AD242"/>
      <c r="AE242"/>
      <c r="AF242" t="inlineStr">
        <is>
          <t>AI</t>
        </is>
      </c>
      <c r="AG242" t="inlineStr">
        <is>
          <t>ANALYSIS_DEMO_DELTA</t>
        </is>
      </c>
      <c r="AH242" t="inlineStr">
        <is>
          <t>PRODUCT</t>
        </is>
      </c>
      <c r="AI242" t="inlineStr">
        <is>
          <t>ACTUAL_USE</t>
        </is>
      </c>
      <c r="AJ242" t="inlineStr">
        <is>
          <t>A</t>
        </is>
      </c>
      <c r="AK242" t="inlineStr">
        <is>
          <t>核心对象：调饮结果；体验：ACTUAL_USE；证据强度：A。</t>
        </is>
      </c>
      <c r="AL242"/>
      <c r="AM242" t="inlineStr">
        <is>
          <t>ANALYSIS_DEMO_DELTA_20.xlsx</t>
        </is>
      </c>
    </row>
    <row r="243" ht="25.5" customHeight="1">
      <c r="A243" t="inlineStr">
        <is>
          <t>XHS-SOC-0247_ANALYSIS_DEMO_DELTA_formal-attempt-0001_AI</t>
        </is>
      </c>
      <c r="B243" t="inlineStr">
        <is>
          <t>梅见和养乐多兑有点不对劲，有点乳清分离</t>
        </is>
      </c>
      <c r="C243"/>
      <c r="D243"/>
      <c r="E243"/>
      <c r="F243"/>
      <c r="G243"/>
      <c r="H243"/>
      <c r="I243"/>
      <c r="J243"/>
      <c r="K243"/>
      <c r="L243"/>
      <c r="M243"/>
      <c r="N243"/>
      <c r="O243"/>
      <c r="P243"/>
      <c r="Q243"/>
      <c r="R243"/>
      <c r="S243">
        <v>0.9</v>
      </c>
      <c r="T243" t="inlineStr">
        <is>
          <t>formal-attempt-0001</t>
        </is>
      </c>
      <c r="U243"/>
      <c r="V243"/>
      <c r="W243"/>
      <c r="X243" t="inlineStr">
        <is>
          <t>XHS-SOC-0247</t>
        </is>
      </c>
      <c r="Y243"/>
      <c r="Z243"/>
      <c r="AA243"/>
      <c r="AB243"/>
      <c r="AC243"/>
      <c r="AD243"/>
      <c r="AE243"/>
      <c r="AF243" t="inlineStr">
        <is>
          <t>AI</t>
        </is>
      </c>
      <c r="AG243" t="inlineStr">
        <is>
          <t>ANALYSIS_DEMO_DELTA</t>
        </is>
      </c>
      <c r="AH243" t="inlineStr">
        <is>
          <t>PRODUCT</t>
        </is>
      </c>
      <c r="AI243" t="inlineStr">
        <is>
          <t>ACTUAL_USE</t>
        </is>
      </c>
      <c r="AJ243" t="inlineStr">
        <is>
          <t>A</t>
        </is>
      </c>
      <c r="AK243" t="inlineStr">
        <is>
          <t>核心对象：调饮结果；体验：ACTUAL_USE；证据强度：A。</t>
        </is>
      </c>
      <c r="AL243"/>
      <c r="AM243" t="inlineStr">
        <is>
          <t>ANALYSIS_DEMO_DELTA_20.xlsx</t>
        </is>
      </c>
    </row>
    <row r="244" ht="25.5" customHeight="1">
      <c r="A244" t="inlineStr">
        <is>
          <t>JD-20260809-005_ANALYSIS_DEMO_DELTA_formal-attempt-0001_AI</t>
        </is>
      </c>
      <c r="B244" t="inlineStr">
        <is>
          <t>以前吃日料总是习惯配清酒，
自打吃了一次居酒屋搭配了这款梅酒
感觉是解锁了新技能
冰球配梅酒，随着冰的溶解，梅酒的风味
也想茶一样会有渐变 值得推荐</t>
        </is>
      </c>
      <c r="C244"/>
      <c r="D244"/>
      <c r="E244"/>
      <c r="F244"/>
      <c r="G244"/>
      <c r="H244"/>
      <c r="I244"/>
      <c r="J244"/>
      <c r="K244"/>
      <c r="L244"/>
      <c r="M244"/>
      <c r="N244"/>
      <c r="O244"/>
      <c r="P244"/>
      <c r="Q244"/>
      <c r="R244"/>
      <c r="S244">
        <v>0.9</v>
      </c>
      <c r="T244" t="inlineStr">
        <is>
          <t>formal-attempt-0001</t>
        </is>
      </c>
      <c r="U244"/>
      <c r="V244"/>
      <c r="W244"/>
      <c r="X244" t="inlineStr">
        <is>
          <t>JD-20260809-005</t>
        </is>
      </c>
      <c r="Y244"/>
      <c r="Z244"/>
      <c r="AA244"/>
      <c r="AB244"/>
      <c r="AC244"/>
      <c r="AD244"/>
      <c r="AE244"/>
      <c r="AF244" t="inlineStr">
        <is>
          <t>AI</t>
        </is>
      </c>
      <c r="AG244" t="inlineStr">
        <is>
          <t>ANALYSIS_DEMO_DELTA</t>
        </is>
      </c>
      <c r="AH244" t="inlineStr">
        <is>
          <t>SCENE</t>
        </is>
      </c>
      <c r="AI244" t="inlineStr">
        <is>
          <t>ACTUAL_USE</t>
        </is>
      </c>
      <c r="AJ244" t="inlineStr">
        <is>
          <t>A</t>
        </is>
      </c>
      <c r="AK244" t="inlineStr">
        <is>
          <t>核心对象：用餐搭配场景；体验：ACTUAL_USE；证据强度：A。</t>
        </is>
      </c>
      <c r="AL244"/>
      <c r="AM244" t="inlineStr">
        <is>
          <t>ANALYSIS_DEMO_DELTA_20.xlsx</t>
        </is>
      </c>
    </row>
    <row r="245" ht="25.5" customHeight="1">
      <c r="A245" t="inlineStr">
        <is>
          <t>MJ-RAW-0004_ANALYSIS_DEMO_DELTA_formal-attempt-0001_AI</t>
        </is>
      </c>
      <c r="B245" t="inlineStr">
        <is>
          <t>"梅见的青梅酒很烂 虽然说便宜 但是高度高粱酒的基酒辣嗓子 高度蒸馏直接盖过去 而且苦涩 入口没有任何融合
推荐昆竹牌三得利古越龙山 都碾压梅见"“[捂脸R]反正当时买完打开一瞬间的很后悔就是了”</t>
        </is>
      </c>
      <c r="C245"/>
      <c r="D245"/>
      <c r="E245"/>
      <c r="F245"/>
      <c r="G245"/>
      <c r="H245"/>
      <c r="I245"/>
      <c r="J245"/>
      <c r="K245"/>
      <c r="L245"/>
      <c r="M245"/>
      <c r="N245"/>
      <c r="O245"/>
      <c r="P245"/>
      <c r="Q245"/>
      <c r="R245"/>
      <c r="S245">
        <v>0.9</v>
      </c>
      <c r="T245" t="inlineStr">
        <is>
          <t>formal-attempt-0001</t>
        </is>
      </c>
      <c r="U245"/>
      <c r="V245"/>
      <c r="W245"/>
      <c r="X245" t="inlineStr">
        <is>
          <t>MJ-RAW-0004</t>
        </is>
      </c>
      <c r="Y245"/>
      <c r="Z245"/>
      <c r="AA245"/>
      <c r="AB245"/>
      <c r="AC245"/>
      <c r="AD245"/>
      <c r="AE245"/>
      <c r="AF245" t="inlineStr">
        <is>
          <t>AI</t>
        </is>
      </c>
      <c r="AG245" t="inlineStr">
        <is>
          <t>ANALYSIS_DEMO_DELTA</t>
        </is>
      </c>
      <c r="AH245" t="inlineStr">
        <is>
          <t>COMPETITOR</t>
        </is>
      </c>
      <c r="AI245" t="inlineStr">
        <is>
          <t>ACTUAL_USE</t>
        </is>
      </c>
      <c r="AJ245" t="inlineStr">
        <is>
          <t>A</t>
        </is>
      </c>
      <c r="AK245" t="inlineStr">
        <is>
          <t>核心对象：竞品比较；体验：ACTUAL_USE；证据强度：A。</t>
        </is>
      </c>
      <c r="AL245"/>
      <c r="AM245" t="inlineStr">
        <is>
          <t>ANALYSIS_DEMO_DELTA_20.xlsx</t>
        </is>
      </c>
    </row>
    <row r="246" ht="25.5" customHeight="1">
      <c r="A246" t="inlineStr">
        <is>
          <t>XHS-SOC-0017_ANALYSIS_DEMO_DELTA_formal-attempt-0001_AI</t>
        </is>
      </c>
      <c r="B246" t="inlineStr">
        <is>
          <t>昆竹牌！广东龙门这边生产的真的很好喝，冰一下喝绝了，我觉得比梅见好喝</t>
        </is>
      </c>
      <c r="C246"/>
      <c r="D246"/>
      <c r="E246"/>
      <c r="F246"/>
      <c r="G246"/>
      <c r="H246"/>
      <c r="I246"/>
      <c r="J246"/>
      <c r="K246"/>
      <c r="L246"/>
      <c r="M246"/>
      <c r="N246"/>
      <c r="O246"/>
      <c r="P246"/>
      <c r="Q246"/>
      <c r="R246"/>
      <c r="S246">
        <v>0.9</v>
      </c>
      <c r="T246" t="inlineStr">
        <is>
          <t>formal-attempt-0001</t>
        </is>
      </c>
      <c r="U246"/>
      <c r="V246"/>
      <c r="W246"/>
      <c r="X246" t="inlineStr">
        <is>
          <t>XHS-SOC-0017</t>
        </is>
      </c>
      <c r="Y246"/>
      <c r="Z246"/>
      <c r="AA246"/>
      <c r="AB246"/>
      <c r="AC246"/>
      <c r="AD246"/>
      <c r="AE246"/>
      <c r="AF246" t="inlineStr">
        <is>
          <t>AI</t>
        </is>
      </c>
      <c r="AG246" t="inlineStr">
        <is>
          <t>ANALYSIS_DEMO_DELTA</t>
        </is>
      </c>
      <c r="AH246" t="inlineStr">
        <is>
          <t>COMPETITOR</t>
        </is>
      </c>
      <c r="AI246" t="inlineStr">
        <is>
          <t>ACTUAL_USE</t>
        </is>
      </c>
      <c r="AJ246" t="inlineStr">
        <is>
          <t>A</t>
        </is>
      </c>
      <c r="AK246" t="inlineStr">
        <is>
          <t>核心对象：竞品比较；体验：ACTUAL_USE；证据强度：A。</t>
        </is>
      </c>
      <c r="AL246"/>
      <c r="AM246" t="inlineStr">
        <is>
          <t>ANALYSIS_DEMO_DELTA_20.xlsx</t>
        </is>
      </c>
    </row>
    <row r="247" ht="25.5" customHeight="1">
      <c r="A247" t="inlineStr">
        <is>
          <t>JD-20260809-041_ANALYSIS_DEMO_DELTA_formal-attempt-0001_AI</t>
        </is>
      </c>
      <c r="B247" t="inlineStr">
        <is>
          <t>还行有点小辣酒的味道兑饮料还不错
比梅见酒味淡一点，不过好像更甜一点
好喝不上头，推荐推荐多次回购了 家里老人挺喜欢的 也很上档次</t>
        </is>
      </c>
      <c r="C247"/>
      <c r="D247"/>
      <c r="E247"/>
      <c r="F247"/>
      <c r="G247"/>
      <c r="H247"/>
      <c r="I247"/>
      <c r="J247"/>
      <c r="K247"/>
      <c r="L247"/>
      <c r="M247"/>
      <c r="N247"/>
      <c r="O247"/>
      <c r="P247"/>
      <c r="Q247"/>
      <c r="R247"/>
      <c r="S247">
        <v>0.9</v>
      </c>
      <c r="T247" t="inlineStr">
        <is>
          <t>formal-attempt-0001</t>
        </is>
      </c>
      <c r="U247"/>
      <c r="V247"/>
      <c r="W247"/>
      <c r="X247" t="inlineStr">
        <is>
          <t>JD-20260809-041</t>
        </is>
      </c>
      <c r="Y247"/>
      <c r="Z247"/>
      <c r="AA247"/>
      <c r="AB247"/>
      <c r="AC247"/>
      <c r="AD247"/>
      <c r="AE247"/>
      <c r="AF247" t="inlineStr">
        <is>
          <t>AI</t>
        </is>
      </c>
      <c r="AG247" t="inlineStr">
        <is>
          <t>ANALYSIS_DEMO_DELTA</t>
        </is>
      </c>
      <c r="AH247" t="inlineStr">
        <is>
          <t>PRODUCT</t>
        </is>
      </c>
      <c r="AI247" t="inlineStr">
        <is>
          <t>ACTUAL_USE</t>
        </is>
      </c>
      <c r="AJ247" t="inlineStr">
        <is>
          <t>A</t>
        </is>
      </c>
      <c r="AK247" t="inlineStr">
        <is>
          <t>核心对象：产品口味与饮用体验；体验：ACTUAL_USE；证据强度：A。</t>
        </is>
      </c>
      <c r="AL247"/>
      <c r="AM247" t="inlineStr">
        <is>
          <t>ANALYSIS_DEMO_DELTA_20.xlsx</t>
        </is>
      </c>
    </row>
    <row r="248" ht="25.5" customHeight="1">
      <c r="A248" t="inlineStr">
        <is>
          <t>XHS-SOC-0046_ANALYSIS_DEMO_DELTA_formal-attempt-0001_AI</t>
        </is>
      </c>
      <c r="B248" t="inlineStr">
        <is>
          <t>昆竹白金版，或者进口俏雅。但是，都太甜，必须加冰喝。和自己泡的还是差太远。</t>
        </is>
      </c>
      <c r="C248"/>
      <c r="D248"/>
      <c r="E248"/>
      <c r="F248"/>
      <c r="G248"/>
      <c r="H248"/>
      <c r="I248"/>
      <c r="J248"/>
      <c r="K248"/>
      <c r="L248"/>
      <c r="M248"/>
      <c r="N248"/>
      <c r="O248"/>
      <c r="P248"/>
      <c r="Q248"/>
      <c r="R248"/>
      <c r="S248">
        <v>0.9</v>
      </c>
      <c r="T248" t="inlineStr">
        <is>
          <t>formal-attempt-0001</t>
        </is>
      </c>
      <c r="U248"/>
      <c r="V248"/>
      <c r="W248"/>
      <c r="X248" t="inlineStr">
        <is>
          <t>XHS-SOC-0046</t>
        </is>
      </c>
      <c r="Y248"/>
      <c r="Z248"/>
      <c r="AA248"/>
      <c r="AB248"/>
      <c r="AC248"/>
      <c r="AD248"/>
      <c r="AE248"/>
      <c r="AF248" t="inlineStr">
        <is>
          <t>AI</t>
        </is>
      </c>
      <c r="AG248" t="inlineStr">
        <is>
          <t>ANALYSIS_DEMO_DELTA</t>
        </is>
      </c>
      <c r="AH248" t="inlineStr">
        <is>
          <t>COMPETITOR</t>
        </is>
      </c>
      <c r="AI248" t="inlineStr">
        <is>
          <t>ACTUAL_USE</t>
        </is>
      </c>
      <c r="AJ248" t="inlineStr">
        <is>
          <t>A</t>
        </is>
      </c>
      <c r="AK248" t="inlineStr">
        <is>
          <t>核心对象：竞品与替代选择比较；体验：ACTUAL_USE；证据强度：A。</t>
        </is>
      </c>
      <c r="AL248"/>
      <c r="AM248" t="inlineStr">
        <is>
          <t>ANALYSIS_DEMO_DELTA_20.xlsx</t>
        </is>
      </c>
    </row>
    <row r="249" ht="25.5" customHeight="1">
      <c r="A249" t="inlineStr">
        <is>
          <t>MJ-RAW-0096_ANALYSIS_DEMO_DELTA_formal-attempt-0001_AI</t>
        </is>
      </c>
      <c r="B249" t="inlineStr">
        <is>
          <t>没骗人！choya的梅子酒好好喝！
看热烈欢迎里面侯佩岑推荐的choya的梅子酒兑气泡水，被种草了马上试试！对于我这种喝酒小白超级好接受！梅子酒酸酸甜甜的，苏打水有一定程度的中和了它的酒味~尊嘟好好喝！</t>
        </is>
      </c>
      <c r="C249"/>
      <c r="D249"/>
      <c r="E249"/>
      <c r="F249"/>
      <c r="G249"/>
      <c r="H249"/>
      <c r="I249"/>
      <c r="J249"/>
      <c r="K249"/>
      <c r="L249"/>
      <c r="M249"/>
      <c r="N249"/>
      <c r="O249"/>
      <c r="P249"/>
      <c r="Q249"/>
      <c r="R249"/>
      <c r="S249">
        <v>0.9</v>
      </c>
      <c r="T249" t="inlineStr">
        <is>
          <t>formal-attempt-0001</t>
        </is>
      </c>
      <c r="U249"/>
      <c r="V249"/>
      <c r="W249"/>
      <c r="X249" t="inlineStr">
        <is>
          <t>MJ-RAW-0096</t>
        </is>
      </c>
      <c r="Y249"/>
      <c r="Z249"/>
      <c r="AA249"/>
      <c r="AB249"/>
      <c r="AC249"/>
      <c r="AD249"/>
      <c r="AE249"/>
      <c r="AF249" t="inlineStr">
        <is>
          <t>AI</t>
        </is>
      </c>
      <c r="AG249" t="inlineStr">
        <is>
          <t>ANALYSIS_DEMO_DELTA</t>
        </is>
      </c>
      <c r="AH249" t="inlineStr">
        <is>
          <t>PRODUCT</t>
        </is>
      </c>
      <c r="AI249" t="inlineStr">
        <is>
          <t>ACTUAL_USE</t>
        </is>
      </c>
      <c r="AJ249" t="inlineStr">
        <is>
          <t>A</t>
        </is>
      </c>
      <c r="AK249" t="inlineStr">
        <is>
          <t>核心对象：产品口味与调饮结果；体验：ACTUAL_USE；证据强度：A。</t>
        </is>
      </c>
      <c r="AL249"/>
      <c r="AM249" t="inlineStr">
        <is>
          <t>ANALYSIS_DEMO_DELTA_20.xlsx</t>
        </is>
      </c>
    </row>
    <row r="250" ht="25.5" customHeight="1">
      <c r="A250" t="inlineStr">
        <is>
          <t>JD-20260809-004_ANALYSIS_DEMO_DELTA_formal-attempt-0001_AI</t>
        </is>
      </c>
      <c r="B250" t="inlineStr">
        <is>
          <t>此款本格俏雅梅酒，第一次喝到朋友送的这款酒，一下子就喜欢上了，酸甜平衡，酒精度刚刚好，入口顺滑，梅香馥郁不上头。已多次回购。</t>
        </is>
      </c>
      <c r="C250"/>
      <c r="D250"/>
      <c r="E250"/>
      <c r="F250"/>
      <c r="G250"/>
      <c r="H250"/>
      <c r="I250"/>
      <c r="J250"/>
      <c r="K250"/>
      <c r="L250"/>
      <c r="M250"/>
      <c r="N250"/>
      <c r="O250"/>
      <c r="P250"/>
      <c r="Q250"/>
      <c r="R250"/>
      <c r="S250">
        <v>0.9</v>
      </c>
      <c r="T250" t="inlineStr">
        <is>
          <t>formal-attempt-0001</t>
        </is>
      </c>
      <c r="U250"/>
      <c r="V250"/>
      <c r="W250"/>
      <c r="X250" t="inlineStr">
        <is>
          <t>JD-20260809-004</t>
        </is>
      </c>
      <c r="Y250"/>
      <c r="Z250"/>
      <c r="AA250"/>
      <c r="AB250"/>
      <c r="AC250"/>
      <c r="AD250"/>
      <c r="AE250"/>
      <c r="AF250" t="inlineStr">
        <is>
          <t>AI</t>
        </is>
      </c>
      <c r="AG250" t="inlineStr">
        <is>
          <t>ANALYSIS_DEMO_DELTA</t>
        </is>
      </c>
      <c r="AH250" t="inlineStr">
        <is>
          <t>PRODUCT</t>
        </is>
      </c>
      <c r="AI250" t="inlineStr">
        <is>
          <t>ACTUAL_USE</t>
        </is>
      </c>
      <c r="AJ250" t="inlineStr">
        <is>
          <t>A</t>
        </is>
      </c>
      <c r="AK250" t="inlineStr">
        <is>
          <t>核心对象：产品口味与饮用体验；体验：ACTUAL_USE；证据强度：A。</t>
        </is>
      </c>
      <c r="AL250"/>
      <c r="AM250" t="inlineStr">
        <is>
          <t>ANALYSIS_DEMO_DELTA_20.xlsx</t>
        </is>
      </c>
    </row>
    <row r="251" ht="25.5" customHeight="1">
      <c r="A251" t="inlineStr">
        <is>
          <t>DY-SOC-0052_CHALLENGE_POOL_formal-attempt-0001_AI</t>
        </is>
      </c>
      <c r="B251" t="inlineStr">
        <is>
          <t>好喝爱喝棒棒的感觉</t>
        </is>
      </c>
      <c r="C251"/>
      <c r="D251"/>
      <c r="E251"/>
      <c r="F251"/>
      <c r="G251"/>
      <c r="H251"/>
      <c r="I251"/>
      <c r="J251"/>
      <c r="K251"/>
      <c r="L251"/>
      <c r="M251"/>
      <c r="N251"/>
      <c r="O251"/>
      <c r="P251"/>
      <c r="Q251"/>
      <c r="R251"/>
      <c r="S251">
        <v>0.9</v>
      </c>
      <c r="T251" t="inlineStr">
        <is>
          <t>formal-attempt-0001</t>
        </is>
      </c>
      <c r="U251"/>
      <c r="V251"/>
      <c r="W251"/>
      <c r="X251" t="inlineStr">
        <is>
          <t>DY-SOC-0052</t>
        </is>
      </c>
      <c r="Y251"/>
      <c r="Z251"/>
      <c r="AA251"/>
      <c r="AB251"/>
      <c r="AC251"/>
      <c r="AD251"/>
      <c r="AE251"/>
      <c r="AF251" t="inlineStr">
        <is>
          <t>AI</t>
        </is>
      </c>
      <c r="AG251" t="inlineStr">
        <is>
          <t>CHALLENGE_POOL</t>
        </is>
      </c>
      <c r="AH251" t="inlineStr">
        <is>
          <t>PRODUCT</t>
        </is>
      </c>
      <c r="AI251" t="inlineStr">
        <is>
          <t>ACTUAL_USE</t>
        </is>
      </c>
      <c r="AJ251" t="inlineStr">
        <is>
          <t>C</t>
        </is>
      </c>
      <c r="AK251" t="inlineStr">
        <is>
          <t>核心对象：产品口味；体验：原文直接表达好喝和喜欢，判为 ACTUAL_USE；证据强度：仅有笼统正向判断，信息链不完整，判为 C。</t>
        </is>
      </c>
      <c r="AL251"/>
      <c r="AM251" t="inlineStr">
        <is>
          <t>CHALLENGE_POOL_60.xlsx</t>
        </is>
      </c>
    </row>
    <row r="252" ht="25.5" customHeight="1">
      <c r="A252" t="inlineStr">
        <is>
          <t>DY-SOC-0066_CHALLENGE_POOL_formal-attempt-0001_AI</t>
        </is>
      </c>
      <c r="B252" t="inlineStr">
        <is>
          <t>尝尝我们山东的特产三鞭补酒</t>
        </is>
      </c>
      <c r="C252"/>
      <c r="D252"/>
      <c r="E252"/>
      <c r="F252"/>
      <c r="G252"/>
      <c r="H252"/>
      <c r="I252"/>
      <c r="J252"/>
      <c r="K252"/>
      <c r="L252"/>
      <c r="M252"/>
      <c r="N252"/>
      <c r="O252"/>
      <c r="P252"/>
      <c r="Q252"/>
      <c r="R252"/>
      <c r="S252">
        <v>0.7</v>
      </c>
      <c r="T252" t="inlineStr">
        <is>
          <t>formal-attempt-0001</t>
        </is>
      </c>
      <c r="U252"/>
      <c r="V252"/>
      <c r="W252"/>
      <c r="X252" t="inlineStr">
        <is>
          <t>DY-SOC-0066</t>
        </is>
      </c>
      <c r="Y252"/>
      <c r="Z252"/>
      <c r="AA252"/>
      <c r="AB252"/>
      <c r="AC252"/>
      <c r="AD252"/>
      <c r="AE252"/>
      <c r="AF252" t="inlineStr">
        <is>
          <t>AI</t>
        </is>
      </c>
      <c r="AG252" t="inlineStr">
        <is>
          <t>CHALLENGE_POOL</t>
        </is>
      </c>
      <c r="AH252" t="inlineStr">
        <is>
          <t>COMPETITOR</t>
        </is>
      </c>
      <c r="AI252" t="inlineStr">
        <is>
          <t>UNKNOWN</t>
        </is>
      </c>
      <c r="AJ252" t="inlineStr">
        <is>
          <t>C</t>
        </is>
      </c>
      <c r="AK252" t="inlineStr">
        <is>
          <t>核心对象：三鞭补酒这一替代选择；体验：原文仅发出尝试建议，没有实际体验立场，判为 UNKNOWN；证据强度：仅有尝试建议，判为 C。</t>
        </is>
      </c>
      <c r="AL252"/>
      <c r="AM252" t="inlineStr">
        <is>
          <t>CHALLENGE_POOL_60.xlsx</t>
        </is>
      </c>
    </row>
    <row r="253" ht="25.5" customHeight="1">
      <c r="A253" t="inlineStr">
        <is>
          <t>DY-SOC-0070_CHALLENGE_POOL_formal-attempt-0001_AI</t>
        </is>
      </c>
      <c r="B253" t="inlineStr">
        <is>
          <t>你这个梅酒是330ml的吗</t>
        </is>
      </c>
      <c r="C253"/>
      <c r="D253"/>
      <c r="E253"/>
      <c r="F253"/>
      <c r="G253"/>
      <c r="H253"/>
      <c r="I253"/>
      <c r="J253"/>
      <c r="K253"/>
      <c r="L253"/>
      <c r="M253"/>
      <c r="N253"/>
      <c r="O253"/>
      <c r="P253"/>
      <c r="Q253"/>
      <c r="R253"/>
      <c r="S253">
        <v>0.9</v>
      </c>
      <c r="T253" t="inlineStr">
        <is>
          <t>formal-attempt-0001</t>
        </is>
      </c>
      <c r="U253"/>
      <c r="V253"/>
      <c r="W253"/>
      <c r="X253" t="inlineStr">
        <is>
          <t>DY-SOC-0070</t>
        </is>
      </c>
      <c r="Y253"/>
      <c r="Z253"/>
      <c r="AA253"/>
      <c r="AB253"/>
      <c r="AC253"/>
      <c r="AD253"/>
      <c r="AE253"/>
      <c r="AF253" t="inlineStr">
        <is>
          <t>AI</t>
        </is>
      </c>
      <c r="AG253" t="inlineStr">
        <is>
          <t>CHALLENGE_POOL</t>
        </is>
      </c>
      <c r="AH253" t="inlineStr">
        <is>
          <t>PRODUCT</t>
        </is>
      </c>
      <c r="AI253" t="inlineStr">
        <is>
          <t>UNKNOWN</t>
        </is>
      </c>
      <c r="AJ253" t="inlineStr">
        <is>
          <t>C</t>
        </is>
      </c>
      <c r="AK253" t="inlineStr">
        <is>
          <t>核心对象：产品规格；体验：原文仅询问容量，没有体验立场，判为 UNKNOWN；证据强度：仅有规格询问，没有完整评价判断，判为 C。</t>
        </is>
      </c>
      <c r="AL253"/>
      <c r="AM253" t="inlineStr">
        <is>
          <t>CHALLENGE_POOL_60.xlsx</t>
        </is>
      </c>
    </row>
    <row r="254" ht="25.5" customHeight="1">
      <c r="A254" t="inlineStr">
        <is>
          <t>DY-SOC-0106_CHALLENGE_POOL_formal-attempt-0001_AI</t>
        </is>
      </c>
      <c r="B254" t="inlineStr">
        <is>
          <t>刚刚喝完微醺了[捂脸]</t>
        </is>
      </c>
      <c r="C254"/>
      <c r="D254"/>
      <c r="E254"/>
      <c r="F254"/>
      <c r="G254"/>
      <c r="H254"/>
      <c r="I254"/>
      <c r="J254"/>
      <c r="K254"/>
      <c r="L254"/>
      <c r="M254"/>
      <c r="N254"/>
      <c r="O254"/>
      <c r="P254"/>
      <c r="Q254"/>
      <c r="R254"/>
      <c r="S254">
        <v>0.9</v>
      </c>
      <c r="T254" t="inlineStr">
        <is>
          <t>formal-attempt-0001</t>
        </is>
      </c>
      <c r="U254"/>
      <c r="V254"/>
      <c r="W254"/>
      <c r="X254" t="inlineStr">
        <is>
          <t>DY-SOC-0106</t>
        </is>
      </c>
      <c r="Y254"/>
      <c r="Z254"/>
      <c r="AA254"/>
      <c r="AB254"/>
      <c r="AC254"/>
      <c r="AD254"/>
      <c r="AE254"/>
      <c r="AF254" t="inlineStr">
        <is>
          <t>AI</t>
        </is>
      </c>
      <c r="AG254" t="inlineStr">
        <is>
          <t>CHALLENGE_POOL</t>
        </is>
      </c>
      <c r="AH254" t="inlineStr">
        <is>
          <t>SCENE</t>
        </is>
      </c>
      <c r="AI254" t="inlineStr">
        <is>
          <t>ACTUAL_USE</t>
        </is>
      </c>
      <c r="AJ254" t="inlineStr">
        <is>
          <t>B</t>
        </is>
      </c>
      <c r="AK254" t="inlineStr">
        <is>
          <t>核心对象：饮后微醺状态；体验：原文明确刚刚喝完并表达饮后状态，判为 ACTUAL_USE；证据强度：饮用与饮后感受明确，但缺少更完整的评价依据，判为 B。</t>
        </is>
      </c>
      <c r="AL254"/>
      <c r="AM254" t="inlineStr">
        <is>
          <t>CHALLENGE_POOL_60.xlsx</t>
        </is>
      </c>
    </row>
    <row r="255" ht="25.5" customHeight="1">
      <c r="A255" t="inlineStr">
        <is>
          <t>DY-SOC-0112_CHALLENGE_POOL_formal-attempt-0001_AI</t>
        </is>
      </c>
      <c r="B255" t="inlineStr">
        <is>
          <t>就喜欢这种微醺的感觉刚刚好</t>
        </is>
      </c>
      <c r="C255"/>
      <c r="D255"/>
      <c r="E255"/>
      <c r="F255"/>
      <c r="G255"/>
      <c r="H255"/>
      <c r="I255"/>
      <c r="J255"/>
      <c r="K255"/>
      <c r="L255"/>
      <c r="M255"/>
      <c r="N255"/>
      <c r="O255"/>
      <c r="P255"/>
      <c r="Q255"/>
      <c r="R255"/>
      <c r="S255">
        <v>0.9</v>
      </c>
      <c r="T255" t="inlineStr">
        <is>
          <t>formal-attempt-0001</t>
        </is>
      </c>
      <c r="U255"/>
      <c r="V255"/>
      <c r="W255"/>
      <c r="X255" t="inlineStr">
        <is>
          <t>DY-SOC-0112</t>
        </is>
      </c>
      <c r="Y255"/>
      <c r="Z255"/>
      <c r="AA255"/>
      <c r="AB255"/>
      <c r="AC255"/>
      <c r="AD255"/>
      <c r="AE255"/>
      <c r="AF255" t="inlineStr">
        <is>
          <t>AI</t>
        </is>
      </c>
      <c r="AG255" t="inlineStr">
        <is>
          <t>CHALLENGE_POOL</t>
        </is>
      </c>
      <c r="AH255" t="inlineStr">
        <is>
          <t>SCENE</t>
        </is>
      </c>
      <c r="AI255" t="inlineStr">
        <is>
          <t>ACTUAL_USE</t>
        </is>
      </c>
      <c r="AJ255" t="inlineStr">
        <is>
          <t>B</t>
        </is>
      </c>
      <c r="AK255" t="inlineStr">
        <is>
          <t>核心对象：饮后微醺状态；体验：原文直接表达对微醺感觉的喜爱，判为 ACTUAL_USE；证据强度：状态判断明确，但缺少具体情境或依据，判为 B。</t>
        </is>
      </c>
      <c r="AL255"/>
      <c r="AM255" t="inlineStr">
        <is>
          <t>CHALLENGE_POOL_60.xlsx</t>
        </is>
      </c>
    </row>
    <row r="256" ht="25.5" customHeight="1">
      <c r="A256" t="inlineStr">
        <is>
          <t>DY-SOC-0120_CHALLENGE_POOL_formal-attempt-0001_AI</t>
        </is>
      </c>
      <c r="B256" t="inlineStr">
        <is>
          <t>怎么才算是是酒桌文化我们领导和同事间聚餐都会喝点酒不过都是各人量力而行</t>
        </is>
      </c>
      <c r="C256"/>
      <c r="D256"/>
      <c r="E256"/>
      <c r="F256"/>
      <c r="G256"/>
      <c r="H256"/>
      <c r="I256"/>
      <c r="J256"/>
      <c r="K256"/>
      <c r="L256"/>
      <c r="M256"/>
      <c r="N256"/>
      <c r="O256"/>
      <c r="P256"/>
      <c r="Q256"/>
      <c r="R256"/>
      <c r="S256">
        <v>0.9</v>
      </c>
      <c r="T256" t="inlineStr">
        <is>
          <t>formal-attempt-0001</t>
        </is>
      </c>
      <c r="U256"/>
      <c r="V256"/>
      <c r="W256"/>
      <c r="X256" t="inlineStr">
        <is>
          <t>DY-SOC-0120</t>
        </is>
      </c>
      <c r="Y256"/>
      <c r="Z256"/>
      <c r="AA256"/>
      <c r="AB256"/>
      <c r="AC256"/>
      <c r="AD256"/>
      <c r="AE256"/>
      <c r="AF256" t="inlineStr">
        <is>
          <t>AI</t>
        </is>
      </c>
      <c r="AG256" t="inlineStr">
        <is>
          <t>CHALLENGE_POOL</t>
        </is>
      </c>
      <c r="AH256" t="inlineStr">
        <is>
          <t>SCENE</t>
        </is>
      </c>
      <c r="AI256" t="inlineStr">
        <is>
          <t>ACTUAL_USE</t>
        </is>
      </c>
      <c r="AJ256" t="inlineStr">
        <is>
          <t>A</t>
        </is>
      </c>
      <c r="AK256" t="inlineStr">
        <is>
          <t>核心对象：酒桌社会行为；体验：原文描述领导和同事聚餐饮酒并主张量力而行，判为 ACTUAL_USE；证据强度：对象、聚餐饮酒情境和判断均明确，信息链完整，判为 A。</t>
        </is>
      </c>
      <c r="AL256"/>
      <c r="AM256" t="inlineStr">
        <is>
          <t>CHALLENGE_POOL_60.xlsx</t>
        </is>
      </c>
    </row>
    <row r="257" ht="25.5" customHeight="1">
      <c r="A257" t="inlineStr">
        <is>
          <t>DY-SOC-0127_CHALLENGE_POOL_formal-attempt-0001_AI</t>
        </is>
      </c>
      <c r="B257" t="inlineStr">
        <is>
          <t>边吃火锅边喝酒夏天的终极意义</t>
        </is>
      </c>
      <c r="C257"/>
      <c r="D257"/>
      <c r="E257"/>
      <c r="F257"/>
      <c r="G257"/>
      <c r="H257"/>
      <c r="I257"/>
      <c r="J257"/>
      <c r="K257"/>
      <c r="L257"/>
      <c r="M257"/>
      <c r="N257"/>
      <c r="O257"/>
      <c r="P257"/>
      <c r="Q257"/>
      <c r="R257"/>
      <c r="S257">
        <v>0.9</v>
      </c>
      <c r="T257" t="inlineStr">
        <is>
          <t>formal-attempt-0001</t>
        </is>
      </c>
      <c r="U257"/>
      <c r="V257"/>
      <c r="W257"/>
      <c r="X257" t="inlineStr">
        <is>
          <t>DY-SOC-0127</t>
        </is>
      </c>
      <c r="Y257"/>
      <c r="Z257"/>
      <c r="AA257"/>
      <c r="AB257"/>
      <c r="AC257"/>
      <c r="AD257"/>
      <c r="AE257"/>
      <c r="AF257" t="inlineStr">
        <is>
          <t>AI</t>
        </is>
      </c>
      <c r="AG257" t="inlineStr">
        <is>
          <t>CHALLENGE_POOL</t>
        </is>
      </c>
      <c r="AH257" t="inlineStr">
        <is>
          <t>SCENE</t>
        </is>
      </c>
      <c r="AI257" t="inlineStr">
        <is>
          <t>UNKNOWN</t>
        </is>
      </c>
      <c r="AJ257" t="inlineStr">
        <is>
          <t>C</t>
        </is>
      </c>
      <c r="AK257" t="inlineStr">
        <is>
          <t>核心对象：边吃火锅边喝酒的饮用场景；体验：原文没有第一人称体验立场，判为 UNKNOWN；证据强度：以口号式概括表达场景，缺少可复核细节，判为 C。</t>
        </is>
      </c>
      <c r="AL257"/>
      <c r="AM257" t="inlineStr">
        <is>
          <t>CHALLENGE_POOL_60.xlsx</t>
        </is>
      </c>
    </row>
    <row r="258" ht="25.5" customHeight="1">
      <c r="A258" t="inlineStr">
        <is>
          <t>DY-SOC-0133_CHALLENGE_POOL_formal-attempt-0001_AI</t>
        </is>
      </c>
      <c r="B258" t="inlineStr">
        <is>
          <t>五粮液邓紫棋一见倾心那我真要买了</t>
        </is>
      </c>
      <c r="C258"/>
      <c r="D258"/>
      <c r="E258"/>
      <c r="F258"/>
      <c r="G258"/>
      <c r="H258"/>
      <c r="I258"/>
      <c r="J258"/>
      <c r="K258"/>
      <c r="L258"/>
      <c r="M258"/>
      <c r="N258"/>
      <c r="O258"/>
      <c r="P258"/>
      <c r="Q258"/>
      <c r="R258"/>
      <c r="S258">
        <v>0.9</v>
      </c>
      <c r="T258" t="inlineStr">
        <is>
          <t>formal-attempt-0001</t>
        </is>
      </c>
      <c r="U258"/>
      <c r="V258"/>
      <c r="W258"/>
      <c r="X258" t="inlineStr">
        <is>
          <t>DY-SOC-0133</t>
        </is>
      </c>
      <c r="Y258"/>
      <c r="Z258"/>
      <c r="AA258"/>
      <c r="AB258"/>
      <c r="AC258"/>
      <c r="AD258"/>
      <c r="AE258"/>
      <c r="AF258" t="inlineStr">
        <is>
          <t>AI</t>
        </is>
      </c>
      <c r="AG258" t="inlineStr">
        <is>
          <t>CHALLENGE_POOL</t>
        </is>
      </c>
      <c r="AH258" t="inlineStr">
        <is>
          <t>COMPETITOR</t>
        </is>
      </c>
      <c r="AI258" t="inlineStr">
        <is>
          <t>UNKNOWN</t>
        </is>
      </c>
      <c r="AJ258" t="inlineStr">
        <is>
          <t>C</t>
        </is>
      </c>
      <c r="AK258" t="inlineStr">
        <is>
          <t>核心对象：五粮液这一竞品选择；体验：原文仅表达将要购买，没有饮用体验立场，判为 UNKNOWN；证据强度：只有购买意向，判为 C。</t>
        </is>
      </c>
      <c r="AL258"/>
      <c r="AM258" t="inlineStr">
        <is>
          <t>CHALLENGE_POOL_60.xlsx</t>
        </is>
      </c>
    </row>
    <row r="259" ht="25.5" customHeight="1">
      <c r="A259" t="inlineStr">
        <is>
          <t>DY-SOC-0143_CHALLENGE_POOL_formal-attempt-0001_AI</t>
        </is>
      </c>
      <c r="B259" t="inlineStr">
        <is>
          <t>酒庄里5000个陶坛的壮观场面太震撼了</t>
        </is>
      </c>
      <c r="C259"/>
      <c r="D259"/>
      <c r="E259"/>
      <c r="F259"/>
      <c r="G259"/>
      <c r="H259"/>
      <c r="I259"/>
      <c r="J259"/>
      <c r="K259"/>
      <c r="L259"/>
      <c r="M259"/>
      <c r="N259"/>
      <c r="O259"/>
      <c r="P259"/>
      <c r="Q259"/>
      <c r="R259"/>
      <c r="S259">
        <v>0.7</v>
      </c>
      <c r="T259" t="inlineStr">
        <is>
          <t>formal-attempt-0001</t>
        </is>
      </c>
      <c r="U259"/>
      <c r="V259"/>
      <c r="W259"/>
      <c r="X259" t="inlineStr">
        <is>
          <t>DY-SOC-0143</t>
        </is>
      </c>
      <c r="Y259"/>
      <c r="Z259"/>
      <c r="AA259"/>
      <c r="AB259"/>
      <c r="AC259"/>
      <c r="AD259"/>
      <c r="AE259"/>
      <c r="AF259" t="inlineStr">
        <is>
          <t>AI</t>
        </is>
      </c>
      <c r="AG259" t="inlineStr">
        <is>
          <t>CHALLENGE_POOL</t>
        </is>
      </c>
      <c r="AH259" t="inlineStr">
        <is>
          <t>OTHER</t>
        </is>
      </c>
      <c r="AI259" t="inlineStr">
        <is>
          <t>UNKNOWN</t>
        </is>
      </c>
      <c r="AJ259" t="inlineStr">
        <is>
          <t>A</t>
        </is>
      </c>
      <c r="AK259" t="inlineStr">
        <is>
          <t>核心对象：酒庄陶坛展示场面；体验：原文仅表达对场面的观感，没有饮用体验立场，判为 UNKNOWN；证据强度：地点、数量依据和明确观感均有，信息链完整，判为 A。</t>
        </is>
      </c>
      <c r="AL259"/>
      <c r="AM259" t="inlineStr">
        <is>
          <t>CHALLENGE_POOL_60.xlsx</t>
        </is>
      </c>
    </row>
    <row r="260" ht="25.5" customHeight="1">
      <c r="A260" t="inlineStr">
        <is>
          <t>DY-SOC-0205_CHALLENGE_POOL_formal-attempt-0001_AI</t>
        </is>
      </c>
      <c r="B260" t="inlineStr">
        <is>
          <t>你好怎么购买</t>
        </is>
      </c>
      <c r="C260"/>
      <c r="D260"/>
      <c r="E260"/>
      <c r="F260"/>
      <c r="G260"/>
      <c r="H260"/>
      <c r="I260"/>
      <c r="J260"/>
      <c r="K260"/>
      <c r="L260"/>
      <c r="M260"/>
      <c r="N260"/>
      <c r="O260"/>
      <c r="P260"/>
      <c r="Q260"/>
      <c r="R260"/>
      <c r="S260">
        <v>0.9</v>
      </c>
      <c r="T260" t="inlineStr">
        <is>
          <t>formal-attempt-0001</t>
        </is>
      </c>
      <c r="U260"/>
      <c r="V260"/>
      <c r="W260"/>
      <c r="X260" t="inlineStr">
        <is>
          <t>DY-SOC-0205</t>
        </is>
      </c>
      <c r="Y260"/>
      <c r="Z260"/>
      <c r="AA260"/>
      <c r="AB260"/>
      <c r="AC260"/>
      <c r="AD260"/>
      <c r="AE260"/>
      <c r="AF260" t="inlineStr">
        <is>
          <t>AI</t>
        </is>
      </c>
      <c r="AG260" t="inlineStr">
        <is>
          <t>CHALLENGE_POOL</t>
        </is>
      </c>
      <c r="AH260" t="inlineStr">
        <is>
          <t>SERVICE</t>
        </is>
      </c>
      <c r="AI260" t="inlineStr">
        <is>
          <t>UNKNOWN</t>
        </is>
      </c>
      <c r="AJ260" t="inlineStr">
        <is>
          <t>C</t>
        </is>
      </c>
      <c r="AK260" t="inlineStr">
        <is>
          <t>核心对象：购买过程；体验：原文仅询问如何购买，没有体验立场，判为 UNKNOWN；证据强度：仅有购买询问，判为 C。</t>
        </is>
      </c>
      <c r="AL260"/>
      <c r="AM260" t="inlineStr">
        <is>
          <t>CHALLENGE_POOL_60.xlsx</t>
        </is>
      </c>
    </row>
    <row r="261" ht="25.5" customHeight="1">
      <c r="A261" t="inlineStr">
        <is>
          <t>JD-20260809-009_CHALLENGE_POOL_formal-attempt-0001_AI</t>
        </is>
      </c>
      <c r="B261" t="inlineStr">
        <is>
          <t>这个牌子真的很不错，喝了那么多的梅子酒，就这个口味最舒服了，喝完还不难受</t>
        </is>
      </c>
      <c r="C261"/>
      <c r="D261"/>
      <c r="E261"/>
      <c r="F261"/>
      <c r="G261"/>
      <c r="H261"/>
      <c r="I261"/>
      <c r="J261"/>
      <c r="K261"/>
      <c r="L261"/>
      <c r="M261"/>
      <c r="N261"/>
      <c r="O261"/>
      <c r="P261"/>
      <c r="Q261"/>
      <c r="R261"/>
      <c r="S261">
        <v>0.9</v>
      </c>
      <c r="T261" t="inlineStr">
        <is>
          <t>formal-attempt-0001</t>
        </is>
      </c>
      <c r="U261"/>
      <c r="V261"/>
      <c r="W261"/>
      <c r="X261" t="inlineStr">
        <is>
          <t>JD-20260809-009</t>
        </is>
      </c>
      <c r="Y261"/>
      <c r="Z261"/>
      <c r="AA261"/>
      <c r="AB261"/>
      <c r="AC261"/>
      <c r="AD261"/>
      <c r="AE261"/>
      <c r="AF261" t="inlineStr">
        <is>
          <t>AI</t>
        </is>
      </c>
      <c r="AG261" t="inlineStr">
        <is>
          <t>CHALLENGE_POOL</t>
        </is>
      </c>
      <c r="AH261" t="inlineStr">
        <is>
          <t>PRODUCT</t>
        </is>
      </c>
      <c r="AI261" t="inlineStr">
        <is>
          <t>ACTUAL_USE</t>
        </is>
      </c>
      <c r="AJ261" t="inlineStr">
        <is>
          <t>A</t>
        </is>
      </c>
      <c r="AK261" t="inlineStr">
        <is>
          <t>核心对象：产品口味及饮后体验；体验：原文明确喝过并比较口味、饮后感受，判为 ACTUAL_USE；证据强度：评价对象、比较依据和明确判断均有，信息链完整，判为 A。</t>
        </is>
      </c>
      <c r="AL261"/>
      <c r="AM261" t="inlineStr">
        <is>
          <t>CHALLENGE_POOL_60.xlsx</t>
        </is>
      </c>
    </row>
    <row r="262" ht="25.5" customHeight="1">
      <c r="A262" t="inlineStr">
        <is>
          <t>JD-20260809-014_CHALLENGE_POOL_formal-attempt-0001_AI</t>
        </is>
      </c>
      <c r="B262" t="inlineStr">
        <is>
          <t>偷懒了，喝完很久才来评论！偶尔换一个口味作为餐饮的第一种酒来喝，甜甜的味道，又加了一点冰，很香也很上头，喜欢那种微熏的感觉！</t>
        </is>
      </c>
      <c r="C262"/>
      <c r="D262"/>
      <c r="E262"/>
      <c r="F262"/>
      <c r="G262"/>
      <c r="H262"/>
      <c r="I262"/>
      <c r="J262"/>
      <c r="K262"/>
      <c r="L262"/>
      <c r="M262"/>
      <c r="N262"/>
      <c r="O262"/>
      <c r="P262"/>
      <c r="Q262"/>
      <c r="R262"/>
      <c r="S262">
        <v>0.9</v>
      </c>
      <c r="T262" t="inlineStr">
        <is>
          <t>formal-attempt-0001</t>
        </is>
      </c>
      <c r="U262"/>
      <c r="V262"/>
      <c r="W262"/>
      <c r="X262" t="inlineStr">
        <is>
          <t>JD-20260809-014</t>
        </is>
      </c>
      <c r="Y262"/>
      <c r="Z262"/>
      <c r="AA262"/>
      <c r="AB262"/>
      <c r="AC262"/>
      <c r="AD262"/>
      <c r="AE262"/>
      <c r="AF262" t="inlineStr">
        <is>
          <t>AI</t>
        </is>
      </c>
      <c r="AG262" t="inlineStr">
        <is>
          <t>CHALLENGE_POOL</t>
        </is>
      </c>
      <c r="AH262" t="inlineStr">
        <is>
          <t>PRODUCT</t>
        </is>
      </c>
      <c r="AI262" t="inlineStr">
        <is>
          <t>ACTUAL_USE</t>
        </is>
      </c>
      <c r="AJ262" t="inlineStr">
        <is>
          <t>A</t>
        </is>
      </c>
      <c r="AK262" t="inlineStr">
        <is>
          <t>核心对象：产品口味、香气和饮用后的微熏感；体验：原文明确喝过并描述加冰饮用结果和感受，判为 ACTUAL_USE；证据强度：饮用情境、具体体验依据和明确判断均有，信息链完整，判为 A。</t>
        </is>
      </c>
      <c r="AL262"/>
      <c r="AM262" t="inlineStr">
        <is>
          <t>CHALLENGE_POOL_60.xlsx</t>
        </is>
      </c>
    </row>
    <row r="263" ht="25.5" customHeight="1">
      <c r="A263" t="inlineStr">
        <is>
          <t>JD-20260809-025_CHALLENGE_POOL_formal-attempt-0001_AI</t>
        </is>
      </c>
      <c r="B263" t="inlineStr">
        <is>
          <t>这款微醺不错，适合有几个小菜，喝一杯！！</t>
        </is>
      </c>
      <c r="C263"/>
      <c r="D263"/>
      <c r="E263"/>
      <c r="F263"/>
      <c r="G263"/>
      <c r="H263"/>
      <c r="I263"/>
      <c r="J263"/>
      <c r="K263"/>
      <c r="L263"/>
      <c r="M263"/>
      <c r="N263"/>
      <c r="O263"/>
      <c r="P263"/>
      <c r="Q263"/>
      <c r="R263"/>
      <c r="S263">
        <v>0.9</v>
      </c>
      <c r="T263" t="inlineStr">
        <is>
          <t>formal-attempt-0001</t>
        </is>
      </c>
      <c r="U263"/>
      <c r="V263"/>
      <c r="W263"/>
      <c r="X263" t="inlineStr">
        <is>
          <t>JD-20260809-025</t>
        </is>
      </c>
      <c r="Y263"/>
      <c r="Z263"/>
      <c r="AA263"/>
      <c r="AB263"/>
      <c r="AC263"/>
      <c r="AD263"/>
      <c r="AE263"/>
      <c r="AF263" t="inlineStr">
        <is>
          <t>AI</t>
        </is>
      </c>
      <c r="AG263" t="inlineStr">
        <is>
          <t>CHALLENGE_POOL</t>
        </is>
      </c>
      <c r="AH263" t="inlineStr">
        <is>
          <t>PRODUCT</t>
        </is>
      </c>
      <c r="AI263" t="inlineStr">
        <is>
          <t>ACTUAL_USE</t>
        </is>
      </c>
      <c r="AJ263" t="inlineStr">
        <is>
          <t>A</t>
        </is>
      </c>
      <c r="AK263" t="inlineStr">
        <is>
          <t>核心对象：产品的微醺体验；体验：原文直接评价产品并给出配餐饮用方式，判为 ACTUAL_USE；证据强度：产品判断和饮用情境均明确，信息链完整，判为 A。</t>
        </is>
      </c>
      <c r="AL263"/>
      <c r="AM263" t="inlineStr">
        <is>
          <t>CHALLENGE_POOL_60.xlsx</t>
        </is>
      </c>
    </row>
    <row r="264" ht="25.5" customHeight="1">
      <c r="A264" t="inlineStr">
        <is>
          <t>JD-20260809-030_CHALLENGE_POOL_formal-attempt-0001_AI</t>
        </is>
      </c>
      <c r="B264" t="inlineStr">
        <is>
          <t>八种口味可选，喝了几瓶。目前喜欢荔枝和草莓，低度小甜果酒口感很好，对于我这种不能沾酒的人来说，这个酒精度很适合，喝完全身暖暖的。希望能够再出新口味。</t>
        </is>
      </c>
      <c r="C264"/>
      <c r="D264"/>
      <c r="E264"/>
      <c r="F264"/>
      <c r="G264"/>
      <c r="H264"/>
      <c r="I264"/>
      <c r="J264"/>
      <c r="K264"/>
      <c r="L264"/>
      <c r="M264"/>
      <c r="N264"/>
      <c r="O264"/>
      <c r="P264"/>
      <c r="Q264"/>
      <c r="R264"/>
      <c r="S264">
        <v>0.9</v>
      </c>
      <c r="T264" t="inlineStr">
        <is>
          <t>formal-attempt-0001</t>
        </is>
      </c>
      <c r="U264"/>
      <c r="V264"/>
      <c r="W264"/>
      <c r="X264" t="inlineStr">
        <is>
          <t>JD-20260809-030</t>
        </is>
      </c>
      <c r="Y264"/>
      <c r="Z264"/>
      <c r="AA264"/>
      <c r="AB264"/>
      <c r="AC264"/>
      <c r="AD264"/>
      <c r="AE264"/>
      <c r="AF264" t="inlineStr">
        <is>
          <t>AI</t>
        </is>
      </c>
      <c r="AG264" t="inlineStr">
        <is>
          <t>CHALLENGE_POOL</t>
        </is>
      </c>
      <c r="AH264" t="inlineStr">
        <is>
          <t>PRODUCT</t>
        </is>
      </c>
      <c r="AI264" t="inlineStr">
        <is>
          <t>ACTUAL_USE</t>
        </is>
      </c>
      <c r="AJ264" t="inlineStr">
        <is>
          <t>A</t>
        </is>
      </c>
      <c r="AK264" t="inlineStr">
        <is>
          <t>核心对象：产品口味和酒精度体验；体验：原文明确喝过并描述具体口味、酒精度和饮后感受，判为 ACTUAL_USE；证据强度：体验对象、具体依据和明确判断均有，信息链完整，判为 A。</t>
        </is>
      </c>
      <c r="AL264"/>
      <c r="AM264" t="inlineStr">
        <is>
          <t>CHALLENGE_POOL_60.xlsx</t>
        </is>
      </c>
    </row>
    <row r="265" ht="25.5" customHeight="1">
      <c r="A265" t="inlineStr">
        <is>
          <t>JD-20260809-044_CHALLENGE_POOL_formal-attempt-0001_AI</t>
        </is>
      </c>
      <c r="B265" t="inlineStr">
        <is>
          <t>发货很快 包装严实 味感不错 味道很好 吃饭 休闲 追剧喝着刚好 口味多 可根据喜好选。</t>
        </is>
      </c>
      <c r="C265"/>
      <c r="D265"/>
      <c r="E265"/>
      <c r="F265"/>
      <c r="G265"/>
      <c r="H265"/>
      <c r="I265"/>
      <c r="J265"/>
      <c r="K265"/>
      <c r="L265"/>
      <c r="M265"/>
      <c r="N265"/>
      <c r="O265"/>
      <c r="P265"/>
      <c r="Q265"/>
      <c r="R265"/>
      <c r="S265">
        <v>0.7</v>
      </c>
      <c r="T265" t="inlineStr">
        <is>
          <t>formal-attempt-0001</t>
        </is>
      </c>
      <c r="U265"/>
      <c r="V265"/>
      <c r="W265"/>
      <c r="X265" t="inlineStr">
        <is>
          <t>JD-20260809-044</t>
        </is>
      </c>
      <c r="Y265"/>
      <c r="Z265"/>
      <c r="AA265"/>
      <c r="AB265"/>
      <c r="AC265"/>
      <c r="AD265"/>
      <c r="AE265"/>
      <c r="AF265" t="inlineStr">
        <is>
          <t>AI</t>
        </is>
      </c>
      <c r="AG265" t="inlineStr">
        <is>
          <t>CHALLENGE_POOL</t>
        </is>
      </c>
      <c r="AH265" t="inlineStr">
        <is>
          <t>PRODUCT</t>
        </is>
      </c>
      <c r="AI265" t="inlineStr">
        <is>
          <t>ACTUAL_USE</t>
        </is>
      </c>
      <c r="AJ265" t="inlineStr">
        <is>
          <t>A</t>
        </is>
      </c>
      <c r="AK265" t="inlineStr">
        <is>
          <t>核心对象：产品口味和饮用体验；体验：原文直接评价味道并描述吃饭、休闲和追剧时饮用，判为 ACTUAL_USE；证据强度：产品判断、饮用情境和具体特点均有，信息链完整，判为 A。</t>
        </is>
      </c>
      <c r="AL265"/>
      <c r="AM265" t="inlineStr">
        <is>
          <t>CHALLENGE_POOL_60.xlsx</t>
        </is>
      </c>
    </row>
    <row r="266" ht="25.5" customHeight="1">
      <c r="A266" t="inlineStr">
        <is>
          <t>JD-20260809-053_CHALLENGE_POOL_formal-attempt-0001_AI</t>
        </is>
      </c>
      <c r="B266" t="inlineStr">
        <is>
          <t>这瓶梅见果酒真的挺惊艳的，琥珀色的酒液看着就有食欲，开瓶就是清新的果香，喝起来酸甜平衡，不会腻。配餐的话，我觉得和轻食或者小点心很搭，清爽不抢味。包装也精致，送人很有面子，性价比高，会回购 🍇✨✨</t>
        </is>
      </c>
      <c r="C266"/>
      <c r="D266"/>
      <c r="E266"/>
      <c r="F266"/>
      <c r="G266"/>
      <c r="H266"/>
      <c r="I266"/>
      <c r="J266"/>
      <c r="K266"/>
      <c r="L266"/>
      <c r="M266"/>
      <c r="N266"/>
      <c r="O266"/>
      <c r="P266"/>
      <c r="Q266"/>
      <c r="R266"/>
      <c r="S266">
        <v>0.9</v>
      </c>
      <c r="T266" t="inlineStr">
        <is>
          <t>formal-attempt-0001</t>
        </is>
      </c>
      <c r="U266"/>
      <c r="V266"/>
      <c r="W266"/>
      <c r="X266" t="inlineStr">
        <is>
          <t>JD-20260809-053</t>
        </is>
      </c>
      <c r="Y266"/>
      <c r="Z266"/>
      <c r="AA266"/>
      <c r="AB266"/>
      <c r="AC266"/>
      <c r="AD266"/>
      <c r="AE266"/>
      <c r="AF266" t="inlineStr">
        <is>
          <t>AI</t>
        </is>
      </c>
      <c r="AG266" t="inlineStr">
        <is>
          <t>CHALLENGE_POOL</t>
        </is>
      </c>
      <c r="AH266" t="inlineStr">
        <is>
          <t>PRODUCT</t>
        </is>
      </c>
      <c r="AI266" t="inlineStr">
        <is>
          <t>ACTUAL_USE</t>
        </is>
      </c>
      <c r="AJ266" t="inlineStr">
        <is>
          <t>A</t>
        </is>
      </c>
      <c r="AK266" t="inlineStr">
        <is>
          <t>核心对象：产品外观、口味、配餐和包装体验；体验：原文明确描述开瓶、饮用、配餐和送人感受，判为 ACTUAL_USE；证据强度：评价对象、具体体验依据和明确判断均有，信息链完整，判为 A。</t>
        </is>
      </c>
      <c r="AL266"/>
      <c r="AM266" t="inlineStr">
        <is>
          <t>CHALLENGE_POOL_60.xlsx</t>
        </is>
      </c>
    </row>
    <row r="267" ht="25.5" customHeight="1">
      <c r="A267" t="inlineStr">
        <is>
          <t>JD-20260809-060_CHALLENGE_POOL_formal-attempt-0001_AI</t>
        </is>
      </c>
      <c r="B267" t="inlineStr">
        <is>
          <t>梅见青梅酒真的太适合女生了！12 度低度微醺，酸甜清爽不腻口，梅子香气浓郁，加冰喝更绝！330ml 小瓶装聚会自饮都方便，颜值高还能当花瓶，姐妹们冲！</t>
        </is>
      </c>
      <c r="C267"/>
      <c r="D267"/>
      <c r="E267"/>
      <c r="F267"/>
      <c r="G267"/>
      <c r="H267"/>
      <c r="I267"/>
      <c r="J267"/>
      <c r="K267"/>
      <c r="L267"/>
      <c r="M267"/>
      <c r="N267"/>
      <c r="O267"/>
      <c r="P267"/>
      <c r="Q267"/>
      <c r="R267"/>
      <c r="S267">
        <v>0.9</v>
      </c>
      <c r="T267" t="inlineStr">
        <is>
          <t>formal-attempt-0001</t>
        </is>
      </c>
      <c r="U267"/>
      <c r="V267"/>
      <c r="W267"/>
      <c r="X267" t="inlineStr">
        <is>
          <t>JD-20260809-060</t>
        </is>
      </c>
      <c r="Y267"/>
      <c r="Z267"/>
      <c r="AA267"/>
      <c r="AB267"/>
      <c r="AC267"/>
      <c r="AD267"/>
      <c r="AE267"/>
      <c r="AF267" t="inlineStr">
        <is>
          <t>AI</t>
        </is>
      </c>
      <c r="AG267" t="inlineStr">
        <is>
          <t>CHALLENGE_POOL</t>
        </is>
      </c>
      <c r="AH267" t="inlineStr">
        <is>
          <t>PRODUCT</t>
        </is>
      </c>
      <c r="AI267" t="inlineStr">
        <is>
          <t>ACTUAL_USE</t>
        </is>
      </c>
      <c r="AJ267" t="inlineStr">
        <is>
          <t>A</t>
        </is>
      </c>
      <c r="AK267" t="inlineStr">
        <is>
          <t>核心对象：产品口味、酒精度、规格和包装体验；体验：原文直接评价口味并描述加冰饮用、聚会和自饮方式，判为 ACTUAL_USE；证据强度：产品特征、饮用方式和明确判断均有，信息链完整，判为 A。</t>
        </is>
      </c>
      <c r="AL267"/>
      <c r="AM267" t="inlineStr">
        <is>
          <t>CHALLENGE_POOL_60.xlsx</t>
        </is>
      </c>
    </row>
    <row r="268" ht="25.5" customHeight="1">
      <c r="A268" t="inlineStr">
        <is>
          <t>MJ-RAW-0008_CHALLENGE_POOL_formal-attempt-0001_AI</t>
        </is>
      </c>
      <c r="B268" t="inlineStr">
        <is>
          <t>青序磨砂瓶没有了 我现在买的这个 感觉比磨砂瓶更重味道这点 其他都不错 冰梅酒是这款 昆竹的  这些都碾压梅见 真心的 那种配料表里有浓缩青梅汁的直接pass</t>
        </is>
      </c>
      <c r="C268"/>
      <c r="D268"/>
      <c r="E268"/>
      <c r="F268"/>
      <c r="G268"/>
      <c r="H268"/>
      <c r="I268"/>
      <c r="J268"/>
      <c r="K268"/>
      <c r="L268"/>
      <c r="M268"/>
      <c r="N268"/>
      <c r="O268"/>
      <c r="P268"/>
      <c r="Q268"/>
      <c r="R268"/>
      <c r="S268">
        <v>0.9</v>
      </c>
      <c r="T268" t="inlineStr">
        <is>
          <t>formal-attempt-0001</t>
        </is>
      </c>
      <c r="U268"/>
      <c r="V268"/>
      <c r="W268"/>
      <c r="X268" t="inlineStr">
        <is>
          <t>MJ-RAW-0008</t>
        </is>
      </c>
      <c r="Y268"/>
      <c r="Z268"/>
      <c r="AA268"/>
      <c r="AB268"/>
      <c r="AC268"/>
      <c r="AD268"/>
      <c r="AE268"/>
      <c r="AF268" t="inlineStr">
        <is>
          <t>AI</t>
        </is>
      </c>
      <c r="AG268" t="inlineStr">
        <is>
          <t>CHALLENGE_POOL</t>
        </is>
      </c>
      <c r="AH268" t="inlineStr">
        <is>
          <t>COMPETITOR</t>
        </is>
      </c>
      <c r="AI268" t="inlineStr">
        <is>
          <t>ACTUAL_USE</t>
        </is>
      </c>
      <c r="AJ268" t="inlineStr">
        <is>
          <t>A</t>
        </is>
      </c>
      <c r="AK268" t="inlineStr">
        <is>
          <t>核心对象：不同青梅酒之间的比较与替代选择；体验：原文明确表达已购买并作口味、配料比较，判为 ACTUAL_USE；证据强度：比较对象、比较依据和明确结论均有，信息链完整，判为 A。</t>
        </is>
      </c>
      <c r="AL268"/>
      <c r="AM268" t="inlineStr">
        <is>
          <t>CHALLENGE_POOL_60.xlsx</t>
        </is>
      </c>
    </row>
    <row r="269" ht="25.5" customHeight="1">
      <c r="A269" t="inlineStr">
        <is>
          <t>MJ-RAW-0022_CHALLENGE_POOL_formal-attempt-0001_AI</t>
        </is>
      </c>
      <c r="B269" t="inlineStr">
        <is>
          <t>收到这瓶青梅酒特意冰了一晚，倒出来色泽偏浅黄很干净。入口先是梅子酸香接着是淡淡酒甜，尾味不涩不苦。加了冰块喝更解腻，吃完油腻外卖来一杯很顺胃，度数不高不容易上头</t>
        </is>
      </c>
      <c r="C269"/>
      <c r="D269"/>
      <c r="E269"/>
      <c r="F269"/>
      <c r="G269"/>
      <c r="H269"/>
      <c r="I269"/>
      <c r="J269"/>
      <c r="K269"/>
      <c r="L269"/>
      <c r="M269"/>
      <c r="N269"/>
      <c r="O269"/>
      <c r="P269"/>
      <c r="Q269"/>
      <c r="R269"/>
      <c r="S269">
        <v>0.9</v>
      </c>
      <c r="T269" t="inlineStr">
        <is>
          <t>formal-attempt-0001</t>
        </is>
      </c>
      <c r="U269"/>
      <c r="V269"/>
      <c r="W269"/>
      <c r="X269" t="inlineStr">
        <is>
          <t>MJ-RAW-0022</t>
        </is>
      </c>
      <c r="Y269"/>
      <c r="Z269"/>
      <c r="AA269"/>
      <c r="AB269"/>
      <c r="AC269"/>
      <c r="AD269"/>
      <c r="AE269"/>
      <c r="AF269" t="inlineStr">
        <is>
          <t>AI</t>
        </is>
      </c>
      <c r="AG269" t="inlineStr">
        <is>
          <t>CHALLENGE_POOL</t>
        </is>
      </c>
      <c r="AH269" t="inlineStr">
        <is>
          <t>PRODUCT</t>
        </is>
      </c>
      <c r="AI269" t="inlineStr">
        <is>
          <t>ACTUAL_USE</t>
        </is>
      </c>
      <c r="AJ269" t="inlineStr">
        <is>
          <t>A</t>
        </is>
      </c>
      <c r="AK269" t="inlineStr">
        <is>
          <t>核心对象：产品外观、口味、调饮和饮后体验；体验：原文明确冰镇、入口、加冰饮用并描述饮后感受，判为 ACTUAL_USE；证据强度：饮用过程、具体体验依据和明确判断均有，信息链完整，判为 A。</t>
        </is>
      </c>
      <c r="AL269"/>
      <c r="AM269" t="inlineStr">
        <is>
          <t>CHALLENGE_POOL_60.xlsx</t>
        </is>
      </c>
    </row>
    <row r="270" ht="25.5" customHeight="1">
      <c r="A270" t="inlineStr">
        <is>
          <t>MJ-RAW-0040_CHALLENGE_POOL_formal-attempt-0001_AI</t>
        </is>
      </c>
      <c r="B270" t="inlineStr">
        <is>
          <t>还不错，青梅的味道好喝点，其他的不喜欢</t>
        </is>
      </c>
      <c r="C270"/>
      <c r="D270"/>
      <c r="E270"/>
      <c r="F270"/>
      <c r="G270"/>
      <c r="H270"/>
      <c r="I270"/>
      <c r="J270"/>
      <c r="K270"/>
      <c r="L270"/>
      <c r="M270"/>
      <c r="N270"/>
      <c r="O270"/>
      <c r="P270"/>
      <c r="Q270"/>
      <c r="R270"/>
      <c r="S270">
        <v>0.9</v>
      </c>
      <c r="T270" t="inlineStr">
        <is>
          <t>formal-attempt-0001</t>
        </is>
      </c>
      <c r="U270"/>
      <c r="V270"/>
      <c r="W270"/>
      <c r="X270" t="inlineStr">
        <is>
          <t>MJ-RAW-0040</t>
        </is>
      </c>
      <c r="Y270"/>
      <c r="Z270"/>
      <c r="AA270"/>
      <c r="AB270"/>
      <c r="AC270"/>
      <c r="AD270"/>
      <c r="AE270"/>
      <c r="AF270" t="inlineStr">
        <is>
          <t>AI</t>
        </is>
      </c>
      <c r="AG270" t="inlineStr">
        <is>
          <t>CHALLENGE_POOL</t>
        </is>
      </c>
      <c r="AH270" t="inlineStr">
        <is>
          <t>PRODUCT</t>
        </is>
      </c>
      <c r="AI270" t="inlineStr">
        <is>
          <t>ACTUAL_USE</t>
        </is>
      </c>
      <c r="AJ270" t="inlineStr">
        <is>
          <t>B</t>
        </is>
      </c>
      <c r="AK270" t="inlineStr">
        <is>
          <t>核心对象：产品口味；体验：原文直接比较青梅味道并表达喜好，判为 ACTUAL_USE；证据强度：判断明确但具体比较依据不完整，判为 B。</t>
        </is>
      </c>
      <c r="AL270"/>
      <c r="AM270" t="inlineStr">
        <is>
          <t>CHALLENGE_POOL_60.xlsx</t>
        </is>
      </c>
    </row>
    <row r="271" ht="25.5" customHeight="1">
      <c r="A271" t="inlineStr">
        <is>
          <t>MJ-RAW-0095_CHALLENGE_POOL_formal-attempt-0001_AI</t>
        </is>
      </c>
      <c r="B271" t="inlineStr">
        <is>
          <t>missberry好看但是真的不好喝，酒不像酒，饮料不像饮料的一种怪怪的味道</t>
        </is>
      </c>
      <c r="C271"/>
      <c r="D271"/>
      <c r="E271"/>
      <c r="F271"/>
      <c r="G271"/>
      <c r="H271"/>
      <c r="I271"/>
      <c r="J271"/>
      <c r="K271"/>
      <c r="L271"/>
      <c r="M271"/>
      <c r="N271"/>
      <c r="O271"/>
      <c r="P271"/>
      <c r="Q271"/>
      <c r="R271"/>
      <c r="S271">
        <v>0.9</v>
      </c>
      <c r="T271" t="inlineStr">
        <is>
          <t>formal-attempt-0001</t>
        </is>
      </c>
      <c r="U271"/>
      <c r="V271"/>
      <c r="W271"/>
      <c r="X271" t="inlineStr">
        <is>
          <t>MJ-RAW-0095</t>
        </is>
      </c>
      <c r="Y271"/>
      <c r="Z271"/>
      <c r="AA271"/>
      <c r="AB271"/>
      <c r="AC271"/>
      <c r="AD271"/>
      <c r="AE271"/>
      <c r="AF271" t="inlineStr">
        <is>
          <t>AI</t>
        </is>
      </c>
      <c r="AG271" t="inlineStr">
        <is>
          <t>CHALLENGE_POOL</t>
        </is>
      </c>
      <c r="AH271" t="inlineStr">
        <is>
          <t>PRODUCT</t>
        </is>
      </c>
      <c r="AI271" t="inlineStr">
        <is>
          <t>ACTUAL_USE</t>
        </is>
      </c>
      <c r="AJ271" t="inlineStr">
        <is>
          <t>A</t>
        </is>
      </c>
      <c r="AK271" t="inlineStr">
        <is>
          <t>核心对象：产品口感；体验：直接评价不好喝并描述味道怪异；证据强度：有具体口感依据和明确判断，信息链完整。</t>
        </is>
      </c>
      <c r="AL271"/>
      <c r="AM271" t="inlineStr">
        <is>
          <t>CHALLENGE_POOL_60.xlsx</t>
        </is>
      </c>
    </row>
    <row r="272" ht="25.5" customHeight="1">
      <c r="A272" t="inlineStr">
        <is>
          <t>MJ-RAW-0099_CHALLENGE_POOL_formal-attempt-0001_AI</t>
        </is>
      </c>
      <c r="B272" t="inlineStr">
        <is>
          <t>俏雅CHOYA 玻璃瓶/带梅子/纸包装
�大概50/360ml 100/720ml
便宜是他们唯一的优点，糖浆味较重，建议还是配冰或苏打水</t>
        </is>
      </c>
      <c r="C272"/>
      <c r="D272"/>
      <c r="E272"/>
      <c r="F272"/>
      <c r="G272"/>
      <c r="H272"/>
      <c r="I272"/>
      <c r="J272"/>
      <c r="K272"/>
      <c r="L272"/>
      <c r="M272"/>
      <c r="N272"/>
      <c r="O272"/>
      <c r="P272"/>
      <c r="Q272"/>
      <c r="R272"/>
      <c r="S272">
        <v>0.9</v>
      </c>
      <c r="T272" t="inlineStr">
        <is>
          <t>formal-attempt-0001</t>
        </is>
      </c>
      <c r="U272"/>
      <c r="V272"/>
      <c r="W272"/>
      <c r="X272" t="inlineStr">
        <is>
          <t>MJ-RAW-0099</t>
        </is>
      </c>
      <c r="Y272"/>
      <c r="Z272"/>
      <c r="AA272"/>
      <c r="AB272"/>
      <c r="AC272"/>
      <c r="AD272"/>
      <c r="AE272"/>
      <c r="AF272" t="inlineStr">
        <is>
          <t>AI</t>
        </is>
      </c>
      <c r="AG272" t="inlineStr">
        <is>
          <t>CHALLENGE_POOL</t>
        </is>
      </c>
      <c r="AH272" t="inlineStr">
        <is>
          <t>PRODUCT</t>
        </is>
      </c>
      <c r="AI272" t="inlineStr">
        <is>
          <t>ACTUAL_USE</t>
        </is>
      </c>
      <c r="AJ272" t="inlineStr">
        <is>
          <t>A</t>
        </is>
      </c>
      <c r="AK272" t="inlineStr">
        <is>
          <t>核心对象：产品口味与饮用搭配；体验：直接评价糖浆味较重并建议配冰或苏打水；证据强度：包含具体产品描述、口感和明确建议，信息链完整。</t>
        </is>
      </c>
      <c r="AL272"/>
      <c r="AM272" t="inlineStr">
        <is>
          <t>CHALLENGE_POOL_60.xlsx</t>
        </is>
      </c>
    </row>
    <row r="273" ht="25.5" customHeight="1">
      <c r="A273" t="inlineStr">
        <is>
          <t>MJ-RAW-0100_CHALLENGE_POOL_formal-attempt-0001_AI</t>
        </is>
      </c>
      <c r="B273" t="inlineStr">
        <is>
          <t>Hmart 宇治茶梅酒好绝！
刚入口是很浓的抹茶味，然后甜中带涩的梅子酒，最后余味是茶的清香。抹茶脑袋狂喜！！！我这种喝酒小白头一次喝出来前中后调，真的太惊喜了。</t>
        </is>
      </c>
      <c r="C273"/>
      <c r="D273"/>
      <c r="E273"/>
      <c r="F273"/>
      <c r="G273"/>
      <c r="H273"/>
      <c r="I273"/>
      <c r="J273"/>
      <c r="K273"/>
      <c r="L273"/>
      <c r="M273"/>
      <c r="N273"/>
      <c r="O273"/>
      <c r="P273"/>
      <c r="Q273"/>
      <c r="R273"/>
      <c r="S273">
        <v>0.9</v>
      </c>
      <c r="T273" t="inlineStr">
        <is>
          <t>formal-attempt-0001</t>
        </is>
      </c>
      <c r="U273"/>
      <c r="V273"/>
      <c r="W273"/>
      <c r="X273" t="inlineStr">
        <is>
          <t>MJ-RAW-0100</t>
        </is>
      </c>
      <c r="Y273"/>
      <c r="Z273"/>
      <c r="AA273"/>
      <c r="AB273"/>
      <c r="AC273"/>
      <c r="AD273"/>
      <c r="AE273"/>
      <c r="AF273" t="inlineStr">
        <is>
          <t>AI</t>
        </is>
      </c>
      <c r="AG273" t="inlineStr">
        <is>
          <t>CHALLENGE_POOL</t>
        </is>
      </c>
      <c r="AH273" t="inlineStr">
        <is>
          <t>PRODUCT</t>
        </is>
      </c>
      <c r="AI273" t="inlineStr">
        <is>
          <t>ACTUAL_USE</t>
        </is>
      </c>
      <c r="AJ273" t="inlineStr">
        <is>
          <t>A</t>
        </is>
      </c>
      <c r="AK273" t="inlineStr">
        <is>
          <t>核心对象：产品口味；体验：直接描述入口、主体和余味并表达惊喜；证据强度：有完整的分段口感依据和明确评价，信息链完整。</t>
        </is>
      </c>
      <c r="AL273"/>
      <c r="AM273" t="inlineStr">
        <is>
          <t>CHALLENGE_POOL_60.xlsx</t>
        </is>
      </c>
    </row>
    <row r="274" ht="25.5" customHeight="1">
      <c r="A274" t="inlineStr">
        <is>
          <t>MJ-RAW-0103_CHALLENGE_POOL_formal-attempt-0001_AI</t>
        </is>
      </c>
      <c r="B274" t="inlineStr">
        <is>
          <t>"我觉得这个像烂橘子的味道""确实我有点酒味就不喜欢，这个我认为不是那么的好喝哈哈〜""RIO喝到后来是苦的所以我都不喝"</t>
        </is>
      </c>
      <c r="C274"/>
      <c r="D274"/>
      <c r="E274"/>
      <c r="F274"/>
      <c r="G274"/>
      <c r="H274"/>
      <c r="I274"/>
      <c r="J274"/>
      <c r="K274"/>
      <c r="L274"/>
      <c r="M274"/>
      <c r="N274"/>
      <c r="O274"/>
      <c r="P274"/>
      <c r="Q274"/>
      <c r="R274"/>
      <c r="S274">
        <v>0.7</v>
      </c>
      <c r="T274" t="inlineStr">
        <is>
          <t>formal-attempt-0001</t>
        </is>
      </c>
      <c r="U274"/>
      <c r="V274"/>
      <c r="W274"/>
      <c r="X274" t="inlineStr">
        <is>
          <t>MJ-RAW-0103</t>
        </is>
      </c>
      <c r="Y274"/>
      <c r="Z274"/>
      <c r="AA274"/>
      <c r="AB274"/>
      <c r="AC274"/>
      <c r="AD274"/>
      <c r="AE274"/>
      <c r="AF274" t="inlineStr">
        <is>
          <t>AI</t>
        </is>
      </c>
      <c r="AG274" t="inlineStr">
        <is>
          <t>CHALLENGE_POOL</t>
        </is>
      </c>
      <c r="AH274" t="inlineStr">
        <is>
          <t>PRODUCT</t>
        </is>
      </c>
      <c r="AI274" t="inlineStr">
        <is>
          <t>ACTUAL_USE</t>
        </is>
      </c>
      <c r="AJ274" t="inlineStr">
        <is>
          <t>B</t>
        </is>
      </c>
      <c r="AK274" t="inlineStr">
        <is>
          <t>核心对象：产品口味；体验：直接描述烂橘子味、酒味和后段发苦，并表达不好喝或不再饮用；证据强度：有具体口感和判断，但复合评论缺少统一明确的产品指向，信息链不完整。</t>
        </is>
      </c>
      <c r="AL274"/>
      <c r="AM274" t="inlineStr">
        <is>
          <t>CHALLENGE_POOL_60.xlsx</t>
        </is>
      </c>
    </row>
    <row r="275" ht="25.5" customHeight="1">
      <c r="A275" t="inlineStr">
        <is>
          <t>MJ-RAW-0221_CHALLENGE_POOL_formal-attempt-0001_AI</t>
        </is>
      </c>
      <c r="B275" t="inlineStr">
        <is>
          <t>一点酒味都没有，像水果汽水</t>
        </is>
      </c>
      <c r="C275"/>
      <c r="D275"/>
      <c r="E275"/>
      <c r="F275"/>
      <c r="G275"/>
      <c r="H275"/>
      <c r="I275"/>
      <c r="J275"/>
      <c r="K275"/>
      <c r="L275"/>
      <c r="M275"/>
      <c r="N275"/>
      <c r="O275"/>
      <c r="P275"/>
      <c r="Q275"/>
      <c r="R275"/>
      <c r="S275">
        <v>0.9</v>
      </c>
      <c r="T275" t="inlineStr">
        <is>
          <t>formal-attempt-0001</t>
        </is>
      </c>
      <c r="U275"/>
      <c r="V275"/>
      <c r="W275"/>
      <c r="X275" t="inlineStr">
        <is>
          <t>MJ-RAW-0221</t>
        </is>
      </c>
      <c r="Y275"/>
      <c r="Z275"/>
      <c r="AA275"/>
      <c r="AB275"/>
      <c r="AC275"/>
      <c r="AD275"/>
      <c r="AE275"/>
      <c r="AF275" t="inlineStr">
        <is>
          <t>AI</t>
        </is>
      </c>
      <c r="AG275" t="inlineStr">
        <is>
          <t>CHALLENGE_POOL</t>
        </is>
      </c>
      <c r="AH275" t="inlineStr">
        <is>
          <t>PRODUCT</t>
        </is>
      </c>
      <c r="AI275" t="inlineStr">
        <is>
          <t>ACTUAL_USE</t>
        </is>
      </c>
      <c r="AJ275" t="inlineStr">
        <is>
          <t>C</t>
        </is>
      </c>
      <c r="AK275" t="inlineStr">
        <is>
          <t>核心对象：产品酒精感与口感；体验：直接评价没有酒味且像水果汽水；证据强度：判断明确但细节单一，信息量较低。</t>
        </is>
      </c>
      <c r="AL275"/>
      <c r="AM275" t="inlineStr">
        <is>
          <t>CHALLENGE_POOL_60.xlsx</t>
        </is>
      </c>
    </row>
    <row r="276" ht="25.5" customHeight="1">
      <c r="A276" t="inlineStr">
        <is>
          <t>MJ-RAW-0319_CHALLENGE_POOL_formal-attempt-0001_AI</t>
        </is>
      </c>
      <c r="B276" t="inlineStr">
        <is>
          <t>每杯酒都超量……一般人喝完一两杯……</t>
        </is>
      </c>
      <c r="C276"/>
      <c r="D276"/>
      <c r="E276"/>
      <c r="F276"/>
      <c r="G276"/>
      <c r="H276"/>
      <c r="I276"/>
      <c r="J276"/>
      <c r="K276"/>
      <c r="L276"/>
      <c r="M276"/>
      <c r="N276"/>
      <c r="O276"/>
      <c r="P276"/>
      <c r="Q276"/>
      <c r="R276"/>
      <c r="S276">
        <v>0.9</v>
      </c>
      <c r="T276" t="inlineStr">
        <is>
          <t>formal-attempt-0001</t>
        </is>
      </c>
      <c r="U276"/>
      <c r="V276"/>
      <c r="W276"/>
      <c r="X276" t="inlineStr">
        <is>
          <t>MJ-RAW-0319</t>
        </is>
      </c>
      <c r="Y276"/>
      <c r="Z276"/>
      <c r="AA276"/>
      <c r="AB276"/>
      <c r="AC276"/>
      <c r="AD276"/>
      <c r="AE276"/>
      <c r="AF276" t="inlineStr">
        <is>
          <t>AI</t>
        </is>
      </c>
      <c r="AG276" t="inlineStr">
        <is>
          <t>CHALLENGE_POOL</t>
        </is>
      </c>
      <c r="AH276" t="inlineStr">
        <is>
          <t>SCENE</t>
        </is>
      </c>
      <c r="AI276" t="inlineStr">
        <is>
          <t>UNKNOWN</t>
        </is>
      </c>
      <c r="AJ276" t="inlineStr">
        <is>
          <t>C</t>
        </is>
      </c>
      <c r="AK276" t="inlineStr">
        <is>
          <t>核心对象：饮用量与饮用行为；体验：泛指每杯超量及一般人喝一两杯后的情况，未表明自身体验；证据强度：仅有笼统判断和数量描述，信息量较低。</t>
        </is>
      </c>
      <c r="AL276"/>
      <c r="AM276" t="inlineStr">
        <is>
          <t>CHALLENGE_POOL_60.xlsx</t>
        </is>
      </c>
    </row>
    <row r="277" ht="25.5" customHeight="1">
      <c r="A277" t="inlineStr">
        <is>
          <t>MJ-RAW-0320_CHALLENGE_POOL_formal-attempt-0001_AI</t>
        </is>
      </c>
      <c r="B277" t="inlineStr">
        <is>
          <t>吃点下酒菜，看喜欢的电视剧……很舒服很解压</t>
        </is>
      </c>
      <c r="C277"/>
      <c r="D277"/>
      <c r="E277"/>
      <c r="F277"/>
      <c r="G277"/>
      <c r="H277"/>
      <c r="I277"/>
      <c r="J277"/>
      <c r="K277"/>
      <c r="L277"/>
      <c r="M277"/>
      <c r="N277"/>
      <c r="O277"/>
      <c r="P277"/>
      <c r="Q277"/>
      <c r="R277"/>
      <c r="S277">
        <v>0.9</v>
      </c>
      <c r="T277" t="inlineStr">
        <is>
          <t>formal-attempt-0001</t>
        </is>
      </c>
      <c r="U277"/>
      <c r="V277"/>
      <c r="W277"/>
      <c r="X277" t="inlineStr">
        <is>
          <t>MJ-RAW-0320</t>
        </is>
      </c>
      <c r="Y277"/>
      <c r="Z277"/>
      <c r="AA277"/>
      <c r="AB277"/>
      <c r="AC277"/>
      <c r="AD277"/>
      <c r="AE277"/>
      <c r="AF277" t="inlineStr">
        <is>
          <t>AI</t>
        </is>
      </c>
      <c r="AG277" t="inlineStr">
        <is>
          <t>CHALLENGE_POOL</t>
        </is>
      </c>
      <c r="AH277" t="inlineStr">
        <is>
          <t>SCENE</t>
        </is>
      </c>
      <c r="AI277" t="inlineStr">
        <is>
          <t>ACTUAL_USE</t>
        </is>
      </c>
      <c r="AJ277" t="inlineStr">
        <is>
          <t>A</t>
        </is>
      </c>
      <c r="AK277" t="inlineStr">
        <is>
          <t>核心对象：饮酒休闲场景；体验：直接描述配下酒菜看电视剧带来的舒服和解压感；证据强度：有具体场景和明确感受，信息链完整。</t>
        </is>
      </c>
      <c r="AL277"/>
      <c r="AM277" t="inlineStr">
        <is>
          <t>CHALLENGE_POOL_60.xlsx</t>
        </is>
      </c>
    </row>
    <row r="278" ht="25.5" customHeight="1">
      <c r="A278" t="inlineStr">
        <is>
          <t>TB-20260809-007_CHALLENGE_POOL_formal-attempt-0001_AI</t>
        </is>
      </c>
      <c r="B278" t="inlineStr">
        <is>
          <t>喝过日本原装进口的版本，试试国产版，包装完好无损，物流也很快</t>
        </is>
      </c>
      <c r="C278"/>
      <c r="D278"/>
      <c r="E278"/>
      <c r="F278"/>
      <c r="G278"/>
      <c r="H278"/>
      <c r="I278"/>
      <c r="J278"/>
      <c r="K278"/>
      <c r="L278"/>
      <c r="M278"/>
      <c r="N278"/>
      <c r="O278"/>
      <c r="P278"/>
      <c r="Q278"/>
      <c r="R278"/>
      <c r="S278">
        <v>0.7</v>
      </c>
      <c r="T278" t="inlineStr">
        <is>
          <t>formal-attempt-0001</t>
        </is>
      </c>
      <c r="U278"/>
      <c r="V278"/>
      <c r="W278"/>
      <c r="X278" t="inlineStr">
        <is>
          <t>TB-20260809-007</t>
        </is>
      </c>
      <c r="Y278"/>
      <c r="Z278"/>
      <c r="AA278"/>
      <c r="AB278"/>
      <c r="AC278"/>
      <c r="AD278"/>
      <c r="AE278"/>
      <c r="AF278" t="inlineStr">
        <is>
          <t>AI</t>
        </is>
      </c>
      <c r="AG278" t="inlineStr">
        <is>
          <t>CHALLENGE_POOL</t>
        </is>
      </c>
      <c r="AH278" t="inlineStr">
        <is>
          <t>SERVICE</t>
        </is>
      </c>
      <c r="AI278" t="inlineStr">
        <is>
          <t>ACTUAL_USE</t>
        </is>
      </c>
      <c r="AJ278" t="inlineStr">
        <is>
          <t>A</t>
        </is>
      </c>
      <c r="AK278" t="inlineStr">
        <is>
          <t>核心对象：配送与购买服务；体验：原文评价包装完好无损且物流很快，并提到试用国产版；证据强度：有具体履约细节和明确评价，信息链完整。</t>
        </is>
      </c>
      <c r="AL278"/>
      <c r="AM278" t="inlineStr">
        <is>
          <t>CHALLENGE_POOL_60.xlsx</t>
        </is>
      </c>
    </row>
    <row r="279" ht="25.5" customHeight="1">
      <c r="A279" t="inlineStr">
        <is>
          <t>TB-20260809-008_CHALLENGE_POOL_formal-attempt-0001_AI</t>
        </is>
      </c>
      <c r="B279" t="inlineStr">
        <is>
          <t>酒精感不浓，酸甜偏甜，一定要加冰🧊，买过好多次了，挺好喝的</t>
        </is>
      </c>
      <c r="C279"/>
      <c r="D279"/>
      <c r="E279"/>
      <c r="F279"/>
      <c r="G279"/>
      <c r="H279"/>
      <c r="I279"/>
      <c r="J279"/>
      <c r="K279"/>
      <c r="L279"/>
      <c r="M279"/>
      <c r="N279"/>
      <c r="O279"/>
      <c r="P279"/>
      <c r="Q279"/>
      <c r="R279"/>
      <c r="S279">
        <v>0.9</v>
      </c>
      <c r="T279" t="inlineStr">
        <is>
          <t>formal-attempt-0001</t>
        </is>
      </c>
      <c r="U279"/>
      <c r="V279"/>
      <c r="W279"/>
      <c r="X279" t="inlineStr">
        <is>
          <t>TB-20260809-008</t>
        </is>
      </c>
      <c r="Y279"/>
      <c r="Z279"/>
      <c r="AA279"/>
      <c r="AB279"/>
      <c r="AC279"/>
      <c r="AD279"/>
      <c r="AE279"/>
      <c r="AF279" t="inlineStr">
        <is>
          <t>AI</t>
        </is>
      </c>
      <c r="AG279" t="inlineStr">
        <is>
          <t>CHALLENGE_POOL</t>
        </is>
      </c>
      <c r="AH279" t="inlineStr">
        <is>
          <t>PRODUCT</t>
        </is>
      </c>
      <c r="AI279" t="inlineStr">
        <is>
          <t>ACTUAL_USE</t>
        </is>
      </c>
      <c r="AJ279" t="inlineStr">
        <is>
          <t>A</t>
        </is>
      </c>
      <c r="AK279" t="inlineStr">
        <is>
          <t>核心对象：产品口味与饮用方式；体验：直接评价酒精感和酸甜度，说明加冰饮用并表示好喝；证据强度：有具体口感、饮用方式和明确判断，信息链完整。</t>
        </is>
      </c>
      <c r="AL279"/>
      <c r="AM279" t="inlineStr">
        <is>
          <t>CHALLENGE_POOL_60.xlsx</t>
        </is>
      </c>
    </row>
    <row r="280" ht="25.5" customHeight="1">
      <c r="A280" t="inlineStr">
        <is>
          <t>TB-20260809-015_CHALLENGE_POOL_formal-attempt-0001_AI</t>
        </is>
      </c>
      <c r="B280" t="inlineStr">
        <is>
          <t>真实果汁+纯净伏特加，酸甜平衡、气泡绵密，顺滑不呛口。温柔果味藏着利落后劲，微醺不头疼、放松不难受，氛围感直接拉满，无限回购！</t>
        </is>
      </c>
      <c r="C280"/>
      <c r="D280"/>
      <c r="E280"/>
      <c r="F280"/>
      <c r="G280"/>
      <c r="H280"/>
      <c r="I280"/>
      <c r="J280"/>
      <c r="K280"/>
      <c r="L280"/>
      <c r="M280"/>
      <c r="N280"/>
      <c r="O280"/>
      <c r="P280"/>
      <c r="Q280"/>
      <c r="R280"/>
      <c r="S280">
        <v>0.9</v>
      </c>
      <c r="T280" t="inlineStr">
        <is>
          <t>formal-attempt-0001</t>
        </is>
      </c>
      <c r="U280"/>
      <c r="V280"/>
      <c r="W280"/>
      <c r="X280" t="inlineStr">
        <is>
          <t>TB-20260809-015</t>
        </is>
      </c>
      <c r="Y280"/>
      <c r="Z280"/>
      <c r="AA280"/>
      <c r="AB280"/>
      <c r="AC280"/>
      <c r="AD280"/>
      <c r="AE280"/>
      <c r="AF280" t="inlineStr">
        <is>
          <t>AI</t>
        </is>
      </c>
      <c r="AG280" t="inlineStr">
        <is>
          <t>CHALLENGE_POOL</t>
        </is>
      </c>
      <c r="AH280" t="inlineStr">
        <is>
          <t>PRODUCT</t>
        </is>
      </c>
      <c r="AI280" t="inlineStr">
        <is>
          <t>ACTUAL_USE</t>
        </is>
      </c>
      <c r="AJ280" t="inlineStr">
        <is>
          <t>A</t>
        </is>
      </c>
      <c r="AK280" t="inlineStr">
        <is>
          <t>核心对象：产品口味与饮用体验；体验：直接描述酸甜、气泡、顺滑及饮后微醺放松感，并表示回购；证据强度：包含多项具体口感和明确结论，信息链完整。</t>
        </is>
      </c>
      <c r="AL280"/>
      <c r="AM280" t="inlineStr">
        <is>
          <t>CHALLENGE_POOL_60.xlsx</t>
        </is>
      </c>
    </row>
    <row r="281" ht="25.5" customHeight="1">
      <c r="A281" t="inlineStr">
        <is>
          <t>TB-20260809-020_CHALLENGE_POOL_formal-attempt-0001_AI</t>
        </is>
      </c>
      <c r="B281" t="inlineStr">
        <is>
          <t>锐奥鸡尾酒6个味道的，朋友聚会不错的选择。</t>
        </is>
      </c>
      <c r="C281"/>
      <c r="D281"/>
      <c r="E281"/>
      <c r="F281"/>
      <c r="G281"/>
      <c r="H281"/>
      <c r="I281"/>
      <c r="J281"/>
      <c r="K281"/>
      <c r="L281"/>
      <c r="M281"/>
      <c r="N281"/>
      <c r="O281"/>
      <c r="P281"/>
      <c r="Q281"/>
      <c r="R281"/>
      <c r="S281">
        <v>0.9</v>
      </c>
      <c r="T281" t="inlineStr">
        <is>
          <t>formal-attempt-0001</t>
        </is>
      </c>
      <c r="U281"/>
      <c r="V281"/>
      <c r="W281"/>
      <c r="X281" t="inlineStr">
        <is>
          <t>TB-20260809-020</t>
        </is>
      </c>
      <c r="Y281"/>
      <c r="Z281"/>
      <c r="AA281"/>
      <c r="AB281"/>
      <c r="AC281"/>
      <c r="AD281"/>
      <c r="AE281"/>
      <c r="AF281" t="inlineStr">
        <is>
          <t>AI</t>
        </is>
      </c>
      <c r="AG281" t="inlineStr">
        <is>
          <t>CHALLENGE_POOL</t>
        </is>
      </c>
      <c r="AH281" t="inlineStr">
        <is>
          <t>OTHER</t>
        </is>
      </c>
      <c r="AI281" t="inlineStr">
        <is>
          <t>UNKNOWN</t>
        </is>
      </c>
      <c r="AJ281" t="inlineStr">
        <is>
          <t>C</t>
        </is>
      </c>
      <c r="AK281" t="inlineStr">
        <is>
          <t>核心对象：朋友聚会的饮用推荐；体验：原文只说适合朋友聚会，未明示实际饮用；证据强度：仅有笼统推荐，信息量较低。</t>
        </is>
      </c>
      <c r="AL281"/>
      <c r="AM281" t="inlineStr">
        <is>
          <t>CHALLENGE_POOL_60.xlsx</t>
        </is>
      </c>
    </row>
    <row r="282" ht="25.5" customHeight="1">
      <c r="A282" t="inlineStr">
        <is>
          <t>TB-20260809-029_CHALLENGE_POOL_formal-attempt-0001_AI</t>
        </is>
      </c>
      <c r="B282" t="inlineStr">
        <is>
          <t>味道比较清新，能加点桂花之类的风味会好一些。</t>
        </is>
      </c>
      <c r="C282"/>
      <c r="D282"/>
      <c r="E282"/>
      <c r="F282"/>
      <c r="G282"/>
      <c r="H282"/>
      <c r="I282"/>
      <c r="J282"/>
      <c r="K282"/>
      <c r="L282"/>
      <c r="M282"/>
      <c r="N282"/>
      <c r="O282"/>
      <c r="P282"/>
      <c r="Q282"/>
      <c r="R282"/>
      <c r="S282">
        <v>0.9</v>
      </c>
      <c r="T282" t="inlineStr">
        <is>
          <t>formal-attempt-0001</t>
        </is>
      </c>
      <c r="U282"/>
      <c r="V282"/>
      <c r="W282"/>
      <c r="X282" t="inlineStr">
        <is>
          <t>TB-20260809-029</t>
        </is>
      </c>
      <c r="Y282"/>
      <c r="Z282"/>
      <c r="AA282"/>
      <c r="AB282"/>
      <c r="AC282"/>
      <c r="AD282"/>
      <c r="AE282"/>
      <c r="AF282" t="inlineStr">
        <is>
          <t>AI</t>
        </is>
      </c>
      <c r="AG282" t="inlineStr">
        <is>
          <t>CHALLENGE_POOL</t>
        </is>
      </c>
      <c r="AH282" t="inlineStr">
        <is>
          <t>PRODUCT</t>
        </is>
      </c>
      <c r="AI282" t="inlineStr">
        <is>
          <t>ACTUAL_USE</t>
        </is>
      </c>
      <c r="AJ282" t="inlineStr">
        <is>
          <t>C</t>
        </is>
      </c>
      <c r="AK282" t="inlineStr">
        <is>
          <t>核心对象：产品口味；体验：直接评价味道清新并建议增加桂花风味；证据强度：判断明确但缺少具体饮用情境和更多依据，信息量有限。</t>
        </is>
      </c>
      <c r="AL282"/>
      <c r="AM282" t="inlineStr">
        <is>
          <t>CHALLENGE_POOL_60.xlsx</t>
        </is>
      </c>
    </row>
    <row r="283" ht="25.5" customHeight="1">
      <c r="A283" t="inlineStr">
        <is>
          <t>TB-20260809-030_CHALLENGE_POOL_formal-attempt-0001_AI</t>
        </is>
      </c>
      <c r="B283" t="inlineStr">
        <is>
          <t>本来想自己泡青梅酒的，天气太热怕买回来青梅坏了，先买成品青梅酒尝尝味道，还不错，刚入口有点红酒味，然后品一品有青梅，还有点杏仁味。配料表挺干净。过两天再尝尝白金款。</t>
        </is>
      </c>
      <c r="C283"/>
      <c r="D283"/>
      <c r="E283"/>
      <c r="F283"/>
      <c r="G283"/>
      <c r="H283"/>
      <c r="I283"/>
      <c r="J283"/>
      <c r="K283"/>
      <c r="L283"/>
      <c r="M283"/>
      <c r="N283"/>
      <c r="O283"/>
      <c r="P283"/>
      <c r="Q283"/>
      <c r="R283"/>
      <c r="S283">
        <v>0.9</v>
      </c>
      <c r="T283" t="inlineStr">
        <is>
          <t>formal-attempt-0001</t>
        </is>
      </c>
      <c r="U283"/>
      <c r="V283"/>
      <c r="W283"/>
      <c r="X283" t="inlineStr">
        <is>
          <t>TB-20260809-030</t>
        </is>
      </c>
      <c r="Y283"/>
      <c r="Z283"/>
      <c r="AA283"/>
      <c r="AB283"/>
      <c r="AC283"/>
      <c r="AD283"/>
      <c r="AE283"/>
      <c r="AF283" t="inlineStr">
        <is>
          <t>AI</t>
        </is>
      </c>
      <c r="AG283" t="inlineStr">
        <is>
          <t>CHALLENGE_POOL</t>
        </is>
      </c>
      <c r="AH283" t="inlineStr">
        <is>
          <t>PRODUCT</t>
        </is>
      </c>
      <c r="AI283" t="inlineStr">
        <is>
          <t>ACTUAL_USE</t>
        </is>
      </c>
      <c r="AJ283" t="inlineStr">
        <is>
          <t>A</t>
        </is>
      </c>
      <c r="AK283" t="inlineStr">
        <is>
          <t>核心对象：产品口味与配料；体验：明确表示买成品尝过，并描述红酒、青梅和杏仁味及配料表感受；证据强度：有具体体验依据和明确评价，信息链完整。</t>
        </is>
      </c>
      <c r="AL283"/>
      <c r="AM283" t="inlineStr">
        <is>
          <t>CHALLENGE_POOL_60.xlsx</t>
        </is>
      </c>
    </row>
    <row r="284" ht="25.5" customHeight="1">
      <c r="A284" t="inlineStr">
        <is>
          <t>TB-20260809-032_CHALLENGE_POOL_formal-attempt-0001_AI</t>
        </is>
      </c>
      <c r="B284" t="inlineStr">
        <is>
          <t>本来只是随便买来试试，没想到味道这么好。口感清爽不甜腻，喝起来很顺滑没有怪味，冰镇之后喝更舒服，已经安利给身边朋友了</t>
        </is>
      </c>
      <c r="C284"/>
      <c r="D284"/>
      <c r="E284"/>
      <c r="F284"/>
      <c r="G284"/>
      <c r="H284"/>
      <c r="I284"/>
      <c r="J284"/>
      <c r="K284"/>
      <c r="L284"/>
      <c r="M284"/>
      <c r="N284"/>
      <c r="O284"/>
      <c r="P284"/>
      <c r="Q284"/>
      <c r="R284"/>
      <c r="S284">
        <v>0.9</v>
      </c>
      <c r="T284" t="inlineStr">
        <is>
          <t>formal-attempt-0001</t>
        </is>
      </c>
      <c r="U284"/>
      <c r="V284"/>
      <c r="W284"/>
      <c r="X284" t="inlineStr">
        <is>
          <t>TB-20260809-032</t>
        </is>
      </c>
      <c r="Y284"/>
      <c r="Z284"/>
      <c r="AA284"/>
      <c r="AB284"/>
      <c r="AC284"/>
      <c r="AD284"/>
      <c r="AE284"/>
      <c r="AF284" t="inlineStr">
        <is>
          <t>AI</t>
        </is>
      </c>
      <c r="AG284" t="inlineStr">
        <is>
          <t>CHALLENGE_POOL</t>
        </is>
      </c>
      <c r="AH284" t="inlineStr">
        <is>
          <t>PRODUCT</t>
        </is>
      </c>
      <c r="AI284" t="inlineStr">
        <is>
          <t>ACTUAL_USE</t>
        </is>
      </c>
      <c r="AJ284" t="inlineStr">
        <is>
          <t>A</t>
        </is>
      </c>
      <c r="AK284" t="inlineStr">
        <is>
          <t>核心对象：产品口感；体验：明确描述清爽、顺滑、无怪味及冰镇后的感受，并表示推荐给朋友；证据强度：有多项具体口感依据和明确结论，信息链完整。</t>
        </is>
      </c>
      <c r="AL284"/>
      <c r="AM284" t="inlineStr">
        <is>
          <t>CHALLENGE_POOL_60.xlsx</t>
        </is>
      </c>
    </row>
    <row r="285" ht="25.5" customHeight="1">
      <c r="A285" t="inlineStr">
        <is>
          <t>TB-20260809-035_CHALLENGE_POOL_formal-attempt-0001_AI</t>
        </is>
      </c>
      <c r="B285" t="inlineStr">
        <is>
          <t>不错，包装特别好，比实体店划算</t>
        </is>
      </c>
      <c r="C285"/>
      <c r="D285"/>
      <c r="E285"/>
      <c r="F285"/>
      <c r="G285"/>
      <c r="H285"/>
      <c r="I285"/>
      <c r="J285"/>
      <c r="K285"/>
      <c r="L285"/>
      <c r="M285"/>
      <c r="N285"/>
      <c r="O285"/>
      <c r="P285"/>
      <c r="Q285"/>
      <c r="R285"/>
      <c r="S285">
        <v>0.7</v>
      </c>
      <c r="T285" t="inlineStr">
        <is>
          <t>formal-attempt-0001</t>
        </is>
      </c>
      <c r="U285"/>
      <c r="V285"/>
      <c r="W285"/>
      <c r="X285" t="inlineStr">
        <is>
          <t>TB-20260809-035</t>
        </is>
      </c>
      <c r="Y285"/>
      <c r="Z285"/>
      <c r="AA285"/>
      <c r="AB285"/>
      <c r="AC285"/>
      <c r="AD285"/>
      <c r="AE285"/>
      <c r="AF285" t="inlineStr">
        <is>
          <t>AI</t>
        </is>
      </c>
      <c r="AG285" t="inlineStr">
        <is>
          <t>CHALLENGE_POOL</t>
        </is>
      </c>
      <c r="AH285" t="inlineStr">
        <is>
          <t>SERVICE</t>
        </is>
      </c>
      <c r="AI285" t="inlineStr">
        <is>
          <t>UNKNOWN</t>
        </is>
      </c>
      <c r="AJ285" t="inlineStr">
        <is>
          <t>B</t>
        </is>
      </c>
      <c r="AK285" t="inlineStr">
        <is>
          <t>核心对象：购买渠道与价格；体验：原文评价包装好且比实体店划算，未明示实际饮用或购买；证据强度：有明确购买判断，但缺少价格和交易细节，信息链不完整。</t>
        </is>
      </c>
      <c r="AL285"/>
      <c r="AM285" t="inlineStr">
        <is>
          <t>CHALLENGE_POOL_60.xlsx</t>
        </is>
      </c>
    </row>
    <row r="286" ht="25.5" customHeight="1">
      <c r="A286" t="inlineStr">
        <is>
          <t>TB-20260809-037_CHALLENGE_POOL_formal-attempt-0001_AI</t>
        </is>
      </c>
      <c r="B286" t="inlineStr">
        <is>
          <t>包裹包装的很好，回来没有破损，味道也很好，还送了冰球模具，非常满意</t>
        </is>
      </c>
      <c r="C286"/>
      <c r="D286"/>
      <c r="E286"/>
      <c r="F286"/>
      <c r="G286"/>
      <c r="H286"/>
      <c r="I286"/>
      <c r="J286"/>
      <c r="K286"/>
      <c r="L286"/>
      <c r="M286"/>
      <c r="N286"/>
      <c r="O286"/>
      <c r="P286"/>
      <c r="Q286"/>
      <c r="R286"/>
      <c r="S286">
        <v>0.7</v>
      </c>
      <c r="T286" t="inlineStr">
        <is>
          <t>formal-attempt-0001</t>
        </is>
      </c>
      <c r="U286"/>
      <c r="V286"/>
      <c r="W286"/>
      <c r="X286" t="inlineStr">
        <is>
          <t>TB-20260809-037</t>
        </is>
      </c>
      <c r="Y286"/>
      <c r="Z286"/>
      <c r="AA286"/>
      <c r="AB286"/>
      <c r="AC286"/>
      <c r="AD286"/>
      <c r="AE286"/>
      <c r="AF286" t="inlineStr">
        <is>
          <t>AI</t>
        </is>
      </c>
      <c r="AG286" t="inlineStr">
        <is>
          <t>CHALLENGE_POOL</t>
        </is>
      </c>
      <c r="AH286" t="inlineStr">
        <is>
          <t>SERVICE</t>
        </is>
      </c>
      <c r="AI286" t="inlineStr">
        <is>
          <t>ACTUAL_USE</t>
        </is>
      </c>
      <c r="AJ286" t="inlineStr">
        <is>
          <t>A</t>
        </is>
      </c>
      <c r="AK286" t="inlineStr">
        <is>
          <t>核心对象：配送与购买服务；体验：原文评价包裹包装、无破损和赠品，并表示满意；证据强度：有具体履约细节和明确评价，信息链完整。</t>
        </is>
      </c>
      <c r="AL286"/>
      <c r="AM286" t="inlineStr">
        <is>
          <t>CHALLENGE_POOL_60.xlsx</t>
        </is>
      </c>
    </row>
    <row r="287" ht="25.5" customHeight="1">
      <c r="A287" t="inlineStr">
        <is>
          <t>TB-20260809-045_CHALLENGE_POOL_formal-attempt-0001_AI</t>
        </is>
      </c>
      <c r="B287" t="inlineStr">
        <is>
          <t>我觉得挺好喝，已经买过很多梅见的口味了，都能接受</t>
        </is>
      </c>
      <c r="C287"/>
      <c r="D287"/>
      <c r="E287"/>
      <c r="F287"/>
      <c r="G287"/>
      <c r="H287"/>
      <c r="I287"/>
      <c r="J287"/>
      <c r="K287"/>
      <c r="L287"/>
      <c r="M287"/>
      <c r="N287"/>
      <c r="O287"/>
      <c r="P287"/>
      <c r="Q287"/>
      <c r="R287"/>
      <c r="S287">
        <v>0.9</v>
      </c>
      <c r="T287" t="inlineStr">
        <is>
          <t>formal-attempt-0001</t>
        </is>
      </c>
      <c r="U287"/>
      <c r="V287"/>
      <c r="W287"/>
      <c r="X287" t="inlineStr">
        <is>
          <t>TB-20260809-045</t>
        </is>
      </c>
      <c r="Y287"/>
      <c r="Z287"/>
      <c r="AA287"/>
      <c r="AB287"/>
      <c r="AC287"/>
      <c r="AD287"/>
      <c r="AE287"/>
      <c r="AF287" t="inlineStr">
        <is>
          <t>AI</t>
        </is>
      </c>
      <c r="AG287" t="inlineStr">
        <is>
          <t>CHALLENGE_POOL</t>
        </is>
      </c>
      <c r="AH287" t="inlineStr">
        <is>
          <t>PRODUCT</t>
        </is>
      </c>
      <c r="AI287" t="inlineStr">
        <is>
          <t>ACTUAL_USE</t>
        </is>
      </c>
      <c r="AJ287" t="inlineStr">
        <is>
          <t>C</t>
        </is>
      </c>
      <c r="AK287" t="inlineStr">
        <is>
          <t>核心对象：产品口味；体验：直接评价好喝并说明买过多种口味且都能接受；证据强度：判断明确但缺少具体口感依据，信息量较低。</t>
        </is>
      </c>
      <c r="AL287"/>
      <c r="AM287" t="inlineStr">
        <is>
          <t>CHALLENGE_POOL_60.xlsx</t>
        </is>
      </c>
    </row>
    <row r="288" ht="25.5" customHeight="1">
      <c r="A288" t="inlineStr">
        <is>
          <t>TB-20260809-047_CHALLENGE_POOL_formal-attempt-0001_AI</t>
        </is>
      </c>
      <c r="B288" t="inlineStr">
        <is>
          <t>多次购买的梅见青梅酒，和闺蜜小饮怡情，味道好，感觉更好。</t>
        </is>
      </c>
      <c r="C288"/>
      <c r="D288"/>
      <c r="E288"/>
      <c r="F288"/>
      <c r="G288"/>
      <c r="H288"/>
      <c r="I288"/>
      <c r="J288"/>
      <c r="K288"/>
      <c r="L288"/>
      <c r="M288"/>
      <c r="N288"/>
      <c r="O288"/>
      <c r="P288"/>
      <c r="Q288"/>
      <c r="R288"/>
      <c r="S288">
        <v>0.7</v>
      </c>
      <c r="T288" t="inlineStr">
        <is>
          <t>formal-attempt-0001</t>
        </is>
      </c>
      <c r="U288"/>
      <c r="V288"/>
      <c r="W288"/>
      <c r="X288" t="inlineStr">
        <is>
          <t>TB-20260809-047</t>
        </is>
      </c>
      <c r="Y288"/>
      <c r="Z288"/>
      <c r="AA288"/>
      <c r="AB288"/>
      <c r="AC288"/>
      <c r="AD288"/>
      <c r="AE288"/>
      <c r="AF288" t="inlineStr">
        <is>
          <t>AI</t>
        </is>
      </c>
      <c r="AG288" t="inlineStr">
        <is>
          <t>CHALLENGE_POOL</t>
        </is>
      </c>
      <c r="AH288" t="inlineStr">
        <is>
          <t>SCENE</t>
        </is>
      </c>
      <c r="AI288" t="inlineStr">
        <is>
          <t>ACTUAL_USE</t>
        </is>
      </c>
      <c r="AJ288" t="inlineStr">
        <is>
          <t>A</t>
        </is>
      </c>
      <c r="AK288" t="inlineStr">
        <is>
          <t>核心对象：与朋友小饮的社交场景；体验：原文描述和闺蜜小饮并评价味道和感受更好；证据强度：有同行者、饮用方式和明确评价，信息链完整。</t>
        </is>
      </c>
      <c r="AL288"/>
      <c r="AM288" t="inlineStr">
        <is>
          <t>CHALLENGE_POOL_60.xlsx</t>
        </is>
      </c>
    </row>
    <row r="289" ht="25.5" customHeight="1">
      <c r="A289" t="inlineStr">
        <is>
          <t>TB-20260809-051_CHALLENGE_POOL_formal-attempt-0001_AI</t>
        </is>
      </c>
      <c r="B289" t="inlineStr">
        <is>
          <t>物流很快东西很好很不错蛮喜欢可以对水溶c好喝的</t>
        </is>
      </c>
      <c r="C289"/>
      <c r="D289"/>
      <c r="E289"/>
      <c r="F289"/>
      <c r="G289"/>
      <c r="H289"/>
      <c r="I289"/>
      <c r="J289"/>
      <c r="K289"/>
      <c r="L289"/>
      <c r="M289"/>
      <c r="N289"/>
      <c r="O289"/>
      <c r="P289"/>
      <c r="Q289"/>
      <c r="R289"/>
      <c r="S289">
        <v>0.7</v>
      </c>
      <c r="T289" t="inlineStr">
        <is>
          <t>formal-attempt-0001</t>
        </is>
      </c>
      <c r="U289"/>
      <c r="V289"/>
      <c r="W289"/>
      <c r="X289" t="inlineStr">
        <is>
          <t>TB-20260809-051</t>
        </is>
      </c>
      <c r="Y289"/>
      <c r="Z289"/>
      <c r="AA289"/>
      <c r="AB289"/>
      <c r="AC289"/>
      <c r="AD289"/>
      <c r="AE289"/>
      <c r="AF289" t="inlineStr">
        <is>
          <t>AI</t>
        </is>
      </c>
      <c r="AG289" t="inlineStr">
        <is>
          <t>CHALLENGE_POOL</t>
        </is>
      </c>
      <c r="AH289" t="inlineStr">
        <is>
          <t>PRODUCT</t>
        </is>
      </c>
      <c r="AI289" t="inlineStr">
        <is>
          <t>ACTUAL_USE</t>
        </is>
      </c>
      <c r="AJ289" t="inlineStr">
        <is>
          <t>B</t>
        </is>
      </c>
      <c r="AK289" t="inlineStr">
        <is>
          <t>核心对象：产品口感与调饮结果；体验：原文称产品好并直接评价兑水溶C后好喝，同时提到物流快；证据强度：有调饮结果和判断，但对象及细节不完整，信息链不完整。</t>
        </is>
      </c>
      <c r="AL289"/>
      <c r="AM289" t="inlineStr">
        <is>
          <t>CHALLENGE_POOL_60.xlsx</t>
        </is>
      </c>
    </row>
    <row r="290" ht="25.5" customHeight="1">
      <c r="A290" t="inlineStr">
        <is>
          <t>XHS-SOC-0003_CHALLENGE_POOL_formal-attempt-0001_AI</t>
        </is>
      </c>
      <c r="B290" t="inlineStr">
        <is>
          <t>一级致癌的应该是情绪病，常年心情不好的人癌症更多找上门。喝点酒能让心情好就喝点</t>
        </is>
      </c>
      <c r="C290"/>
      <c r="D290"/>
      <c r="E290"/>
      <c r="F290"/>
      <c r="G290"/>
      <c r="H290"/>
      <c r="I290"/>
      <c r="J290"/>
      <c r="K290"/>
      <c r="L290"/>
      <c r="M290"/>
      <c r="N290"/>
      <c r="O290"/>
      <c r="P290"/>
      <c r="Q290"/>
      <c r="R290"/>
      <c r="S290">
        <v>0.9</v>
      </c>
      <c r="T290" t="inlineStr">
        <is>
          <t>formal-attempt-0001</t>
        </is>
      </c>
      <c r="U290"/>
      <c r="V290"/>
      <c r="W290"/>
      <c r="X290" t="inlineStr">
        <is>
          <t>XHS-SOC-0003</t>
        </is>
      </c>
      <c r="Y290"/>
      <c r="Z290"/>
      <c r="AA290"/>
      <c r="AB290"/>
      <c r="AC290"/>
      <c r="AD290"/>
      <c r="AE290"/>
      <c r="AF290" t="inlineStr">
        <is>
          <t>AI</t>
        </is>
      </c>
      <c r="AG290" t="inlineStr">
        <is>
          <t>CHALLENGE_POOL</t>
        </is>
      </c>
      <c r="AH290" t="inlineStr">
        <is>
          <t>OTHER</t>
        </is>
      </c>
      <c r="AI290" t="inlineStr">
        <is>
          <t>UNKNOWN</t>
        </is>
      </c>
      <c r="AJ290" t="inlineStr">
        <is>
          <t>C</t>
        </is>
      </c>
      <c r="AK290" t="inlineStr">
        <is>
          <t>核心对象：泛化的酒精健康与情绪观点；体验：原文主张心情不好与癌症相关并称喝酒可改善心情，未表明自身饮用；证据强度：属于笼统观点，缺少具体对象、情境和可核查依据。</t>
        </is>
      </c>
      <c r="AL290"/>
      <c r="AM290" t="inlineStr">
        <is>
          <t>CHALLENGE_POOL_60.xlsx</t>
        </is>
      </c>
    </row>
    <row r="291" ht="25.5" customHeight="1">
      <c r="A291" t="inlineStr">
        <is>
          <t>XHS-SOC-0015_CHALLENGE_POOL_formal-attempt-0001_AI</t>
        </is>
      </c>
      <c r="B291" t="inlineStr">
        <is>
          <t>高敏人平时脑子真的想很多，喝了之后能明显感觉到停止了思考，幸福了起来</t>
        </is>
      </c>
      <c r="C291"/>
      <c r="D291"/>
      <c r="E291"/>
      <c r="F291"/>
      <c r="G291"/>
      <c r="H291"/>
      <c r="I291"/>
      <c r="J291"/>
      <c r="K291"/>
      <c r="L291"/>
      <c r="M291"/>
      <c r="N291"/>
      <c r="O291"/>
      <c r="P291"/>
      <c r="Q291"/>
      <c r="R291"/>
      <c r="S291">
        <v>0.9</v>
      </c>
      <c r="T291" t="inlineStr">
        <is>
          <t>formal-attempt-0001</t>
        </is>
      </c>
      <c r="U291"/>
      <c r="V291"/>
      <c r="W291"/>
      <c r="X291" t="inlineStr">
        <is>
          <t>XHS-SOC-0015</t>
        </is>
      </c>
      <c r="Y291"/>
      <c r="Z291"/>
      <c r="AA291"/>
      <c r="AB291"/>
      <c r="AC291"/>
      <c r="AD291"/>
      <c r="AE291"/>
      <c r="AF291" t="inlineStr">
        <is>
          <t>AI</t>
        </is>
      </c>
      <c r="AG291" t="inlineStr">
        <is>
          <t>CHALLENGE_POOL</t>
        </is>
      </c>
      <c r="AH291" t="inlineStr">
        <is>
          <t>SCENE</t>
        </is>
      </c>
      <c r="AI291" t="inlineStr">
        <is>
          <t>ACTUAL_USE</t>
        </is>
      </c>
      <c r="AJ291" t="inlineStr">
        <is>
          <t>A</t>
        </is>
      </c>
      <c r="AK291" t="inlineStr">
        <is>
          <t>核心对象：饮后心理状态；体验：ACTUAL_USE；证据强度：A。</t>
        </is>
      </c>
      <c r="AL291"/>
      <c r="AM291" t="inlineStr">
        <is>
          <t>CHALLENGE_POOL_60.xlsx</t>
        </is>
      </c>
    </row>
    <row r="292" ht="25.5" customHeight="1">
      <c r="A292" t="inlineStr">
        <is>
          <t>XHS-SOC-0023_CHALLENGE_POOL_formal-attempt-0001_AI</t>
        </is>
      </c>
      <c r="B292" t="inlineStr">
        <is>
          <t>其实我单纯不理解危害健康的酒为什么会被推到如此崇高的地位</t>
        </is>
      </c>
      <c r="C292"/>
      <c r="D292"/>
      <c r="E292"/>
      <c r="F292"/>
      <c r="G292"/>
      <c r="H292"/>
      <c r="I292"/>
      <c r="J292"/>
      <c r="K292"/>
      <c r="L292"/>
      <c r="M292"/>
      <c r="N292"/>
      <c r="O292"/>
      <c r="P292"/>
      <c r="Q292"/>
      <c r="R292"/>
      <c r="S292">
        <v>0.9</v>
      </c>
      <c r="T292" t="inlineStr">
        <is>
          <t>formal-attempt-0001</t>
        </is>
      </c>
      <c r="U292"/>
      <c r="V292"/>
      <c r="W292"/>
      <c r="X292" t="inlineStr">
        <is>
          <t>XHS-SOC-0023</t>
        </is>
      </c>
      <c r="Y292"/>
      <c r="Z292"/>
      <c r="AA292"/>
      <c r="AB292"/>
      <c r="AC292"/>
      <c r="AD292"/>
      <c r="AE292"/>
      <c r="AF292" t="inlineStr">
        <is>
          <t>AI</t>
        </is>
      </c>
      <c r="AG292" t="inlineStr">
        <is>
          <t>CHALLENGE_POOL</t>
        </is>
      </c>
      <c r="AH292" t="inlineStr">
        <is>
          <t>OTHER</t>
        </is>
      </c>
      <c r="AI292" t="inlineStr">
        <is>
          <t>UNKNOWN</t>
        </is>
      </c>
      <c r="AJ292" t="inlineStr">
        <is>
          <t>C</t>
        </is>
      </c>
      <c r="AK292" t="inlineStr">
        <is>
          <t>核心对象：泛化酒精健康与社会地位讨论；体验：UNKNOWN；证据强度：C。</t>
        </is>
      </c>
      <c r="AL292"/>
      <c r="AM292" t="inlineStr">
        <is>
          <t>CHALLENGE_POOL_60.xlsx</t>
        </is>
      </c>
    </row>
    <row r="293" ht="25.5" customHeight="1">
      <c r="A293" t="inlineStr">
        <is>
          <t>XHS-SOC-0024_CHALLENGE_POOL_formal-attempt-0001_AI</t>
        </is>
      </c>
      <c r="B293" t="inlineStr">
        <is>
          <t>没觉得喝一口都是工业味么</t>
        </is>
      </c>
      <c r="C293"/>
      <c r="D293"/>
      <c r="E293"/>
      <c r="F293"/>
      <c r="G293"/>
      <c r="H293"/>
      <c r="I293"/>
      <c r="J293"/>
      <c r="K293"/>
      <c r="L293"/>
      <c r="M293"/>
      <c r="N293"/>
      <c r="O293"/>
      <c r="P293"/>
      <c r="Q293"/>
      <c r="R293"/>
      <c r="S293">
        <v>0.9</v>
      </c>
      <c r="T293" t="inlineStr">
        <is>
          <t>formal-attempt-0001</t>
        </is>
      </c>
      <c r="U293"/>
      <c r="V293"/>
      <c r="W293"/>
      <c r="X293" t="inlineStr">
        <is>
          <t>XHS-SOC-0024</t>
        </is>
      </c>
      <c r="Y293"/>
      <c r="Z293"/>
      <c r="AA293"/>
      <c r="AB293"/>
      <c r="AC293"/>
      <c r="AD293"/>
      <c r="AE293"/>
      <c r="AF293" t="inlineStr">
        <is>
          <t>AI</t>
        </is>
      </c>
      <c r="AG293" t="inlineStr">
        <is>
          <t>CHALLENGE_POOL</t>
        </is>
      </c>
      <c r="AH293" t="inlineStr">
        <is>
          <t>PRODUCT</t>
        </is>
      </c>
      <c r="AI293" t="inlineStr">
        <is>
          <t>ACTUAL_USE</t>
        </is>
      </c>
      <c r="AJ293" t="inlineStr">
        <is>
          <t>A</t>
        </is>
      </c>
      <c r="AK293" t="inlineStr">
        <is>
          <t>核心对象：产品酒味；体验：ACTUAL_USE；证据强度：A。</t>
        </is>
      </c>
      <c r="AL293"/>
      <c r="AM293" t="inlineStr">
        <is>
          <t>CHALLENGE_POOL_60.xlsx</t>
        </is>
      </c>
    </row>
    <row r="294" ht="25.5" customHeight="1">
      <c r="A294" t="inlineStr">
        <is>
          <t>XHS-SOC-0026_CHALLENGE_POOL_formal-attempt-0001_AI</t>
        </is>
      </c>
      <c r="B294" t="inlineStr">
        <is>
          <t>直接喝呀，这个又不难喝</t>
        </is>
      </c>
      <c r="C294"/>
      <c r="D294"/>
      <c r="E294"/>
      <c r="F294"/>
      <c r="G294"/>
      <c r="H294"/>
      <c r="I294"/>
      <c r="J294"/>
      <c r="K294"/>
      <c r="L294"/>
      <c r="M294"/>
      <c r="N294"/>
      <c r="O294"/>
      <c r="P294"/>
      <c r="Q294"/>
      <c r="R294"/>
      <c r="S294">
        <v>0.9</v>
      </c>
      <c r="T294" t="inlineStr">
        <is>
          <t>formal-attempt-0001</t>
        </is>
      </c>
      <c r="U294"/>
      <c r="V294"/>
      <c r="W294"/>
      <c r="X294" t="inlineStr">
        <is>
          <t>XHS-SOC-0026</t>
        </is>
      </c>
      <c r="Y294"/>
      <c r="Z294"/>
      <c r="AA294"/>
      <c r="AB294"/>
      <c r="AC294"/>
      <c r="AD294"/>
      <c r="AE294"/>
      <c r="AF294" t="inlineStr">
        <is>
          <t>AI</t>
        </is>
      </c>
      <c r="AG294" t="inlineStr">
        <is>
          <t>CHALLENGE_POOL</t>
        </is>
      </c>
      <c r="AH294" t="inlineStr">
        <is>
          <t>PRODUCT</t>
        </is>
      </c>
      <c r="AI294" t="inlineStr">
        <is>
          <t>ACTUAL_USE</t>
        </is>
      </c>
      <c r="AJ294" t="inlineStr">
        <is>
          <t>C</t>
        </is>
      </c>
      <c r="AK294" t="inlineStr">
        <is>
          <t>核心对象：产品口感；体验：ACTUAL_USE；证据强度：C。</t>
        </is>
      </c>
      <c r="AL294"/>
      <c r="AM294" t="inlineStr">
        <is>
          <t>CHALLENGE_POOL_60.xlsx</t>
        </is>
      </c>
    </row>
    <row r="295" ht="25.5" customHeight="1">
      <c r="A295" t="inlineStr">
        <is>
          <t>XHS-SOC-0027_CHALLENGE_POOL_formal-attempt-0001_AI</t>
        </is>
      </c>
      <c r="B295" t="inlineStr">
        <is>
          <t>水溶c那个西柚味的配这个我觉得好好喝</t>
        </is>
      </c>
      <c r="C295"/>
      <c r="D295"/>
      <c r="E295"/>
      <c r="F295"/>
      <c r="G295"/>
      <c r="H295"/>
      <c r="I295"/>
      <c r="J295"/>
      <c r="K295"/>
      <c r="L295"/>
      <c r="M295"/>
      <c r="N295"/>
      <c r="O295"/>
      <c r="P295"/>
      <c r="Q295"/>
      <c r="R295"/>
      <c r="S295">
        <v>0.9</v>
      </c>
      <c r="T295" t="inlineStr">
        <is>
          <t>formal-attempt-0001</t>
        </is>
      </c>
      <c r="U295"/>
      <c r="V295"/>
      <c r="W295"/>
      <c r="X295" t="inlineStr">
        <is>
          <t>XHS-SOC-0027</t>
        </is>
      </c>
      <c r="Y295"/>
      <c r="Z295"/>
      <c r="AA295"/>
      <c r="AB295"/>
      <c r="AC295"/>
      <c r="AD295"/>
      <c r="AE295"/>
      <c r="AF295" t="inlineStr">
        <is>
          <t>AI</t>
        </is>
      </c>
      <c r="AG295" t="inlineStr">
        <is>
          <t>CHALLENGE_POOL</t>
        </is>
      </c>
      <c r="AH295" t="inlineStr">
        <is>
          <t>PRODUCT</t>
        </is>
      </c>
      <c r="AI295" t="inlineStr">
        <is>
          <t>ACTUAL_USE</t>
        </is>
      </c>
      <c r="AJ295" t="inlineStr">
        <is>
          <t>A</t>
        </is>
      </c>
      <c r="AK295" t="inlineStr">
        <is>
          <t>核心对象：调饮结果；体验：ACTUAL_USE；证据强度：A。</t>
        </is>
      </c>
      <c r="AL295"/>
      <c r="AM295" t="inlineStr">
        <is>
          <t>CHALLENGE_POOL_60.xlsx</t>
        </is>
      </c>
    </row>
    <row r="296" ht="25.5" customHeight="1">
      <c r="A296" t="inlineStr">
        <is>
          <t>XHS-SOC-0028_CHALLENGE_POOL_formal-attempt-0001_AI</t>
        </is>
      </c>
      <c r="B296" t="inlineStr">
        <is>
          <t>喝过自己泡的梅子酒后，梅见感觉就是工业酒</t>
        </is>
      </c>
      <c r="C296"/>
      <c r="D296"/>
      <c r="E296"/>
      <c r="F296"/>
      <c r="G296"/>
      <c r="H296"/>
      <c r="I296"/>
      <c r="J296"/>
      <c r="K296"/>
      <c r="L296"/>
      <c r="M296"/>
      <c r="N296"/>
      <c r="O296"/>
      <c r="P296"/>
      <c r="Q296"/>
      <c r="R296"/>
      <c r="S296">
        <v>0.9</v>
      </c>
      <c r="T296" t="inlineStr">
        <is>
          <t>formal-attempt-0001</t>
        </is>
      </c>
      <c r="U296"/>
      <c r="V296"/>
      <c r="W296"/>
      <c r="X296" t="inlineStr">
        <is>
          <t>XHS-SOC-0028</t>
        </is>
      </c>
      <c r="Y296"/>
      <c r="Z296"/>
      <c r="AA296"/>
      <c r="AB296"/>
      <c r="AC296"/>
      <c r="AD296"/>
      <c r="AE296"/>
      <c r="AF296" t="inlineStr">
        <is>
          <t>AI</t>
        </is>
      </c>
      <c r="AG296" t="inlineStr">
        <is>
          <t>CHALLENGE_POOL</t>
        </is>
      </c>
      <c r="AH296" t="inlineStr">
        <is>
          <t>PRODUCT</t>
        </is>
      </c>
      <c r="AI296" t="inlineStr">
        <is>
          <t>ACTUAL_USE</t>
        </is>
      </c>
      <c r="AJ296" t="inlineStr">
        <is>
          <t>A</t>
        </is>
      </c>
      <c r="AK296" t="inlineStr">
        <is>
          <t>核心对象：梅见的酒味体验；体验：ACTUAL_USE；证据强度：A。</t>
        </is>
      </c>
      <c r="AL296"/>
      <c r="AM296" t="inlineStr">
        <is>
          <t>CHALLENGE_POOL_60.xlsx</t>
        </is>
      </c>
    </row>
    <row r="297" ht="25.5" customHeight="1">
      <c r="A297" t="inlineStr">
        <is>
          <t>XHS-SOC-0036_CHALLENGE_POOL_formal-attempt-0001_AI</t>
        </is>
      </c>
      <c r="B297" t="inlineStr">
        <is>
          <t>桂花的，加个冰球直接喝，好喝，原味的就算了</t>
        </is>
      </c>
      <c r="C297"/>
      <c r="D297"/>
      <c r="E297"/>
      <c r="F297"/>
      <c r="G297"/>
      <c r="H297"/>
      <c r="I297"/>
      <c r="J297"/>
      <c r="K297"/>
      <c r="L297"/>
      <c r="M297"/>
      <c r="N297"/>
      <c r="O297"/>
      <c r="P297"/>
      <c r="Q297"/>
      <c r="R297"/>
      <c r="S297">
        <v>0.9</v>
      </c>
      <c r="T297" t="inlineStr">
        <is>
          <t>formal-attempt-0001</t>
        </is>
      </c>
      <c r="U297"/>
      <c r="V297"/>
      <c r="W297"/>
      <c r="X297" t="inlineStr">
        <is>
          <t>XHS-SOC-0036</t>
        </is>
      </c>
      <c r="Y297"/>
      <c r="Z297"/>
      <c r="AA297"/>
      <c r="AB297"/>
      <c r="AC297"/>
      <c r="AD297"/>
      <c r="AE297"/>
      <c r="AF297" t="inlineStr">
        <is>
          <t>AI</t>
        </is>
      </c>
      <c r="AG297" t="inlineStr">
        <is>
          <t>CHALLENGE_POOL</t>
        </is>
      </c>
      <c r="AH297" t="inlineStr">
        <is>
          <t>PRODUCT</t>
        </is>
      </c>
      <c r="AI297" t="inlineStr">
        <is>
          <t>ACTUAL_USE</t>
        </is>
      </c>
      <c r="AJ297" t="inlineStr">
        <is>
          <t>A</t>
        </is>
      </c>
      <c r="AK297" t="inlineStr">
        <is>
          <t>核心对象：产品风味与调饮结果；体验：ACTUAL_USE；证据强度：A。</t>
        </is>
      </c>
      <c r="AL297"/>
      <c r="AM297" t="inlineStr">
        <is>
          <t>CHALLENGE_POOL_60.xlsx</t>
        </is>
      </c>
    </row>
    <row r="298" ht="25.5" customHeight="1">
      <c r="A298" t="inlineStr">
        <is>
          <t>XHS-SOC-0178_CHALLENGE_POOL_formal-attempt-0001_AI</t>
        </is>
      </c>
      <c r="B298" t="inlineStr">
        <is>
          <t>给大家避雷一下 玫瑰荔枝味的就像在喝香水真的接受不了这种味道</t>
        </is>
      </c>
      <c r="C298"/>
      <c r="D298"/>
      <c r="E298"/>
      <c r="F298"/>
      <c r="G298"/>
      <c r="H298"/>
      <c r="I298"/>
      <c r="J298"/>
      <c r="K298"/>
      <c r="L298"/>
      <c r="M298"/>
      <c r="N298"/>
      <c r="O298"/>
      <c r="P298"/>
      <c r="Q298"/>
      <c r="R298"/>
      <c r="S298">
        <v>0.9</v>
      </c>
      <c r="T298" t="inlineStr">
        <is>
          <t>formal-attempt-0001</t>
        </is>
      </c>
      <c r="U298"/>
      <c r="V298"/>
      <c r="W298"/>
      <c r="X298" t="inlineStr">
        <is>
          <t>XHS-SOC-0178</t>
        </is>
      </c>
      <c r="Y298"/>
      <c r="Z298"/>
      <c r="AA298"/>
      <c r="AB298"/>
      <c r="AC298"/>
      <c r="AD298"/>
      <c r="AE298"/>
      <c r="AF298" t="inlineStr">
        <is>
          <t>AI</t>
        </is>
      </c>
      <c r="AG298" t="inlineStr">
        <is>
          <t>CHALLENGE_POOL</t>
        </is>
      </c>
      <c r="AH298" t="inlineStr">
        <is>
          <t>PRODUCT</t>
        </is>
      </c>
      <c r="AI298" t="inlineStr">
        <is>
          <t>ACTUAL_USE</t>
        </is>
      </c>
      <c r="AJ298" t="inlineStr">
        <is>
          <t>A</t>
        </is>
      </c>
      <c r="AK298" t="inlineStr">
        <is>
          <t>核心对象：产品风味；体验：ACTUAL_USE；证据强度：A。</t>
        </is>
      </c>
      <c r="AL298"/>
      <c r="AM298" t="inlineStr">
        <is>
          <t>CHALLENGE_POOL_60.xlsx</t>
        </is>
      </c>
    </row>
    <row r="299" ht="25.5" customHeight="1">
      <c r="A299" t="inlineStr">
        <is>
          <t>XHS-SOC-0188_CHALLENGE_POOL_formal-attempt-0001_AI</t>
        </is>
      </c>
      <c r="B299" t="inlineStr">
        <is>
          <t>喝多一点就容易醒睡不着</t>
        </is>
      </c>
      <c r="C299"/>
      <c r="D299"/>
      <c r="E299"/>
      <c r="F299"/>
      <c r="G299"/>
      <c r="H299"/>
      <c r="I299"/>
      <c r="J299"/>
      <c r="K299"/>
      <c r="L299"/>
      <c r="M299"/>
      <c r="N299"/>
      <c r="O299"/>
      <c r="P299"/>
      <c r="Q299"/>
      <c r="R299"/>
      <c r="S299">
        <v>0.9</v>
      </c>
      <c r="T299" t="inlineStr">
        <is>
          <t>formal-attempt-0001</t>
        </is>
      </c>
      <c r="U299"/>
      <c r="V299"/>
      <c r="W299"/>
      <c r="X299" t="inlineStr">
        <is>
          <t>XHS-SOC-0188</t>
        </is>
      </c>
      <c r="Y299"/>
      <c r="Z299"/>
      <c r="AA299"/>
      <c r="AB299"/>
      <c r="AC299"/>
      <c r="AD299"/>
      <c r="AE299"/>
      <c r="AF299" t="inlineStr">
        <is>
          <t>AI</t>
        </is>
      </c>
      <c r="AG299" t="inlineStr">
        <is>
          <t>CHALLENGE_POOL</t>
        </is>
      </c>
      <c r="AH299" t="inlineStr">
        <is>
          <t>SCENE</t>
        </is>
      </c>
      <c r="AI299" t="inlineStr">
        <is>
          <t>ACTUAL_USE</t>
        </is>
      </c>
      <c r="AJ299" t="inlineStr">
        <is>
          <t>C</t>
        </is>
      </c>
      <c r="AK299" t="inlineStr">
        <is>
          <t>核心对象：饮后身体状态；体验：ACTUAL_USE；证据强度：C。</t>
        </is>
      </c>
      <c r="AL299"/>
      <c r="AM299" t="inlineStr">
        <is>
          <t>CHALLENGE_POOL_60.xlsx</t>
        </is>
      </c>
    </row>
    <row r="300" ht="25.5" customHeight="1">
      <c r="A300" t="inlineStr">
        <is>
          <t>XHS-SOC-0189_CHALLENGE_POOL_formal-attempt-0001_AI</t>
        </is>
      </c>
      <c r="B300" t="inlineStr">
        <is>
          <t>说自己没喝多，然后去卫生间对着镜子说：xxx你别晕，精神点！</t>
        </is>
      </c>
      <c r="C300"/>
      <c r="D300"/>
      <c r="E300"/>
      <c r="F300"/>
      <c r="G300"/>
      <c r="H300"/>
      <c r="I300"/>
      <c r="J300"/>
      <c r="K300"/>
      <c r="L300"/>
      <c r="M300"/>
      <c r="N300"/>
      <c r="O300"/>
      <c r="P300"/>
      <c r="Q300"/>
      <c r="R300"/>
      <c r="S300">
        <v>0.9</v>
      </c>
      <c r="T300" t="inlineStr">
        <is>
          <t>formal-attempt-0001</t>
        </is>
      </c>
      <c r="U300"/>
      <c r="V300"/>
      <c r="W300"/>
      <c r="X300" t="inlineStr">
        <is>
          <t>XHS-SOC-0189</t>
        </is>
      </c>
      <c r="Y300"/>
      <c r="Z300"/>
      <c r="AA300"/>
      <c r="AB300"/>
      <c r="AC300"/>
      <c r="AD300"/>
      <c r="AE300"/>
      <c r="AF300" t="inlineStr">
        <is>
          <t>AI</t>
        </is>
      </c>
      <c r="AG300" t="inlineStr">
        <is>
          <t>CHALLENGE_POOL</t>
        </is>
      </c>
      <c r="AH300" t="inlineStr">
        <is>
          <t>SCENE</t>
        </is>
      </c>
      <c r="AI300" t="inlineStr">
        <is>
          <t>UNKNOWN</t>
        </is>
      </c>
      <c r="AJ300" t="inlineStr">
        <is>
          <t>A</t>
        </is>
      </c>
      <c r="AK300" t="inlineStr">
        <is>
          <t>核心对象：醉酒状态与饮后行为；体验：UNKNOWN；证据强度：A。</t>
        </is>
      </c>
      <c r="AL300"/>
      <c r="AM300" t="inlineStr">
        <is>
          <t>CHALLENGE_POOL_60.xlsx</t>
        </is>
      </c>
    </row>
    <row r="301" ht="25.5" customHeight="1">
      <c r="A301" t="inlineStr">
        <is>
          <t>XHS-SOC-0204_CHALLENGE_POOL_formal-attempt-0001_AI</t>
        </is>
      </c>
      <c r="B301" t="inlineStr">
        <is>
          <t>咬一下手指感觉不痛的时候或者突然变得特别有社交欲的时候就是多了</t>
        </is>
      </c>
      <c r="C301"/>
      <c r="D301"/>
      <c r="E301"/>
      <c r="F301"/>
      <c r="G301"/>
      <c r="H301"/>
      <c r="I301"/>
      <c r="J301"/>
      <c r="K301"/>
      <c r="L301"/>
      <c r="M301"/>
      <c r="N301"/>
      <c r="O301"/>
      <c r="P301"/>
      <c r="Q301"/>
      <c r="R301"/>
      <c r="S301">
        <v>0.9</v>
      </c>
      <c r="T301" t="inlineStr">
        <is>
          <t>formal-attempt-0001</t>
        </is>
      </c>
      <c r="U301"/>
      <c r="V301"/>
      <c r="W301"/>
      <c r="X301" t="inlineStr">
        <is>
          <t>XHS-SOC-0204</t>
        </is>
      </c>
      <c r="Y301"/>
      <c r="Z301"/>
      <c r="AA301"/>
      <c r="AB301"/>
      <c r="AC301"/>
      <c r="AD301"/>
      <c r="AE301"/>
      <c r="AF301" t="inlineStr">
        <is>
          <t>AI</t>
        </is>
      </c>
      <c r="AG301" t="inlineStr">
        <is>
          <t>CHALLENGE_POOL</t>
        </is>
      </c>
      <c r="AH301" t="inlineStr">
        <is>
          <t>SCENE</t>
        </is>
      </c>
      <c r="AI301" t="inlineStr">
        <is>
          <t>UNKNOWN</t>
        </is>
      </c>
      <c r="AJ301" t="inlineStr">
        <is>
          <t>B</t>
        </is>
      </c>
      <c r="AK301" t="inlineStr">
        <is>
          <t>核心对象：饮酒过量的身体与社交状态；体验：UNKNOWN；证据强度：B。</t>
        </is>
      </c>
      <c r="AL301"/>
      <c r="AM301" t="inlineStr">
        <is>
          <t>CHALLENGE_POOL_60.xlsx</t>
        </is>
      </c>
    </row>
    <row r="302" ht="25.5" customHeight="1">
      <c r="A302" t="inlineStr">
        <is>
          <t>XHS-SOC-0215_CHALLENGE_POOL_formal-attempt-0001_AI</t>
        </is>
      </c>
      <c r="B302" t="inlineStr">
        <is>
          <t>不奇怪，我也一个人喝</t>
        </is>
      </c>
      <c r="C302"/>
      <c r="D302"/>
      <c r="E302"/>
      <c r="F302"/>
      <c r="G302"/>
      <c r="H302"/>
      <c r="I302"/>
      <c r="J302"/>
      <c r="K302"/>
      <c r="L302"/>
      <c r="M302"/>
      <c r="N302"/>
      <c r="O302"/>
      <c r="P302"/>
      <c r="Q302"/>
      <c r="R302"/>
      <c r="S302">
        <v>0.9</v>
      </c>
      <c r="T302" t="inlineStr">
        <is>
          <t>formal-attempt-0001</t>
        </is>
      </c>
      <c r="U302"/>
      <c r="V302"/>
      <c r="W302"/>
      <c r="X302" t="inlineStr">
        <is>
          <t>XHS-SOC-0215</t>
        </is>
      </c>
      <c r="Y302"/>
      <c r="Z302"/>
      <c r="AA302"/>
      <c r="AB302"/>
      <c r="AC302"/>
      <c r="AD302"/>
      <c r="AE302"/>
      <c r="AF302" t="inlineStr">
        <is>
          <t>AI</t>
        </is>
      </c>
      <c r="AG302" t="inlineStr">
        <is>
          <t>CHALLENGE_POOL</t>
        </is>
      </c>
      <c r="AH302" t="inlineStr">
        <is>
          <t>SCENE</t>
        </is>
      </c>
      <c r="AI302" t="inlineStr">
        <is>
          <t>ACTUAL_USE</t>
        </is>
      </c>
      <c r="AJ302" t="inlineStr">
        <is>
          <t>C</t>
        </is>
      </c>
      <c r="AK302" t="inlineStr">
        <is>
          <t>核心对象：独自饮酒行为；体验：ACTUAL_USE；证据强度：C。</t>
        </is>
      </c>
      <c r="AL302"/>
      <c r="AM302" t="inlineStr">
        <is>
          <t>CHALLENGE_POOL_60.xlsx</t>
        </is>
      </c>
    </row>
    <row r="303" ht="25.5" customHeight="1">
      <c r="A303" t="inlineStr">
        <is>
          <t>XHS-SOC-0220_CHALLENGE_POOL_formal-attempt-0001_AI</t>
        </is>
      </c>
      <c r="B303" t="inlineStr">
        <is>
          <t>我感觉挺好喝的，加点冰会更好喝点强烈推荐</t>
        </is>
      </c>
      <c r="C303"/>
      <c r="D303"/>
      <c r="E303"/>
      <c r="F303"/>
      <c r="G303"/>
      <c r="H303"/>
      <c r="I303"/>
      <c r="J303"/>
      <c r="K303"/>
      <c r="L303"/>
      <c r="M303"/>
      <c r="N303"/>
      <c r="O303"/>
      <c r="P303"/>
      <c r="Q303"/>
      <c r="R303"/>
      <c r="S303">
        <v>0.9</v>
      </c>
      <c r="T303" t="inlineStr">
        <is>
          <t>formal-attempt-0001</t>
        </is>
      </c>
      <c r="U303"/>
      <c r="V303"/>
      <c r="W303"/>
      <c r="X303" t="inlineStr">
        <is>
          <t>XHS-SOC-0220</t>
        </is>
      </c>
      <c r="Y303"/>
      <c r="Z303"/>
      <c r="AA303"/>
      <c r="AB303"/>
      <c r="AC303"/>
      <c r="AD303"/>
      <c r="AE303"/>
      <c r="AF303" t="inlineStr">
        <is>
          <t>AI</t>
        </is>
      </c>
      <c r="AG303" t="inlineStr">
        <is>
          <t>CHALLENGE_POOL</t>
        </is>
      </c>
      <c r="AH303" t="inlineStr">
        <is>
          <t>PRODUCT</t>
        </is>
      </c>
      <c r="AI303" t="inlineStr">
        <is>
          <t>ACTUAL_USE</t>
        </is>
      </c>
      <c r="AJ303" t="inlineStr">
        <is>
          <t>B</t>
        </is>
      </c>
      <c r="AK303" t="inlineStr">
        <is>
          <t>核心对象：产品口感与调饮结果；体验：ACTUAL_USE；证据强度：B。</t>
        </is>
      </c>
      <c r="AL303"/>
      <c r="AM303" t="inlineStr">
        <is>
          <t>CHALLENGE_POOL_60.xlsx</t>
        </is>
      </c>
    </row>
    <row r="304" ht="25.5" customHeight="1">
      <c r="A304" t="inlineStr">
        <is>
          <t>XHS-SOC-0229_CHALLENGE_POOL_formal-attempt-0001_AI</t>
        </is>
      </c>
      <c r="B304" t="inlineStr">
        <is>
          <t>梅见推荐哪一款啊</t>
        </is>
      </c>
      <c r="C304"/>
      <c r="D304"/>
      <c r="E304"/>
      <c r="F304"/>
      <c r="G304"/>
      <c r="H304"/>
      <c r="I304"/>
      <c r="J304"/>
      <c r="K304"/>
      <c r="L304"/>
      <c r="M304"/>
      <c r="N304"/>
      <c r="O304"/>
      <c r="P304"/>
      <c r="Q304"/>
      <c r="R304"/>
      <c r="S304">
        <v>0.9</v>
      </c>
      <c r="T304" t="inlineStr">
        <is>
          <t>formal-attempt-0001</t>
        </is>
      </c>
      <c r="U304"/>
      <c r="V304"/>
      <c r="W304"/>
      <c r="X304" t="inlineStr">
        <is>
          <t>XHS-SOC-0229</t>
        </is>
      </c>
      <c r="Y304"/>
      <c r="Z304"/>
      <c r="AA304"/>
      <c r="AB304"/>
      <c r="AC304"/>
      <c r="AD304"/>
      <c r="AE304"/>
      <c r="AF304" t="inlineStr">
        <is>
          <t>AI</t>
        </is>
      </c>
      <c r="AG304" t="inlineStr">
        <is>
          <t>CHALLENGE_POOL</t>
        </is>
      </c>
      <c r="AH304" t="inlineStr">
        <is>
          <t>OTHER</t>
        </is>
      </c>
      <c r="AI304" t="inlineStr">
        <is>
          <t>UNKNOWN</t>
        </is>
      </c>
      <c r="AJ304" t="inlineStr">
        <is>
          <t>C</t>
        </is>
      </c>
      <c r="AK304" t="inlineStr">
        <is>
          <t>核心对象：产品推荐询问；体验：UNKNOWN；证据强度：C。</t>
        </is>
      </c>
      <c r="AL304"/>
      <c r="AM304" t="inlineStr">
        <is>
          <t>CHALLENGE_POOL_60.xlsx</t>
        </is>
      </c>
    </row>
    <row r="305" ht="25.5" customHeight="1">
      <c r="A305" t="inlineStr">
        <is>
          <t>XHS-SOC-0237_CHALLENGE_POOL_formal-attempt-0001_AI</t>
        </is>
      </c>
      <c r="B305" t="inlineStr">
        <is>
          <t>天天晚上喝点，不喝就难受</t>
        </is>
      </c>
      <c r="C305"/>
      <c r="D305"/>
      <c r="E305"/>
      <c r="F305"/>
      <c r="G305"/>
      <c r="H305"/>
      <c r="I305"/>
      <c r="J305"/>
      <c r="K305"/>
      <c r="L305"/>
      <c r="M305"/>
      <c r="N305"/>
      <c r="O305"/>
      <c r="P305"/>
      <c r="Q305"/>
      <c r="R305"/>
      <c r="S305">
        <v>0.9</v>
      </c>
      <c r="T305" t="inlineStr">
        <is>
          <t>formal-attempt-0001</t>
        </is>
      </c>
      <c r="U305"/>
      <c r="V305"/>
      <c r="W305"/>
      <c r="X305" t="inlineStr">
        <is>
          <t>XHS-SOC-0237</t>
        </is>
      </c>
      <c r="Y305"/>
      <c r="Z305"/>
      <c r="AA305"/>
      <c r="AB305"/>
      <c r="AC305"/>
      <c r="AD305"/>
      <c r="AE305"/>
      <c r="AF305" t="inlineStr">
        <is>
          <t>AI</t>
        </is>
      </c>
      <c r="AG305" t="inlineStr">
        <is>
          <t>CHALLENGE_POOL</t>
        </is>
      </c>
      <c r="AH305" t="inlineStr">
        <is>
          <t>SCENE</t>
        </is>
      </c>
      <c r="AI305" t="inlineStr">
        <is>
          <t>ACTUAL_USE</t>
        </is>
      </c>
      <c r="AJ305" t="inlineStr">
        <is>
          <t>B</t>
        </is>
      </c>
      <c r="AK305" t="inlineStr">
        <is>
          <t>核心对象：饮酒频率与饮后状态；体验：ACTUAL_USE；证据强度：B。</t>
        </is>
      </c>
      <c r="AL305"/>
      <c r="AM305" t="inlineStr">
        <is>
          <t>CHALLENGE_POOL_60.xlsx</t>
        </is>
      </c>
    </row>
    <row r="306" ht="25.5" customHeight="1">
      <c r="A306" t="inlineStr">
        <is>
          <t>XHS-SOC-0238_CHALLENGE_POOL_formal-attempt-0001_AI</t>
        </is>
      </c>
      <c r="B306" t="inlineStr">
        <is>
          <t>同一个人，享受孤独，挺好的</t>
        </is>
      </c>
      <c r="C306"/>
      <c r="D306"/>
      <c r="E306"/>
      <c r="F306"/>
      <c r="G306"/>
      <c r="H306"/>
      <c r="I306"/>
      <c r="J306"/>
      <c r="K306"/>
      <c r="L306"/>
      <c r="M306"/>
      <c r="N306"/>
      <c r="O306"/>
      <c r="P306"/>
      <c r="Q306"/>
      <c r="R306"/>
      <c r="S306">
        <v>0.7</v>
      </c>
      <c r="T306" t="inlineStr">
        <is>
          <t>formal-attempt-0001</t>
        </is>
      </c>
      <c r="U306"/>
      <c r="V306"/>
      <c r="W306"/>
      <c r="X306" t="inlineStr">
        <is>
          <t>XHS-SOC-0238</t>
        </is>
      </c>
      <c r="Y306"/>
      <c r="Z306"/>
      <c r="AA306"/>
      <c r="AB306"/>
      <c r="AC306"/>
      <c r="AD306"/>
      <c r="AE306"/>
      <c r="AF306" t="inlineStr">
        <is>
          <t>AI</t>
        </is>
      </c>
      <c r="AG306" t="inlineStr">
        <is>
          <t>CHALLENGE_POOL</t>
        </is>
      </c>
      <c r="AH306" t="inlineStr">
        <is>
          <t>OTHER</t>
        </is>
      </c>
      <c r="AI306" t="inlineStr">
        <is>
          <t>UNKNOWN</t>
        </is>
      </c>
      <c r="AJ306" t="inlineStr">
        <is>
          <t>C</t>
        </is>
      </c>
      <c r="AK306" t="inlineStr">
        <is>
          <t>核心对象：独处社会态度；体验：UNKNOWN；证据强度：C。</t>
        </is>
      </c>
      <c r="AL306"/>
      <c r="AM306" t="inlineStr">
        <is>
          <t>CHALLENGE_POOL_60.xlsx</t>
        </is>
      </c>
    </row>
    <row r="307" ht="25.5" customHeight="1">
      <c r="A307" t="inlineStr">
        <is>
          <t>XHS-SOC-0240_CHALLENGE_POOL_formal-attempt-0001_AI</t>
        </is>
      </c>
      <c r="B307" t="inlineStr">
        <is>
          <t>一个人吃烧烤喝酒，一个人吃火锅，一个人吃自助餐，一个人看电影</t>
        </is>
      </c>
      <c r="C307"/>
      <c r="D307"/>
      <c r="E307"/>
      <c r="F307"/>
      <c r="G307"/>
      <c r="H307"/>
      <c r="I307"/>
      <c r="J307"/>
      <c r="K307"/>
      <c r="L307"/>
      <c r="M307"/>
      <c r="N307"/>
      <c r="O307"/>
      <c r="P307"/>
      <c r="Q307"/>
      <c r="R307"/>
      <c r="S307">
        <v>0.9</v>
      </c>
      <c r="T307" t="inlineStr">
        <is>
          <t>formal-attempt-0001</t>
        </is>
      </c>
      <c r="U307"/>
      <c r="V307"/>
      <c r="W307"/>
      <c r="X307" t="inlineStr">
        <is>
          <t>XHS-SOC-0240</t>
        </is>
      </c>
      <c r="Y307"/>
      <c r="Z307"/>
      <c r="AA307"/>
      <c r="AB307"/>
      <c r="AC307"/>
      <c r="AD307"/>
      <c r="AE307"/>
      <c r="AF307" t="inlineStr">
        <is>
          <t>AI</t>
        </is>
      </c>
      <c r="AG307" t="inlineStr">
        <is>
          <t>CHALLENGE_POOL</t>
        </is>
      </c>
      <c r="AH307" t="inlineStr">
        <is>
          <t>SCENE</t>
        </is>
      </c>
      <c r="AI307" t="inlineStr">
        <is>
          <t>UNKNOWN</t>
        </is>
      </c>
      <c r="AJ307" t="inlineStr">
        <is>
          <t>B</t>
        </is>
      </c>
      <c r="AK307" t="inlineStr">
        <is>
          <t>核心对象：独自饮酒与用餐场景；体验：UNKNOWN；证据强度：B。</t>
        </is>
      </c>
      <c r="AL307"/>
      <c r="AM307" t="inlineStr">
        <is>
          <t>CHALLENGE_POOL_60.xlsx</t>
        </is>
      </c>
    </row>
    <row r="308" ht="25.5" customHeight="1">
      <c r="A308" t="inlineStr">
        <is>
          <t>XHS-SOC-0249_CHALLENGE_POOL_formal-attempt-0001_AI</t>
        </is>
      </c>
      <c r="B308" t="inlineStr">
        <is>
          <t>早点刷到就好了，是真的难喝，梅子味几乎没有，就是酒味，非常割裂</t>
        </is>
      </c>
      <c r="C308"/>
      <c r="D308"/>
      <c r="E308"/>
      <c r="F308"/>
      <c r="G308"/>
      <c r="H308"/>
      <c r="I308"/>
      <c r="J308"/>
      <c r="K308"/>
      <c r="L308"/>
      <c r="M308"/>
      <c r="N308"/>
      <c r="O308"/>
      <c r="P308"/>
      <c r="Q308"/>
      <c r="R308"/>
      <c r="S308">
        <v>0.9</v>
      </c>
      <c r="T308" t="inlineStr">
        <is>
          <t>formal-attempt-0001</t>
        </is>
      </c>
      <c r="U308"/>
      <c r="V308"/>
      <c r="W308"/>
      <c r="X308" t="inlineStr">
        <is>
          <t>XHS-SOC-0249</t>
        </is>
      </c>
      <c r="Y308"/>
      <c r="Z308"/>
      <c r="AA308"/>
      <c r="AB308"/>
      <c r="AC308"/>
      <c r="AD308"/>
      <c r="AE308"/>
      <c r="AF308" t="inlineStr">
        <is>
          <t>AI</t>
        </is>
      </c>
      <c r="AG308" t="inlineStr">
        <is>
          <t>CHALLENGE_POOL</t>
        </is>
      </c>
      <c r="AH308" t="inlineStr">
        <is>
          <t>PRODUCT</t>
        </is>
      </c>
      <c r="AI308" t="inlineStr">
        <is>
          <t>ACTUAL_USE</t>
        </is>
      </c>
      <c r="AJ308" t="inlineStr">
        <is>
          <t>A</t>
        </is>
      </c>
      <c r="AK308" t="inlineStr">
        <is>
          <t>核心对象：产品口味与酒味；体验：ACTUAL_USE；证据强度：A。</t>
        </is>
      </c>
      <c r="AL308"/>
      <c r="AM308" t="inlineStr">
        <is>
          <t>CHALLENGE_POOL_60.xlsx</t>
        </is>
      </c>
    </row>
    <row r="309" ht="25.5" customHeight="1">
      <c r="A309" t="inlineStr">
        <is>
          <t>XHS-SOC-0251_CHALLENGE_POOL_formal-attempt-0001_AI</t>
        </is>
      </c>
      <c r="B309" t="inlineStr">
        <is>
          <t>喝了十多年 去年底突然就戒掉了 现在一个月最多喝一次</t>
        </is>
      </c>
      <c r="C309"/>
      <c r="D309"/>
      <c r="E309"/>
      <c r="F309"/>
      <c r="G309"/>
      <c r="H309"/>
      <c r="I309"/>
      <c r="J309"/>
      <c r="K309"/>
      <c r="L309"/>
      <c r="M309"/>
      <c r="N309"/>
      <c r="O309"/>
      <c r="P309"/>
      <c r="Q309"/>
      <c r="R309"/>
      <c r="S309">
        <v>0.9</v>
      </c>
      <c r="T309" t="inlineStr">
        <is>
          <t>formal-attempt-0001</t>
        </is>
      </c>
      <c r="U309"/>
      <c r="V309"/>
      <c r="W309"/>
      <c r="X309" t="inlineStr">
        <is>
          <t>XHS-SOC-0251</t>
        </is>
      </c>
      <c r="Y309"/>
      <c r="Z309"/>
      <c r="AA309"/>
      <c r="AB309"/>
      <c r="AC309"/>
      <c r="AD309"/>
      <c r="AE309"/>
      <c r="AF309" t="inlineStr">
        <is>
          <t>AI</t>
        </is>
      </c>
      <c r="AG309" t="inlineStr">
        <is>
          <t>CHALLENGE_POOL</t>
        </is>
      </c>
      <c r="AH309" t="inlineStr">
        <is>
          <t>SCENE</t>
        </is>
      </c>
      <c r="AI309" t="inlineStr">
        <is>
          <t>ACTUAL_USE</t>
        </is>
      </c>
      <c r="AJ309" t="inlineStr">
        <is>
          <t>A</t>
        </is>
      </c>
      <c r="AK309" t="inlineStr">
        <is>
          <t>核心对象：饮酒行为与频率变化；体验：ACTUAL_USE；证据强度：A。</t>
        </is>
      </c>
      <c r="AL309"/>
      <c r="AM309" t="inlineStr">
        <is>
          <t>CHALLENGE_POOL_60.xlsx</t>
        </is>
      </c>
    </row>
    <row r="310" ht="25.5" customHeight="1">
      <c r="A310" t="inlineStr">
        <is>
          <t>XHS-SOC-0260_CHALLENGE_POOL_formal-attempt-0001_AI</t>
        </is>
      </c>
      <c r="B310" t="inlineStr">
        <is>
          <t>囤点微醺</t>
        </is>
      </c>
      <c r="C310"/>
      <c r="D310"/>
      <c r="E310"/>
      <c r="F310"/>
      <c r="G310"/>
      <c r="H310"/>
      <c r="I310"/>
      <c r="J310"/>
      <c r="K310"/>
      <c r="L310"/>
      <c r="M310"/>
      <c r="N310"/>
      <c r="O310"/>
      <c r="P310"/>
      <c r="Q310"/>
      <c r="R310"/>
      <c r="S310">
        <v>0.9</v>
      </c>
      <c r="T310" t="inlineStr">
        <is>
          <t>formal-attempt-0001</t>
        </is>
      </c>
      <c r="U310"/>
      <c r="V310"/>
      <c r="W310"/>
      <c r="X310" t="inlineStr">
        <is>
          <t>XHS-SOC-0260</t>
        </is>
      </c>
      <c r="Y310"/>
      <c r="Z310"/>
      <c r="AA310"/>
      <c r="AB310"/>
      <c r="AC310"/>
      <c r="AD310"/>
      <c r="AE310"/>
      <c r="AF310" t="inlineStr">
        <is>
          <t>AI</t>
        </is>
      </c>
      <c r="AG310" t="inlineStr">
        <is>
          <t>CHALLENGE_POOL</t>
        </is>
      </c>
      <c r="AH310" t="inlineStr">
        <is>
          <t>OTHER</t>
        </is>
      </c>
      <c r="AI310" t="inlineStr">
        <is>
          <t>UNKNOWN</t>
        </is>
      </c>
      <c r="AJ310" t="inlineStr">
        <is>
          <t>C</t>
        </is>
      </c>
      <c r="AK310" t="inlineStr">
        <is>
          <t>核心对象：饮酒购买意向；体验：UNKNOWN；证据强度：C。</t>
        </is>
      </c>
      <c r="AL310"/>
      <c r="AM310" t="inlineStr">
        <is>
          <t>CHALLENGE_POOL_60.xlsx</t>
        </is>
      </c>
    </row>
    <row r="311" ht="25.5" customHeight="1">
      <c r="A311" t="inlineStr">
        <is>
          <t>DY-SOC-0049_HOLDOUT_formal-attempt-0001_AI</t>
        </is>
      </c>
      <c r="B311" t="inlineStr">
        <is>
          <t>这个酒对我而言就是成年人的糖水苦日子里的那点甜</t>
        </is>
      </c>
      <c r="C311"/>
      <c r="D311"/>
      <c r="E311"/>
      <c r="F311"/>
      <c r="G311"/>
      <c r="H311"/>
      <c r="I311"/>
      <c r="J311"/>
      <c r="K311"/>
      <c r="L311"/>
      <c r="M311"/>
      <c r="N311"/>
      <c r="O311"/>
      <c r="P311"/>
      <c r="Q311"/>
      <c r="R311"/>
      <c r="S311">
        <v>0.9</v>
      </c>
      <c r="T311" t="inlineStr">
        <is>
          <t>formal-attempt-0001</t>
        </is>
      </c>
      <c r="U311"/>
      <c r="V311"/>
      <c r="W311"/>
      <c r="X311" t="inlineStr">
        <is>
          <t>DY-SOC-0049</t>
        </is>
      </c>
      <c r="Y311"/>
      <c r="Z311"/>
      <c r="AA311"/>
      <c r="AB311"/>
      <c r="AC311"/>
      <c r="AD311"/>
      <c r="AE311"/>
      <c r="AF311" t="inlineStr">
        <is>
          <t>AI</t>
        </is>
      </c>
      <c r="AG311" t="inlineStr">
        <is>
          <t>HOLDOUT</t>
        </is>
      </c>
      <c r="AH311" t="inlineStr">
        <is>
          <t>PRODUCT</t>
        </is>
      </c>
      <c r="AI311" t="inlineStr">
        <is>
          <t>ACTUAL_USE</t>
        </is>
      </c>
      <c r="AJ311" t="inlineStr">
        <is>
          <t>C</t>
        </is>
      </c>
      <c r="AK311" t="inlineStr">
        <is>
          <t>核心对象：酒的甜度和口感；体验：原文以第一人称将该酒形容为“糖水”并表达甜感，判为实际体验；证据强度：只有笼统感受和情绪化表达，缺少具体依据。</t>
        </is>
      </c>
      <c r="AL311"/>
      <c r="AM311" t="inlineStr">
        <is>
          <t>HOLDOUT_60.xlsx</t>
        </is>
      </c>
    </row>
    <row r="312" ht="25.5" customHeight="1">
      <c r="A312" t="inlineStr">
        <is>
          <t>DY-SOC-0053_HOLDOUT_formal-attempt-0001_AI</t>
        </is>
      </c>
      <c r="B312" t="inlineStr">
        <is>
          <t>生活已经够苦了晚上不来点甜的酒怎么对得起自己</t>
        </is>
      </c>
      <c r="C312"/>
      <c r="D312"/>
      <c r="E312"/>
      <c r="F312"/>
      <c r="G312"/>
      <c r="H312"/>
      <c r="I312"/>
      <c r="J312"/>
      <c r="K312"/>
      <c r="L312"/>
      <c r="M312"/>
      <c r="N312"/>
      <c r="O312"/>
      <c r="P312"/>
      <c r="Q312"/>
      <c r="R312"/>
      <c r="S312">
        <v>0.9</v>
      </c>
      <c r="T312" t="inlineStr">
        <is>
          <t>formal-attempt-0001</t>
        </is>
      </c>
      <c r="U312"/>
      <c r="V312"/>
      <c r="W312"/>
      <c r="X312" t="inlineStr">
        <is>
          <t>DY-SOC-0053</t>
        </is>
      </c>
      <c r="Y312"/>
      <c r="Z312"/>
      <c r="AA312"/>
      <c r="AB312"/>
      <c r="AC312"/>
      <c r="AD312"/>
      <c r="AE312"/>
      <c r="AF312" t="inlineStr">
        <is>
          <t>AI</t>
        </is>
      </c>
      <c r="AG312" t="inlineStr">
        <is>
          <t>HOLDOUT</t>
        </is>
      </c>
      <c r="AH312" t="inlineStr">
        <is>
          <t>OTHER</t>
        </is>
      </c>
      <c r="AI312" t="inlineStr">
        <is>
          <t>UNKNOWN</t>
        </is>
      </c>
      <c r="AJ312" t="inlineStr">
        <is>
          <t>C</t>
        </is>
      </c>
      <c r="AK312" t="inlineStr">
        <is>
          <t>核心对象：未发生的夜间饮酒意向；体验：原文未明示已经购买或饮用，判为未知；证据强度：仅为情绪化饮用表达，缺少具体评价依据。</t>
        </is>
      </c>
      <c r="AL312"/>
      <c r="AM312" t="inlineStr">
        <is>
          <t>HOLDOUT_60.xlsx</t>
        </is>
      </c>
    </row>
    <row r="313" ht="25.5" customHeight="1">
      <c r="A313" t="inlineStr">
        <is>
          <t>DY-SOC-0060_HOLDOUT_formal-attempt-0001_AI</t>
        </is>
      </c>
      <c r="B313" t="inlineStr">
        <is>
          <t>艾特我小姐妹喝点</t>
        </is>
      </c>
      <c r="C313"/>
      <c r="D313"/>
      <c r="E313"/>
      <c r="F313"/>
      <c r="G313"/>
      <c r="H313"/>
      <c r="I313"/>
      <c r="J313"/>
      <c r="K313"/>
      <c r="L313"/>
      <c r="M313"/>
      <c r="N313"/>
      <c r="O313"/>
      <c r="P313"/>
      <c r="Q313"/>
      <c r="R313"/>
      <c r="S313">
        <v>0.9</v>
      </c>
      <c r="T313" t="inlineStr">
        <is>
          <t>formal-attempt-0001</t>
        </is>
      </c>
      <c r="U313"/>
      <c r="V313"/>
      <c r="W313"/>
      <c r="X313" t="inlineStr">
        <is>
          <t>DY-SOC-0060</t>
        </is>
      </c>
      <c r="Y313"/>
      <c r="Z313"/>
      <c r="AA313"/>
      <c r="AB313"/>
      <c r="AC313"/>
      <c r="AD313"/>
      <c r="AE313"/>
      <c r="AF313" t="inlineStr">
        <is>
          <t>AI</t>
        </is>
      </c>
      <c r="AG313" t="inlineStr">
        <is>
          <t>HOLDOUT</t>
        </is>
      </c>
      <c r="AH313" t="inlineStr">
        <is>
          <t>OTHER</t>
        </is>
      </c>
      <c r="AI313" t="inlineStr">
        <is>
          <t>UNKNOWN</t>
        </is>
      </c>
      <c r="AJ313" t="inlineStr">
        <is>
          <t>C</t>
        </is>
      </c>
      <c r="AK313" t="inlineStr">
        <is>
          <t>核心对象：尚未发生的与小姐妹饮酒意向；体验：原文未明示已经购买或饮用，判为未知；证据强度：仅有饮用邀请，缺少实际体验或具体判断。</t>
        </is>
      </c>
      <c r="AL313"/>
      <c r="AM313" t="inlineStr">
        <is>
          <t>HOLDOUT_60.xlsx</t>
        </is>
      </c>
    </row>
    <row r="314" ht="25.5" customHeight="1">
      <c r="A314" t="inlineStr">
        <is>
          <t>DY-SOC-0065_HOLDOUT_formal-attempt-0001_AI</t>
        </is>
      </c>
      <c r="B314" t="inlineStr">
        <is>
          <t>什么时候我们碰一下杯</t>
        </is>
      </c>
      <c r="C314"/>
      <c r="D314"/>
      <c r="E314"/>
      <c r="F314"/>
      <c r="G314"/>
      <c r="H314"/>
      <c r="I314"/>
      <c r="J314"/>
      <c r="K314"/>
      <c r="L314"/>
      <c r="M314"/>
      <c r="N314"/>
      <c r="O314"/>
      <c r="P314"/>
      <c r="Q314"/>
      <c r="R314"/>
      <c r="S314">
        <v>0.9</v>
      </c>
      <c r="T314" t="inlineStr">
        <is>
          <t>formal-attempt-0001</t>
        </is>
      </c>
      <c r="U314"/>
      <c r="V314"/>
      <c r="W314"/>
      <c r="X314" t="inlineStr">
        <is>
          <t>DY-SOC-0065</t>
        </is>
      </c>
      <c r="Y314"/>
      <c r="Z314"/>
      <c r="AA314"/>
      <c r="AB314"/>
      <c r="AC314"/>
      <c r="AD314"/>
      <c r="AE314"/>
      <c r="AF314" t="inlineStr">
        <is>
          <t>AI</t>
        </is>
      </c>
      <c r="AG314" t="inlineStr">
        <is>
          <t>HOLDOUT</t>
        </is>
      </c>
      <c r="AH314" t="inlineStr">
        <is>
          <t>OTHER</t>
        </is>
      </c>
      <c r="AI314" t="inlineStr">
        <is>
          <t>UNKNOWN</t>
        </is>
      </c>
      <c r="AJ314" t="inlineStr">
        <is>
          <t>C</t>
        </is>
      </c>
      <c r="AK314" t="inlineStr">
        <is>
          <t>核心对象：尚未发生的碰杯意向；体验：原文未明示已经购买或饮用，判为未知；证据强度：仅有饮酒场景设想，缺少具体评价依据。</t>
        </is>
      </c>
      <c r="AL314"/>
      <c r="AM314" t="inlineStr">
        <is>
          <t>HOLDOUT_60.xlsx</t>
        </is>
      </c>
    </row>
    <row r="315" ht="25.5" customHeight="1">
      <c r="A315" t="inlineStr">
        <is>
          <t>DY-SOC-0087_HOLDOUT_formal-attempt-0001_AI</t>
        </is>
      </c>
      <c r="B315" t="inlineStr">
        <is>
          <t>这个酒甜不甜啊宝</t>
        </is>
      </c>
      <c r="C315"/>
      <c r="D315"/>
      <c r="E315"/>
      <c r="F315"/>
      <c r="G315"/>
      <c r="H315"/>
      <c r="I315"/>
      <c r="J315"/>
      <c r="K315"/>
      <c r="L315"/>
      <c r="M315"/>
      <c r="N315"/>
      <c r="O315"/>
      <c r="P315"/>
      <c r="Q315"/>
      <c r="R315"/>
      <c r="S315">
        <v>0.9</v>
      </c>
      <c r="T315" t="inlineStr">
        <is>
          <t>formal-attempt-0001</t>
        </is>
      </c>
      <c r="U315"/>
      <c r="V315"/>
      <c r="W315"/>
      <c r="X315" t="inlineStr">
        <is>
          <t>DY-SOC-0087</t>
        </is>
      </c>
      <c r="Y315"/>
      <c r="Z315"/>
      <c r="AA315"/>
      <c r="AB315"/>
      <c r="AC315"/>
      <c r="AD315"/>
      <c r="AE315"/>
      <c r="AF315" t="inlineStr">
        <is>
          <t>AI</t>
        </is>
      </c>
      <c r="AG315" t="inlineStr">
        <is>
          <t>HOLDOUT</t>
        </is>
      </c>
      <c r="AH315" t="inlineStr">
        <is>
          <t>PRODUCT</t>
        </is>
      </c>
      <c r="AI315" t="inlineStr">
        <is>
          <t>UNKNOWN</t>
        </is>
      </c>
      <c r="AJ315" t="inlineStr">
        <is>
          <t>C</t>
        </is>
      </c>
      <c r="AK315" t="inlineStr">
        <is>
          <t>核心对象：酒的甜度；体验：原文仅询问甜度，未明示已经购买或饮用，判为未知；证据强度：只有单一询问，信息量低。</t>
        </is>
      </c>
      <c r="AL315"/>
      <c r="AM315" t="inlineStr">
        <is>
          <t>HOLDOUT_60.xlsx</t>
        </is>
      </c>
    </row>
    <row r="316" ht="25.5" customHeight="1">
      <c r="A316" t="inlineStr">
        <is>
          <t>DY-SOC-0093_HOLDOUT_formal-attempt-0001_AI</t>
        </is>
      </c>
      <c r="B316" t="inlineStr">
        <is>
          <t>你不知道青梅酒可以自己浸泡吗我去年就酿了十斤青梅酒打算放个六七年</t>
        </is>
      </c>
      <c r="C316"/>
      <c r="D316"/>
      <c r="E316"/>
      <c r="F316"/>
      <c r="G316"/>
      <c r="H316"/>
      <c r="I316"/>
      <c r="J316"/>
      <c r="K316"/>
      <c r="L316"/>
      <c r="M316"/>
      <c r="N316"/>
      <c r="O316"/>
      <c r="P316"/>
      <c r="Q316"/>
      <c r="R316"/>
      <c r="S316">
        <v>0.7</v>
      </c>
      <c r="T316" t="inlineStr">
        <is>
          <t>formal-attempt-0001</t>
        </is>
      </c>
      <c r="U316"/>
      <c r="V316"/>
      <c r="W316"/>
      <c r="X316" t="inlineStr">
        <is>
          <t>DY-SOC-0093</t>
        </is>
      </c>
      <c r="Y316"/>
      <c r="Z316"/>
      <c r="AA316"/>
      <c r="AB316"/>
      <c r="AC316"/>
      <c r="AD316"/>
      <c r="AE316"/>
      <c r="AF316" t="inlineStr">
        <is>
          <t>AI</t>
        </is>
      </c>
      <c r="AG316" t="inlineStr">
        <is>
          <t>HOLDOUT</t>
        </is>
      </c>
      <c r="AH316" t="inlineStr">
        <is>
          <t>SCENE</t>
        </is>
      </c>
      <c r="AI316" t="inlineStr">
        <is>
          <t>ACTUAL_USE</t>
        </is>
      </c>
      <c r="AJ316" t="inlineStr">
        <is>
          <t>B</t>
        </is>
      </c>
      <c r="AK316" t="inlineStr">
        <is>
          <t>核心对象：自己浸泡青梅酒的方式；体验：原文以第一人称明示去年酿造十斤青梅酒，判为实际体验；证据强度：有具体酿造数量和时间计划，但没有明确产品评价，信息链不完整。</t>
        </is>
      </c>
      <c r="AL316"/>
      <c r="AM316" t="inlineStr">
        <is>
          <t>HOLDOUT_60.xlsx</t>
        </is>
      </c>
    </row>
    <row r="317" ht="25.5" customHeight="1">
      <c r="A317" t="inlineStr">
        <is>
          <t>DY-SOC-0103_HOLDOUT_formal-attempt-0001_AI</t>
        </is>
      </c>
      <c r="B317" t="inlineStr">
        <is>
          <t>放松时刻就得来点小酒</t>
        </is>
      </c>
      <c r="C317"/>
      <c r="D317"/>
      <c r="E317"/>
      <c r="F317"/>
      <c r="G317"/>
      <c r="H317"/>
      <c r="I317"/>
      <c r="J317"/>
      <c r="K317"/>
      <c r="L317"/>
      <c r="M317"/>
      <c r="N317"/>
      <c r="O317"/>
      <c r="P317"/>
      <c r="Q317"/>
      <c r="R317"/>
      <c r="S317">
        <v>0.7</v>
      </c>
      <c r="T317" t="inlineStr">
        <is>
          <t>formal-attempt-0001</t>
        </is>
      </c>
      <c r="U317"/>
      <c r="V317"/>
      <c r="W317"/>
      <c r="X317" t="inlineStr">
        <is>
          <t>DY-SOC-0103</t>
        </is>
      </c>
      <c r="Y317"/>
      <c r="Z317"/>
      <c r="AA317"/>
      <c r="AB317"/>
      <c r="AC317"/>
      <c r="AD317"/>
      <c r="AE317"/>
      <c r="AF317" t="inlineStr">
        <is>
          <t>AI</t>
        </is>
      </c>
      <c r="AG317" t="inlineStr">
        <is>
          <t>HOLDOUT</t>
        </is>
      </c>
      <c r="AH317" t="inlineStr">
        <is>
          <t>SCENE</t>
        </is>
      </c>
      <c r="AI317" t="inlineStr">
        <is>
          <t>UNKNOWN</t>
        </is>
      </c>
      <c r="AJ317" t="inlineStr">
        <is>
          <t>C</t>
        </is>
      </c>
      <c r="AK317" t="inlineStr">
        <is>
          <t>核心对象：放松时刻饮用小酒的场景；体验：原文是泛化表达，未明示本人实际饮用，判为未知；证据强度：主要是口号式场景判断，缺少具体体验依据。</t>
        </is>
      </c>
      <c r="AL317"/>
      <c r="AM317" t="inlineStr">
        <is>
          <t>HOLDOUT_60.xlsx</t>
        </is>
      </c>
    </row>
    <row r="318" ht="25.5" customHeight="1">
      <c r="A318" t="inlineStr">
        <is>
          <t>DY-SOC-0113_HOLDOUT_formal-attempt-0001_AI</t>
        </is>
      </c>
      <c r="B318" t="inlineStr">
        <is>
          <t>这也太适合周末小聚微醺一下了</t>
        </is>
      </c>
      <c r="C318"/>
      <c r="D318"/>
      <c r="E318"/>
      <c r="F318"/>
      <c r="G318"/>
      <c r="H318"/>
      <c r="I318"/>
      <c r="J318"/>
      <c r="K318"/>
      <c r="L318"/>
      <c r="M318"/>
      <c r="N318"/>
      <c r="O318"/>
      <c r="P318"/>
      <c r="Q318"/>
      <c r="R318"/>
      <c r="S318">
        <v>0.7</v>
      </c>
      <c r="T318" t="inlineStr">
        <is>
          <t>formal-attempt-0001</t>
        </is>
      </c>
      <c r="U318"/>
      <c r="V318"/>
      <c r="W318"/>
      <c r="X318" t="inlineStr">
        <is>
          <t>DY-SOC-0113</t>
        </is>
      </c>
      <c r="Y318"/>
      <c r="Z318"/>
      <c r="AA318"/>
      <c r="AB318"/>
      <c r="AC318"/>
      <c r="AD318"/>
      <c r="AE318"/>
      <c r="AF318" t="inlineStr">
        <is>
          <t>AI</t>
        </is>
      </c>
      <c r="AG318" t="inlineStr">
        <is>
          <t>HOLDOUT</t>
        </is>
      </c>
      <c r="AH318" t="inlineStr">
        <is>
          <t>OTHER</t>
        </is>
      </c>
      <c r="AI318" t="inlineStr">
        <is>
          <t>UNKNOWN</t>
        </is>
      </c>
      <c r="AJ318" t="inlineStr">
        <is>
          <t>C</t>
        </is>
      </c>
      <c r="AK318" t="inlineStr">
        <is>
          <t>核心对象：尚未发生的周末聚饮场景；体验：原文表达场景适配和微醺意向，未明示已经饮用，判为未知；证据强度：主要是场景化推荐，缺少实际体验依据。</t>
        </is>
      </c>
      <c r="AL318"/>
      <c r="AM318" t="inlineStr">
        <is>
          <t>HOLDOUT_60.xlsx</t>
        </is>
      </c>
    </row>
    <row r="319" ht="25.5" customHeight="1">
      <c r="A319" t="inlineStr">
        <is>
          <t>DY-SOC-0121_HOLDOUT_formal-attempt-0001_AI</t>
        </is>
      </c>
      <c r="B319" t="inlineStr">
        <is>
          <t>我干工地的之前是监理现在是施工员到底谁在宣扬酒桌文化</t>
        </is>
      </c>
      <c r="C319"/>
      <c r="D319"/>
      <c r="E319"/>
      <c r="F319"/>
      <c r="G319"/>
      <c r="H319"/>
      <c r="I319"/>
      <c r="J319"/>
      <c r="K319"/>
      <c r="L319"/>
      <c r="M319"/>
      <c r="N319"/>
      <c r="O319"/>
      <c r="P319"/>
      <c r="Q319"/>
      <c r="R319"/>
      <c r="S319">
        <v>0.9</v>
      </c>
      <c r="T319" t="inlineStr">
        <is>
          <t>formal-attempt-0001</t>
        </is>
      </c>
      <c r="U319"/>
      <c r="V319"/>
      <c r="W319"/>
      <c r="X319" t="inlineStr">
        <is>
          <t>DY-SOC-0121</t>
        </is>
      </c>
      <c r="Y319"/>
      <c r="Z319"/>
      <c r="AA319"/>
      <c r="AB319"/>
      <c r="AC319"/>
      <c r="AD319"/>
      <c r="AE319"/>
      <c r="AF319" t="inlineStr">
        <is>
          <t>AI</t>
        </is>
      </c>
      <c r="AG319" t="inlineStr">
        <is>
          <t>HOLDOUT</t>
        </is>
      </c>
      <c r="AH319" t="inlineStr">
        <is>
          <t>OTHER</t>
        </is>
      </c>
      <c r="AI319" t="inlineStr">
        <is>
          <t>UNKNOWN</t>
        </is>
      </c>
      <c r="AJ319" t="inlineStr">
        <is>
          <t>C</t>
        </is>
      </c>
      <c r="AK319" t="inlineStr">
        <is>
          <t>核心对象：泛化的酒桌文化；体验：原文仅说明职业经历，未明示饮酒体验，判为未知；证据强度：属于泛化质问，缺少具体酒桌事件或可复核依据，信息量低。</t>
        </is>
      </c>
      <c r="AL319"/>
      <c r="AM319" t="inlineStr">
        <is>
          <t>HOLDOUT_60.xlsx</t>
        </is>
      </c>
    </row>
    <row r="320" ht="25.5" customHeight="1">
      <c r="A320" t="inlineStr">
        <is>
          <t>DY-SOC-0131_HOLDOUT_formal-attempt-0001_AI</t>
        </is>
      </c>
      <c r="B320" t="inlineStr">
        <is>
          <t>我今天刚买了梅见各种口味6瓶[捂脸][捂脸]</t>
        </is>
      </c>
      <c r="C320"/>
      <c r="D320"/>
      <c r="E320"/>
      <c r="F320"/>
      <c r="G320"/>
      <c r="H320"/>
      <c r="I320"/>
      <c r="J320"/>
      <c r="K320"/>
      <c r="L320"/>
      <c r="M320"/>
      <c r="N320"/>
      <c r="O320"/>
      <c r="P320"/>
      <c r="Q320"/>
      <c r="R320"/>
      <c r="S320">
        <v>0.9</v>
      </c>
      <c r="T320" t="inlineStr">
        <is>
          <t>formal-attempt-0001</t>
        </is>
      </c>
      <c r="U320"/>
      <c r="V320"/>
      <c r="W320"/>
      <c r="X320" t="inlineStr">
        <is>
          <t>DY-SOC-0131</t>
        </is>
      </c>
      <c r="Y320"/>
      <c r="Z320"/>
      <c r="AA320"/>
      <c r="AB320"/>
      <c r="AC320"/>
      <c r="AD320"/>
      <c r="AE320"/>
      <c r="AF320" t="inlineStr">
        <is>
          <t>AI</t>
        </is>
      </c>
      <c r="AG320" t="inlineStr">
        <is>
          <t>HOLDOUT</t>
        </is>
      </c>
      <c r="AH320" t="inlineStr">
        <is>
          <t>PRODUCT</t>
        </is>
      </c>
      <c r="AI320" t="inlineStr">
        <is>
          <t>PURCHASE_ONLY</t>
        </is>
      </c>
      <c r="AJ320" t="inlineStr">
        <is>
          <t>C</t>
        </is>
      </c>
      <c r="AK320" t="inlineStr">
        <is>
          <t>核心对象：梅见产品的购买；体验：原文明示刚购买六瓶但未说明饮用，判为仅购买；证据强度：只有购买事实，缺少产品体验判断。</t>
        </is>
      </c>
      <c r="AL320"/>
      <c r="AM320" t="inlineStr">
        <is>
          <t>HOLDOUT_60.xlsx</t>
        </is>
      </c>
    </row>
    <row r="321" ht="25.5" customHeight="1">
      <c r="A321" t="inlineStr">
        <is>
          <t>DY-SOC-0137_HOLDOUT_formal-attempt-0001_AI</t>
        </is>
      </c>
      <c r="B321" t="inlineStr">
        <is>
          <t>梅见加冰夏天晚上的标配</t>
        </is>
      </c>
      <c r="C321"/>
      <c r="D321"/>
      <c r="E321"/>
      <c r="F321"/>
      <c r="G321"/>
      <c r="H321"/>
      <c r="I321"/>
      <c r="J321"/>
      <c r="K321"/>
      <c r="L321"/>
      <c r="M321"/>
      <c r="N321"/>
      <c r="O321"/>
      <c r="P321"/>
      <c r="Q321"/>
      <c r="R321"/>
      <c r="S321">
        <v>0.7</v>
      </c>
      <c r="T321" t="inlineStr">
        <is>
          <t>formal-attempt-0001</t>
        </is>
      </c>
      <c r="U321"/>
      <c r="V321"/>
      <c r="W321"/>
      <c r="X321" t="inlineStr">
        <is>
          <t>DY-SOC-0137</t>
        </is>
      </c>
      <c r="Y321"/>
      <c r="Z321"/>
      <c r="AA321"/>
      <c r="AB321"/>
      <c r="AC321"/>
      <c r="AD321"/>
      <c r="AE321"/>
      <c r="AF321" t="inlineStr">
        <is>
          <t>AI</t>
        </is>
      </c>
      <c r="AG321" t="inlineStr">
        <is>
          <t>HOLDOUT</t>
        </is>
      </c>
      <c r="AH321" t="inlineStr">
        <is>
          <t>SCENE</t>
        </is>
      </c>
      <c r="AI321" t="inlineStr">
        <is>
          <t>UNKNOWN</t>
        </is>
      </c>
      <c r="AJ321" t="inlineStr">
        <is>
          <t>C</t>
        </is>
      </c>
      <c r="AK321" t="inlineStr">
        <is>
          <t>核心对象：夏日晚间加冰饮用场景；体验：原文是概括性表达，未明示本人实际饮用，判为未知；证据强度：只有场景化判断，缺少具体体验依据。</t>
        </is>
      </c>
      <c r="AL321"/>
      <c r="AM321" t="inlineStr">
        <is>
          <t>HOLDOUT_60.xlsx</t>
        </is>
      </c>
    </row>
    <row r="322" ht="25.5" customHeight="1">
      <c r="A322" t="inlineStr">
        <is>
          <t>DY-SOC-0262_HOLDOUT_formal-attempt-0001_AI</t>
        </is>
      </c>
      <c r="B322" t="inlineStr">
        <is>
          <t>马上安排一杯冰梅见</t>
        </is>
      </c>
      <c r="C322"/>
      <c r="D322"/>
      <c r="E322"/>
      <c r="F322"/>
      <c r="G322"/>
      <c r="H322"/>
      <c r="I322"/>
      <c r="J322"/>
      <c r="K322"/>
      <c r="L322"/>
      <c r="M322"/>
      <c r="N322"/>
      <c r="O322"/>
      <c r="P322"/>
      <c r="Q322"/>
      <c r="R322"/>
      <c r="S322">
        <v>0.9</v>
      </c>
      <c r="T322" t="inlineStr">
        <is>
          <t>formal-attempt-0001</t>
        </is>
      </c>
      <c r="U322"/>
      <c r="V322"/>
      <c r="W322"/>
      <c r="X322" t="inlineStr">
        <is>
          <t>DY-SOC-0262</t>
        </is>
      </c>
      <c r="Y322"/>
      <c r="Z322"/>
      <c r="AA322"/>
      <c r="AB322"/>
      <c r="AC322"/>
      <c r="AD322"/>
      <c r="AE322"/>
      <c r="AF322" t="inlineStr">
        <is>
          <t>AI</t>
        </is>
      </c>
      <c r="AG322" t="inlineStr">
        <is>
          <t>HOLDOUT</t>
        </is>
      </c>
      <c r="AH322" t="inlineStr">
        <is>
          <t>OTHER</t>
        </is>
      </c>
      <c r="AI322" t="inlineStr">
        <is>
          <t>UNKNOWN</t>
        </is>
      </c>
      <c r="AJ322" t="inlineStr">
        <is>
          <t>C</t>
        </is>
      </c>
      <c r="AK322" t="inlineStr">
        <is>
          <t>核心对象：尚未发生的冰梅见饮用意向；体验：原文只表达将要饮用，未明示已经购买或饮用，判为未知；证据强度：仅有饮用意向，缺少实际体验或具体判断。</t>
        </is>
      </c>
      <c r="AL322"/>
      <c r="AM322" t="inlineStr">
        <is>
          <t>HOLDOUT_60.xlsx</t>
        </is>
      </c>
    </row>
    <row r="323" ht="25.5" customHeight="1">
      <c r="A323" t="inlineStr">
        <is>
          <t>DY-SOC-0276_HOLDOUT_formal-attempt-0001_AI</t>
        </is>
      </c>
      <c r="B323" t="inlineStr">
        <is>
          <t>浓缩苹果汁就是糖是脱色脱酸苹果汁然后再浓缩</t>
        </is>
      </c>
      <c r="C323"/>
      <c r="D323"/>
      <c r="E323"/>
      <c r="F323"/>
      <c r="G323"/>
      <c r="H323"/>
      <c r="I323"/>
      <c r="J323"/>
      <c r="K323"/>
      <c r="L323"/>
      <c r="M323"/>
      <c r="N323"/>
      <c r="O323"/>
      <c r="P323"/>
      <c r="Q323"/>
      <c r="R323"/>
      <c r="S323">
        <v>0.7</v>
      </c>
      <c r="T323" t="inlineStr">
        <is>
          <t>formal-attempt-0001</t>
        </is>
      </c>
      <c r="U323"/>
      <c r="V323"/>
      <c r="W323"/>
      <c r="X323" t="inlineStr">
        <is>
          <t>DY-SOC-0276</t>
        </is>
      </c>
      <c r="Y323"/>
      <c r="Z323"/>
      <c r="AA323"/>
      <c r="AB323"/>
      <c r="AC323"/>
      <c r="AD323"/>
      <c r="AE323"/>
      <c r="AF323" t="inlineStr">
        <is>
          <t>AI</t>
        </is>
      </c>
      <c r="AG323" t="inlineStr">
        <is>
          <t>HOLDOUT</t>
        </is>
      </c>
      <c r="AH323" t="inlineStr">
        <is>
          <t>OTHER</t>
        </is>
      </c>
      <c r="AI323" t="inlineStr">
        <is>
          <t>UNKNOWN</t>
        </is>
      </c>
      <c r="AJ323" t="inlineStr">
        <is>
          <t>C</t>
        </is>
      </c>
      <c r="AK323" t="inlineStr">
        <is>
          <t>核心对象：浓缩苹果汁的泛化说明；体验：原文没有饮酒或产品体验立场，判为未知；证据强度：没有明确评价对象或体验依据，信息链不完整。</t>
        </is>
      </c>
      <c r="AL323"/>
      <c r="AM323" t="inlineStr">
        <is>
          <t>HOLDOUT_60.xlsx</t>
        </is>
      </c>
    </row>
    <row r="324" ht="25.5" customHeight="1">
      <c r="A324" t="inlineStr">
        <is>
          <t>DY-SOC-0278_HOLDOUT_formal-attempt-0001_AI</t>
        </is>
      </c>
      <c r="B324" t="inlineStr">
        <is>
          <t>这是有心事了啊麒麟啤酒还可以</t>
        </is>
      </c>
      <c r="C324"/>
      <c r="D324"/>
      <c r="E324"/>
      <c r="F324"/>
      <c r="G324"/>
      <c r="H324"/>
      <c r="I324"/>
      <c r="J324"/>
      <c r="K324"/>
      <c r="L324"/>
      <c r="M324"/>
      <c r="N324"/>
      <c r="O324"/>
      <c r="P324"/>
      <c r="Q324"/>
      <c r="R324"/>
      <c r="S324">
        <v>0.9</v>
      </c>
      <c r="T324" t="inlineStr">
        <is>
          <t>formal-attempt-0001</t>
        </is>
      </c>
      <c r="U324"/>
      <c r="V324"/>
      <c r="W324"/>
      <c r="X324" t="inlineStr">
        <is>
          <t>DY-SOC-0278</t>
        </is>
      </c>
      <c r="Y324"/>
      <c r="Z324"/>
      <c r="AA324"/>
      <c r="AB324"/>
      <c r="AC324"/>
      <c r="AD324"/>
      <c r="AE324"/>
      <c r="AF324" t="inlineStr">
        <is>
          <t>AI</t>
        </is>
      </c>
      <c r="AG324" t="inlineStr">
        <is>
          <t>HOLDOUT</t>
        </is>
      </c>
      <c r="AH324" t="inlineStr">
        <is>
          <t>PRODUCT</t>
        </is>
      </c>
      <c r="AI324" t="inlineStr">
        <is>
          <t>ACTUAL_USE</t>
        </is>
      </c>
      <c r="AJ324" t="inlineStr">
        <is>
          <t>C</t>
        </is>
      </c>
      <c r="AK324" t="inlineStr">
        <is>
          <t>核心对象：麒麟啤酒的产品评价；体验：原文直接给出“还可以”的评价，判为实际体验；证据强度：判断笼统且缺少具体依据，证据较弱。</t>
        </is>
      </c>
      <c r="AL324"/>
      <c r="AM324" t="inlineStr">
        <is>
          <t>HOLDOUT_60.xlsx</t>
        </is>
      </c>
    </row>
    <row r="325" ht="25.5" customHeight="1">
      <c r="A325" t="inlineStr">
        <is>
          <t>DY-SOC-0280_HOLDOUT_formal-attempt-0001_AI</t>
        </is>
      </c>
      <c r="B325" t="inlineStr">
        <is>
          <t>真的只要一番榨吗</t>
        </is>
      </c>
      <c r="C325"/>
      <c r="D325"/>
      <c r="E325"/>
      <c r="F325"/>
      <c r="G325"/>
      <c r="H325"/>
      <c r="I325"/>
      <c r="J325"/>
      <c r="K325"/>
      <c r="L325"/>
      <c r="M325"/>
      <c r="N325"/>
      <c r="O325"/>
      <c r="P325"/>
      <c r="Q325"/>
      <c r="R325"/>
      <c r="S325">
        <v>0.9</v>
      </c>
      <c r="T325" t="inlineStr">
        <is>
          <t>formal-attempt-0001</t>
        </is>
      </c>
      <c r="U325"/>
      <c r="V325"/>
      <c r="W325"/>
      <c r="X325" t="inlineStr">
        <is>
          <t>DY-SOC-0280</t>
        </is>
      </c>
      <c r="Y325"/>
      <c r="Z325"/>
      <c r="AA325"/>
      <c r="AB325"/>
      <c r="AC325"/>
      <c r="AD325"/>
      <c r="AE325"/>
      <c r="AF325" t="inlineStr">
        <is>
          <t>AI</t>
        </is>
      </c>
      <c r="AG325" t="inlineStr">
        <is>
          <t>HOLDOUT</t>
        </is>
      </c>
      <c r="AH325" t="inlineStr">
        <is>
          <t>PRODUCT</t>
        </is>
      </c>
      <c r="AI325" t="inlineStr">
        <is>
          <t>UNKNOWN</t>
        </is>
      </c>
      <c r="AJ325" t="inlineStr">
        <is>
          <t>C</t>
        </is>
      </c>
      <c r="AK325" t="inlineStr">
        <is>
          <t>核心对象：一番榨产品信息；体验：原文仅提出疑问，未明示购买或饮用，判为未知；证据强度：只有单一询问，缺少具体依据。</t>
        </is>
      </c>
      <c r="AL325"/>
      <c r="AM325" t="inlineStr">
        <is>
          <t>HOLDOUT_60.xlsx</t>
        </is>
      </c>
    </row>
    <row r="326" ht="25.5" customHeight="1">
      <c r="A326" t="inlineStr">
        <is>
          <t>JD-20260809-003_HOLDOUT_formal-attempt-0001_AI</t>
        </is>
      </c>
      <c r="B326" t="inlineStr">
        <is>
          <t>俏雅梅子酒收到了，包装完整，质量没问题，生产日期新鲜，配料表干净，价格合适，发货快，好喝，送货到家，满意</t>
        </is>
      </c>
      <c r="C326"/>
      <c r="D326"/>
      <c r="E326"/>
      <c r="F326"/>
      <c r="G326"/>
      <c r="H326"/>
      <c r="I326"/>
      <c r="J326"/>
      <c r="K326"/>
      <c r="L326"/>
      <c r="M326"/>
      <c r="N326"/>
      <c r="O326"/>
      <c r="P326"/>
      <c r="Q326"/>
      <c r="R326"/>
      <c r="S326">
        <v>0.9</v>
      </c>
      <c r="T326" t="inlineStr">
        <is>
          <t>formal-attempt-0001</t>
        </is>
      </c>
      <c r="U326"/>
      <c r="V326"/>
      <c r="W326"/>
      <c r="X326" t="inlineStr">
        <is>
          <t>JD-20260809-003</t>
        </is>
      </c>
      <c r="Y326"/>
      <c r="Z326"/>
      <c r="AA326"/>
      <c r="AB326"/>
      <c r="AC326"/>
      <c r="AD326"/>
      <c r="AE326"/>
      <c r="AF326" t="inlineStr">
        <is>
          <t>AI</t>
        </is>
      </c>
      <c r="AG326" t="inlineStr">
        <is>
          <t>HOLDOUT</t>
        </is>
      </c>
      <c r="AH326" t="inlineStr">
        <is>
          <t>PRODUCT</t>
        </is>
      </c>
      <c r="AI326" t="inlineStr">
        <is>
          <t>ACTUAL_USE</t>
        </is>
      </c>
      <c r="AJ326" t="inlineStr">
        <is>
          <t>A</t>
        </is>
      </c>
      <c r="AK326" t="inlineStr">
        <is>
          <t>核心对象：俏雅梅子酒的产品体验；体验：原文明示收货并直接评价包装、质量、日期、配料和口感，判为实际体验；证据强度：对象、收货情境、具体依据和明确判断均有，证据完整。</t>
        </is>
      </c>
      <c r="AL326"/>
      <c r="AM326" t="inlineStr">
        <is>
          <t>HOLDOUT_60.xlsx</t>
        </is>
      </c>
    </row>
    <row r="327" ht="25.5" customHeight="1">
      <c r="A327" t="inlineStr">
        <is>
          <t>JD-20260809-006_HOLDOUT_formal-attempt-0001_AI</t>
        </is>
      </c>
      <c r="B327" t="inlineStr">
        <is>
          <t>以前在山姆店买过这款梅酒，口感清爽香甜，印象很深刻，在京东平台上看到日本进口的这款梅酒，立马下单购入两瓶，快过年了，和自己的家人或和朋友们一起品尝，也是很惬意的啦！</t>
        </is>
      </c>
      <c r="C327"/>
      <c r="D327"/>
      <c r="E327"/>
      <c r="F327"/>
      <c r="G327"/>
      <c r="H327"/>
      <c r="I327"/>
      <c r="J327"/>
      <c r="K327"/>
      <c r="L327"/>
      <c r="M327"/>
      <c r="N327"/>
      <c r="O327"/>
      <c r="P327"/>
      <c r="Q327"/>
      <c r="R327"/>
      <c r="S327">
        <v>0.9</v>
      </c>
      <c r="T327" t="inlineStr">
        <is>
          <t>formal-attempt-0001</t>
        </is>
      </c>
      <c r="U327"/>
      <c r="V327"/>
      <c r="W327"/>
      <c r="X327" t="inlineStr">
        <is>
          <t>JD-20260809-006</t>
        </is>
      </c>
      <c r="Y327"/>
      <c r="Z327"/>
      <c r="AA327"/>
      <c r="AB327"/>
      <c r="AC327"/>
      <c r="AD327"/>
      <c r="AE327"/>
      <c r="AF327" t="inlineStr">
        <is>
          <t>AI</t>
        </is>
      </c>
      <c r="AG327" t="inlineStr">
        <is>
          <t>HOLDOUT</t>
        </is>
      </c>
      <c r="AH327" t="inlineStr">
        <is>
          <t>PRODUCT</t>
        </is>
      </c>
      <c r="AI327" t="inlineStr">
        <is>
          <t>ACTUAL_USE</t>
        </is>
      </c>
      <c r="AJ327" t="inlineStr">
        <is>
          <t>A</t>
        </is>
      </c>
      <c r="AK327" t="inlineStr">
        <is>
          <t>核心对象：这款梅酒的产品口感；体验：原文明示曾购买并评价口感清爽香甜，判为实际体验；证据强度：有购买情境、具体口感和明确判断，信息链较完整。</t>
        </is>
      </c>
      <c r="AL327"/>
      <c r="AM327" t="inlineStr">
        <is>
          <t>HOLDOUT_60.xlsx</t>
        </is>
      </c>
    </row>
    <row r="328" ht="25.5" customHeight="1">
      <c r="A328" t="inlineStr">
        <is>
          <t>JD-20260809-008_HOLDOUT_formal-attempt-0001_AI</t>
        </is>
      </c>
      <c r="B328" t="inlineStr">
        <is>
          <t>冰过后太好喝了，好👍🏻</t>
        </is>
      </c>
      <c r="C328"/>
      <c r="D328"/>
      <c r="E328"/>
      <c r="F328"/>
      <c r="G328"/>
      <c r="H328"/>
      <c r="I328"/>
      <c r="J328"/>
      <c r="K328"/>
      <c r="L328"/>
      <c r="M328"/>
      <c r="N328"/>
      <c r="O328"/>
      <c r="P328"/>
      <c r="Q328"/>
      <c r="R328"/>
      <c r="S328">
        <v>0.9</v>
      </c>
      <c r="T328" t="inlineStr">
        <is>
          <t>formal-attempt-0001</t>
        </is>
      </c>
      <c r="U328"/>
      <c r="V328"/>
      <c r="W328"/>
      <c r="X328" t="inlineStr">
        <is>
          <t>JD-20260809-008</t>
        </is>
      </c>
      <c r="Y328"/>
      <c r="Z328"/>
      <c r="AA328"/>
      <c r="AB328"/>
      <c r="AC328"/>
      <c r="AD328"/>
      <c r="AE328"/>
      <c r="AF328" t="inlineStr">
        <is>
          <t>AI</t>
        </is>
      </c>
      <c r="AG328" t="inlineStr">
        <is>
          <t>HOLDOUT</t>
        </is>
      </c>
      <c r="AH328" t="inlineStr">
        <is>
          <t>PRODUCT</t>
        </is>
      </c>
      <c r="AI328" t="inlineStr">
        <is>
          <t>ACTUAL_USE</t>
        </is>
      </c>
      <c r="AJ328" t="inlineStr">
        <is>
          <t>B</t>
        </is>
      </c>
      <c r="AK328" t="inlineStr">
        <is>
          <t>核心对象：冰过后的产品口感；体验：原文明示冰过后直接评价好喝，判为实际体验；证据强度：有处理方式和明确口感判断，但未提供具体对象或更多依据，证据不完整。</t>
        </is>
      </c>
      <c r="AL328"/>
      <c r="AM328" t="inlineStr">
        <is>
          <t>HOLDOUT_60.xlsx</t>
        </is>
      </c>
    </row>
    <row r="329" ht="25.5" customHeight="1">
      <c r="A329" t="inlineStr">
        <is>
          <t>JD-20260809-017_HOLDOUT_formal-attempt-0001_AI</t>
        </is>
      </c>
      <c r="B329" t="inlineStr">
        <is>
          <t>一直都很喜欢喝梅子酒，但是一直没买到好喝的，刷到很多推荐俏雅这个牌子的，就打算买来试下，买了两种，气泡酒那个喝了，非常不错，加冰块好好喝！这个梅子酒还没试，里面还有一个梅子。</t>
        </is>
      </c>
      <c r="C329"/>
      <c r="D329"/>
      <c r="E329"/>
      <c r="F329"/>
      <c r="G329"/>
      <c r="H329"/>
      <c r="I329"/>
      <c r="J329"/>
      <c r="K329"/>
      <c r="L329"/>
      <c r="M329"/>
      <c r="N329"/>
      <c r="O329"/>
      <c r="P329"/>
      <c r="Q329"/>
      <c r="R329"/>
      <c r="S329">
        <v>0.9</v>
      </c>
      <c r="T329" t="inlineStr">
        <is>
          <t>formal-attempt-0001</t>
        </is>
      </c>
      <c r="U329"/>
      <c r="V329"/>
      <c r="W329"/>
      <c r="X329" t="inlineStr">
        <is>
          <t>JD-20260809-017</t>
        </is>
      </c>
      <c r="Y329"/>
      <c r="Z329"/>
      <c r="AA329"/>
      <c r="AB329"/>
      <c r="AC329"/>
      <c r="AD329"/>
      <c r="AE329"/>
      <c r="AF329" t="inlineStr">
        <is>
          <t>AI</t>
        </is>
      </c>
      <c r="AG329" t="inlineStr">
        <is>
          <t>HOLDOUT</t>
        </is>
      </c>
      <c r="AH329" t="inlineStr">
        <is>
          <t>PRODUCT</t>
        </is>
      </c>
      <c r="AI329" t="inlineStr">
        <is>
          <t>ACTUAL_USE</t>
        </is>
      </c>
      <c r="AJ329" t="inlineStr">
        <is>
          <t>A</t>
        </is>
      </c>
      <c r="AK329" t="inlineStr">
        <is>
          <t>核心对象：俏雅梅子酒的产品体验；体验：原文明示喝过其中气泡酒并评价好喝，同时说明另一款梅子酒未试，按存在明确实际体验判为实际体验；证据强度：有购买、饮用、加冰和明确评价，并区分未试用部分，证据链完整。</t>
        </is>
      </c>
      <c r="AL329"/>
      <c r="AM329" t="inlineStr">
        <is>
          <t>HOLDOUT_60.xlsx</t>
        </is>
      </c>
    </row>
    <row r="330" ht="25.5" customHeight="1">
      <c r="A330" t="inlineStr">
        <is>
          <t>JD-20260809-027_HOLDOUT_formal-attempt-0001_AI</t>
        </is>
      </c>
      <c r="B330" t="inlineStr">
        <is>
          <t>这款RIO微醺白桃白兰地风味，3度微醺清甜不烈，白桃果香清新自然，入口顺滑，颜值粉嫩讨喜，很适合女生小酌放松。下班回家喝一瓶，很爽，很惬意</t>
        </is>
      </c>
      <c r="C330"/>
      <c r="D330"/>
      <c r="E330"/>
      <c r="F330"/>
      <c r="G330"/>
      <c r="H330"/>
      <c r="I330"/>
      <c r="J330"/>
      <c r="K330"/>
      <c r="L330"/>
      <c r="M330"/>
      <c r="N330"/>
      <c r="O330"/>
      <c r="P330"/>
      <c r="Q330"/>
      <c r="R330"/>
      <c r="S330">
        <v>0.9</v>
      </c>
      <c r="T330" t="inlineStr">
        <is>
          <t>formal-attempt-0001</t>
        </is>
      </c>
      <c r="U330"/>
      <c r="V330"/>
      <c r="W330"/>
      <c r="X330" t="inlineStr">
        <is>
          <t>JD-20260809-027</t>
        </is>
      </c>
      <c r="Y330"/>
      <c r="Z330"/>
      <c r="AA330"/>
      <c r="AB330"/>
      <c r="AC330"/>
      <c r="AD330"/>
      <c r="AE330"/>
      <c r="AF330" t="inlineStr">
        <is>
          <t>AI</t>
        </is>
      </c>
      <c r="AG330" t="inlineStr">
        <is>
          <t>HOLDOUT</t>
        </is>
      </c>
      <c r="AH330" t="inlineStr">
        <is>
          <t>PRODUCT</t>
        </is>
      </c>
      <c r="AI330" t="inlineStr">
        <is>
          <t>ACTUAL_USE</t>
        </is>
      </c>
      <c r="AJ330" t="inlineStr">
        <is>
          <t>A</t>
        </is>
      </c>
      <c r="AK330" t="inlineStr">
        <is>
          <t>核心对象：RIO微醺白桃白兰地风味产品体验；体验：原文给出度数、甜度、酒精感、香气、入口和饮后感受，并写明下班回家喝一瓶，判为实际体验；证据强度：对象、具体饮用情境、细致感受和明确判断齐全，证据完整。</t>
        </is>
      </c>
      <c r="AL330"/>
      <c r="AM330" t="inlineStr">
        <is>
          <t>HOLDOUT_60.xlsx</t>
        </is>
      </c>
    </row>
    <row r="331" ht="25.5" customHeight="1">
      <c r="A331" t="inlineStr">
        <is>
          <t>JD-20260809-039_HOLDOUT_formal-attempt-0001_AI</t>
        </is>
      </c>
      <c r="B331" t="inlineStr">
        <is>
          <t>昆竹青梅酒太赞！琥珀色透亮，一开瓶满是清新梅香。12度微醺，酸甜平衡不腻，入口顺滑不辣喉。青梅果酸、蜜甜、米酒醇香层次丰富，冰镇后更清爽。无香精感，天然纯粹，加冰/兑苏打都好喝。女生友好、日常小酌、聚会都合适，性价比高，无限回购。</t>
        </is>
      </c>
      <c r="C331"/>
      <c r="D331"/>
      <c r="E331"/>
      <c r="F331"/>
      <c r="G331"/>
      <c r="H331"/>
      <c r="I331"/>
      <c r="J331"/>
      <c r="K331"/>
      <c r="L331"/>
      <c r="M331"/>
      <c r="N331"/>
      <c r="O331"/>
      <c r="P331"/>
      <c r="Q331"/>
      <c r="R331"/>
      <c r="S331">
        <v>0.9</v>
      </c>
      <c r="T331" t="inlineStr">
        <is>
          <t>formal-attempt-0001</t>
        </is>
      </c>
      <c r="U331"/>
      <c r="V331"/>
      <c r="W331"/>
      <c r="X331" t="inlineStr">
        <is>
          <t>JD-20260809-039</t>
        </is>
      </c>
      <c r="Y331"/>
      <c r="Z331"/>
      <c r="AA331"/>
      <c r="AB331"/>
      <c r="AC331"/>
      <c r="AD331"/>
      <c r="AE331"/>
      <c r="AF331" t="inlineStr">
        <is>
          <t>AI</t>
        </is>
      </c>
      <c r="AG331" t="inlineStr">
        <is>
          <t>HOLDOUT</t>
        </is>
      </c>
      <c r="AH331" t="inlineStr">
        <is>
          <t>PRODUCT</t>
        </is>
      </c>
      <c r="AI331" t="inlineStr">
        <is>
          <t>ACTUAL_USE</t>
        </is>
      </c>
      <c r="AJ331" t="inlineStr">
        <is>
          <t>A</t>
        </is>
      </c>
      <c r="AK331" t="inlineStr">
        <is>
          <t>核心对象：产品；体验：ACTUAL_USE；证据强度：A。</t>
        </is>
      </c>
      <c r="AL331"/>
      <c r="AM331" t="inlineStr">
        <is>
          <t>HOLDOUT_60.xlsx</t>
        </is>
      </c>
    </row>
    <row r="332" ht="25.5" customHeight="1">
      <c r="A332" t="inlineStr">
        <is>
          <t>JD-20260809-040_HOLDOUT_formal-attempt-0001_AI</t>
        </is>
      </c>
      <c r="B332" t="inlineStr">
        <is>
          <t>昆竹青梅酒白金版太绝了！精选老树大青梅，梅香浓郁高扬，酸甜平衡超舒服。12度柔和不辣喉，纯饮/加冰都绝，配料干净无添加，微醺不上头，无限回购！</t>
        </is>
      </c>
      <c r="C332"/>
      <c r="D332"/>
      <c r="E332"/>
      <c r="F332"/>
      <c r="G332"/>
      <c r="H332"/>
      <c r="I332"/>
      <c r="J332"/>
      <c r="K332"/>
      <c r="L332"/>
      <c r="M332"/>
      <c r="N332"/>
      <c r="O332"/>
      <c r="P332"/>
      <c r="Q332"/>
      <c r="R332"/>
      <c r="S332">
        <v>0.9</v>
      </c>
      <c r="T332" t="inlineStr">
        <is>
          <t>formal-attempt-0001</t>
        </is>
      </c>
      <c r="U332"/>
      <c r="V332"/>
      <c r="W332"/>
      <c r="X332" t="inlineStr">
        <is>
          <t>JD-20260809-040</t>
        </is>
      </c>
      <c r="Y332"/>
      <c r="Z332"/>
      <c r="AA332"/>
      <c r="AB332"/>
      <c r="AC332"/>
      <c r="AD332"/>
      <c r="AE332"/>
      <c r="AF332" t="inlineStr">
        <is>
          <t>AI</t>
        </is>
      </c>
      <c r="AG332" t="inlineStr">
        <is>
          <t>HOLDOUT</t>
        </is>
      </c>
      <c r="AH332" t="inlineStr">
        <is>
          <t>PRODUCT</t>
        </is>
      </c>
      <c r="AI332" t="inlineStr">
        <is>
          <t>ACTUAL_USE</t>
        </is>
      </c>
      <c r="AJ332" t="inlineStr">
        <is>
          <t>A</t>
        </is>
      </c>
      <c r="AK332" t="inlineStr">
        <is>
          <t>核心对象：产品；体验：ACTUAL_USE；证据强度：A。</t>
        </is>
      </c>
      <c r="AL332"/>
      <c r="AM332" t="inlineStr">
        <is>
          <t>HOLDOUT_60.xlsx</t>
        </is>
      </c>
    </row>
    <row r="333" ht="25.5" customHeight="1">
      <c r="A333" t="inlineStr">
        <is>
          <t>JD-20260809-046_HOLDOUT_formal-attempt-0001_AI</t>
        </is>
      </c>
      <c r="B333" t="inlineStr">
        <is>
          <t>发货很快 包装结实 泡沫塑料保护的很好防止磕碰 味道挺不错的 最近一直买这个 感觉桃子的口味是最喜欢的 喝完的感觉也刚好</t>
        </is>
      </c>
      <c r="C333"/>
      <c r="D333"/>
      <c r="E333"/>
      <c r="F333"/>
      <c r="G333"/>
      <c r="H333"/>
      <c r="I333"/>
      <c r="J333"/>
      <c r="K333"/>
      <c r="L333"/>
      <c r="M333"/>
      <c r="N333"/>
      <c r="O333"/>
      <c r="P333"/>
      <c r="Q333"/>
      <c r="R333"/>
      <c r="S333">
        <v>0.7</v>
      </c>
      <c r="T333" t="inlineStr">
        <is>
          <t>formal-attempt-0001</t>
        </is>
      </c>
      <c r="U333"/>
      <c r="V333"/>
      <c r="W333"/>
      <c r="X333" t="inlineStr">
        <is>
          <t>JD-20260809-046</t>
        </is>
      </c>
      <c r="Y333"/>
      <c r="Z333"/>
      <c r="AA333"/>
      <c r="AB333"/>
      <c r="AC333"/>
      <c r="AD333"/>
      <c r="AE333"/>
      <c r="AF333" t="inlineStr">
        <is>
          <t>AI</t>
        </is>
      </c>
      <c r="AG333" t="inlineStr">
        <is>
          <t>HOLDOUT</t>
        </is>
      </c>
      <c r="AH333" t="inlineStr">
        <is>
          <t>PRODUCT</t>
        </is>
      </c>
      <c r="AI333" t="inlineStr">
        <is>
          <t>ACTUAL_USE</t>
        </is>
      </c>
      <c r="AJ333" t="inlineStr">
        <is>
          <t>A</t>
        </is>
      </c>
      <c r="AK333" t="inlineStr">
        <is>
          <t>核心对象：产品；体验：ACTUAL_USE；证据强度：A。</t>
        </is>
      </c>
      <c r="AL333"/>
      <c r="AM333" t="inlineStr">
        <is>
          <t>HOLDOUT_60.xlsx</t>
        </is>
      </c>
    </row>
    <row r="334" ht="25.5" customHeight="1">
      <c r="A334" t="inlineStr">
        <is>
          <t>JD-20260809-047_HOLDOUT_formal-attempt-0001_AI</t>
        </is>
      </c>
      <c r="B334" t="inlineStr">
        <is>
          <t>这款强爽青提味饮料真是让人爱不释手！口感清爽，果香浓郁，聚会必备饮品🥤🍻 朋友都说好喝，性价比超高，值得回购👍。</t>
        </is>
      </c>
      <c r="C334"/>
      <c r="D334"/>
      <c r="E334"/>
      <c r="F334"/>
      <c r="G334"/>
      <c r="H334"/>
      <c r="I334"/>
      <c r="J334"/>
      <c r="K334"/>
      <c r="L334"/>
      <c r="M334"/>
      <c r="N334"/>
      <c r="O334"/>
      <c r="P334"/>
      <c r="Q334"/>
      <c r="R334"/>
      <c r="S334">
        <v>0.9</v>
      </c>
      <c r="T334" t="inlineStr">
        <is>
          <t>formal-attempt-0001</t>
        </is>
      </c>
      <c r="U334"/>
      <c r="V334"/>
      <c r="W334"/>
      <c r="X334" t="inlineStr">
        <is>
          <t>JD-20260809-047</t>
        </is>
      </c>
      <c r="Y334"/>
      <c r="Z334"/>
      <c r="AA334"/>
      <c r="AB334"/>
      <c r="AC334"/>
      <c r="AD334"/>
      <c r="AE334"/>
      <c r="AF334" t="inlineStr">
        <is>
          <t>AI</t>
        </is>
      </c>
      <c r="AG334" t="inlineStr">
        <is>
          <t>HOLDOUT</t>
        </is>
      </c>
      <c r="AH334" t="inlineStr">
        <is>
          <t>PRODUCT</t>
        </is>
      </c>
      <c r="AI334" t="inlineStr">
        <is>
          <t>ACTUAL_USE</t>
        </is>
      </c>
      <c r="AJ334" t="inlineStr">
        <is>
          <t>B</t>
        </is>
      </c>
      <c r="AK334" t="inlineStr">
        <is>
          <t>核心对象：产品；体验：ACTUAL_USE；证据强度：B。</t>
        </is>
      </c>
      <c r="AL334"/>
      <c r="AM334" t="inlineStr">
        <is>
          <t>HOLDOUT_60.xlsx</t>
        </is>
      </c>
    </row>
    <row r="335" ht="25.5" customHeight="1">
      <c r="A335" t="inlineStr">
        <is>
          <t>JD-20260809-068_HOLDOUT_formal-attempt-0001_AI</t>
        </is>
      </c>
      <c r="B335" t="inlineStr">
        <is>
          <t>新口味金桂梅酒，味道可以，不会喝酒的也能喝一杯，哈哈哈
香气浓郁度：很香
酒精度数：酒精度数比较低。</t>
        </is>
      </c>
      <c r="C335"/>
      <c r="D335"/>
      <c r="E335"/>
      <c r="F335"/>
      <c r="G335"/>
      <c r="H335"/>
      <c r="I335"/>
      <c r="J335"/>
      <c r="K335"/>
      <c r="L335"/>
      <c r="M335"/>
      <c r="N335"/>
      <c r="O335"/>
      <c r="P335"/>
      <c r="Q335"/>
      <c r="R335"/>
      <c r="S335">
        <v>0.9</v>
      </c>
      <c r="T335" t="inlineStr">
        <is>
          <t>formal-attempt-0001</t>
        </is>
      </c>
      <c r="U335"/>
      <c r="V335"/>
      <c r="W335"/>
      <c r="X335" t="inlineStr">
        <is>
          <t>JD-20260809-068</t>
        </is>
      </c>
      <c r="Y335"/>
      <c r="Z335"/>
      <c r="AA335"/>
      <c r="AB335"/>
      <c r="AC335"/>
      <c r="AD335"/>
      <c r="AE335"/>
      <c r="AF335" t="inlineStr">
        <is>
          <t>AI</t>
        </is>
      </c>
      <c r="AG335" t="inlineStr">
        <is>
          <t>HOLDOUT</t>
        </is>
      </c>
      <c r="AH335" t="inlineStr">
        <is>
          <t>PRODUCT</t>
        </is>
      </c>
      <c r="AI335" t="inlineStr">
        <is>
          <t>ACTUAL_USE</t>
        </is>
      </c>
      <c r="AJ335" t="inlineStr">
        <is>
          <t>A</t>
        </is>
      </c>
      <c r="AK335" t="inlineStr">
        <is>
          <t>核心对象：产品；体验：ACTUAL_USE；证据强度：A。</t>
        </is>
      </c>
      <c r="AL335"/>
      <c r="AM335" t="inlineStr">
        <is>
          <t>HOLDOUT_60.xlsx</t>
        </is>
      </c>
    </row>
    <row r="336" ht="25.5" customHeight="1">
      <c r="A336" t="inlineStr">
        <is>
          <t>JD-RAW-0027_HOLDOUT_formal-attempt-0001_AI</t>
        </is>
      </c>
      <c r="B336" t="inlineStr">
        <is>
          <t>这款RIO微醺白桃白兰地风味，3度微醺清甜不烈，白桃果香清新自然，入口顺滑，颜值粉嫩讨喜，很适合女生小酌放松。下班回家喝一瓶，很爽，很惬意</t>
        </is>
      </c>
      <c r="C336"/>
      <c r="D336"/>
      <c r="E336"/>
      <c r="F336"/>
      <c r="G336"/>
      <c r="H336"/>
      <c r="I336"/>
      <c r="J336"/>
      <c r="K336"/>
      <c r="L336"/>
      <c r="M336"/>
      <c r="N336"/>
      <c r="O336"/>
      <c r="P336"/>
      <c r="Q336"/>
      <c r="R336"/>
      <c r="S336">
        <v>0.9</v>
      </c>
      <c r="T336" t="inlineStr">
        <is>
          <t>formal-attempt-0001</t>
        </is>
      </c>
      <c r="U336"/>
      <c r="V336"/>
      <c r="W336"/>
      <c r="X336" t="inlineStr">
        <is>
          <t>JD-RAW-0027</t>
        </is>
      </c>
      <c r="Y336"/>
      <c r="Z336"/>
      <c r="AA336"/>
      <c r="AB336"/>
      <c r="AC336"/>
      <c r="AD336"/>
      <c r="AE336"/>
      <c r="AF336" t="inlineStr">
        <is>
          <t>AI</t>
        </is>
      </c>
      <c r="AG336" t="inlineStr">
        <is>
          <t>HOLDOUT</t>
        </is>
      </c>
      <c r="AH336" t="inlineStr">
        <is>
          <t>PRODUCT</t>
        </is>
      </c>
      <c r="AI336" t="inlineStr">
        <is>
          <t>ACTUAL_USE</t>
        </is>
      </c>
      <c r="AJ336" t="inlineStr">
        <is>
          <t>A</t>
        </is>
      </c>
      <c r="AK336" t="inlineStr">
        <is>
          <t>核心对象：产品；体验：ACTUAL_USE；证据强度：A。</t>
        </is>
      </c>
      <c r="AL336"/>
      <c r="AM336" t="inlineStr">
        <is>
          <t>HOLDOUT_60.xlsx</t>
        </is>
      </c>
    </row>
    <row r="337" ht="25.5" customHeight="1">
      <c r="A337" t="inlineStr">
        <is>
          <t>JD-RAW-0105_HOLDOUT_formal-attempt-0001_AI</t>
        </is>
      </c>
      <c r="B337" t="inlineStr">
        <is>
          <t>果酒颜色正，喝起来顺口，喝着酸溜溜。</t>
        </is>
      </c>
      <c r="C337"/>
      <c r="D337"/>
      <c r="E337"/>
      <c r="F337"/>
      <c r="G337"/>
      <c r="H337"/>
      <c r="I337"/>
      <c r="J337"/>
      <c r="K337"/>
      <c r="L337"/>
      <c r="M337"/>
      <c r="N337"/>
      <c r="O337"/>
      <c r="P337"/>
      <c r="Q337"/>
      <c r="R337"/>
      <c r="S337">
        <v>0.9</v>
      </c>
      <c r="T337" t="inlineStr">
        <is>
          <t>formal-attempt-0001</t>
        </is>
      </c>
      <c r="U337"/>
      <c r="V337"/>
      <c r="W337"/>
      <c r="X337" t="inlineStr">
        <is>
          <t>JD-RAW-0105</t>
        </is>
      </c>
      <c r="Y337"/>
      <c r="Z337"/>
      <c r="AA337"/>
      <c r="AB337"/>
      <c r="AC337"/>
      <c r="AD337"/>
      <c r="AE337"/>
      <c r="AF337" t="inlineStr">
        <is>
          <t>AI</t>
        </is>
      </c>
      <c r="AG337" t="inlineStr">
        <is>
          <t>HOLDOUT</t>
        </is>
      </c>
      <c r="AH337" t="inlineStr">
        <is>
          <t>PRODUCT</t>
        </is>
      </c>
      <c r="AI337" t="inlineStr">
        <is>
          <t>ACTUAL_USE</t>
        </is>
      </c>
      <c r="AJ337" t="inlineStr">
        <is>
          <t>B</t>
        </is>
      </c>
      <c r="AK337" t="inlineStr">
        <is>
          <t>核心对象：产品；体验：ACTUAL_USE；证据强度：B。</t>
        </is>
      </c>
      <c r="AL337"/>
      <c r="AM337" t="inlineStr">
        <is>
          <t>HOLDOUT_60.xlsx</t>
        </is>
      </c>
    </row>
    <row r="338" ht="25.5" customHeight="1">
      <c r="A338" t="inlineStr">
        <is>
          <t>JD-RAW-0109_HOLDOUT_formal-attempt-0001_AI</t>
        </is>
      </c>
      <c r="B338" t="inlineStr">
        <is>
          <t>多次回购好喝，但是必须冷藏才好喝。</t>
        </is>
      </c>
      <c r="C338"/>
      <c r="D338"/>
      <c r="E338"/>
      <c r="F338"/>
      <c r="G338"/>
      <c r="H338"/>
      <c r="I338"/>
      <c r="J338"/>
      <c r="K338"/>
      <c r="L338"/>
      <c r="M338"/>
      <c r="N338"/>
      <c r="O338"/>
      <c r="P338"/>
      <c r="Q338"/>
      <c r="R338"/>
      <c r="S338">
        <v>0.9</v>
      </c>
      <c r="T338" t="inlineStr">
        <is>
          <t>formal-attempt-0001</t>
        </is>
      </c>
      <c r="U338"/>
      <c r="V338"/>
      <c r="W338"/>
      <c r="X338" t="inlineStr">
        <is>
          <t>JD-RAW-0109</t>
        </is>
      </c>
      <c r="Y338"/>
      <c r="Z338"/>
      <c r="AA338"/>
      <c r="AB338"/>
      <c r="AC338"/>
      <c r="AD338"/>
      <c r="AE338"/>
      <c r="AF338" t="inlineStr">
        <is>
          <t>AI</t>
        </is>
      </c>
      <c r="AG338" t="inlineStr">
        <is>
          <t>HOLDOUT</t>
        </is>
      </c>
      <c r="AH338" t="inlineStr">
        <is>
          <t>PRODUCT</t>
        </is>
      </c>
      <c r="AI338" t="inlineStr">
        <is>
          <t>ACTUAL_USE</t>
        </is>
      </c>
      <c r="AJ338" t="inlineStr">
        <is>
          <t>B</t>
        </is>
      </c>
      <c r="AK338" t="inlineStr">
        <is>
          <t>核心对象：产品；体验：ACTUAL_USE；证据强度：B。</t>
        </is>
      </c>
      <c r="AL338"/>
      <c r="AM338" t="inlineStr">
        <is>
          <t>HOLDOUT_60.xlsx</t>
        </is>
      </c>
    </row>
    <row r="339" ht="25.5" customHeight="1">
      <c r="A339" t="inlineStr">
        <is>
          <t>MJ-RAW-0001_HOLDOUT_formal-attempt-0001_AI</t>
        </is>
      </c>
      <c r="B339" t="inlineStr">
        <is>
          <t>“单喝梅见真的很难喝”“这个也要调吗，可能，我单喝也不好喝”“强烈推荐+水溶C”</t>
        </is>
      </c>
      <c r="C339"/>
      <c r="D339"/>
      <c r="E339"/>
      <c r="F339"/>
      <c r="G339"/>
      <c r="H339"/>
      <c r="I339"/>
      <c r="J339"/>
      <c r="K339"/>
      <c r="L339"/>
      <c r="M339"/>
      <c r="N339"/>
      <c r="O339"/>
      <c r="P339"/>
      <c r="Q339"/>
      <c r="R339"/>
      <c r="S339">
        <v>0.9</v>
      </c>
      <c r="T339" t="inlineStr">
        <is>
          <t>formal-attempt-0001</t>
        </is>
      </c>
      <c r="U339"/>
      <c r="V339"/>
      <c r="W339"/>
      <c r="X339" t="inlineStr">
        <is>
          <t>MJ-RAW-0001</t>
        </is>
      </c>
      <c r="Y339"/>
      <c r="Z339"/>
      <c r="AA339"/>
      <c r="AB339"/>
      <c r="AC339"/>
      <c r="AD339"/>
      <c r="AE339"/>
      <c r="AF339" t="inlineStr">
        <is>
          <t>AI</t>
        </is>
      </c>
      <c r="AG339" t="inlineStr">
        <is>
          <t>HOLDOUT</t>
        </is>
      </c>
      <c r="AH339" t="inlineStr">
        <is>
          <t>PRODUCT</t>
        </is>
      </c>
      <c r="AI339" t="inlineStr">
        <is>
          <t>ACTUAL_USE</t>
        </is>
      </c>
      <c r="AJ339" t="inlineStr">
        <is>
          <t>B</t>
        </is>
      </c>
      <c r="AK339" t="inlineStr">
        <is>
          <t>核心对象：产品；体验：ACTUAL_USE；证据强度：B。</t>
        </is>
      </c>
      <c r="AL339"/>
      <c r="AM339" t="inlineStr">
        <is>
          <t>HOLDOUT_60.xlsx</t>
        </is>
      </c>
    </row>
    <row r="340" ht="25.5" customHeight="1">
      <c r="A340" t="inlineStr">
        <is>
          <t>MJ-RAW-0002_HOLDOUT_formal-attempt-0001_AI</t>
        </is>
      </c>
      <c r="B340" t="inlineStr">
        <is>
          <t>“这股浓烈的药味和草本味是怎么回事？”“兑了绿茶，结果药味依然很浓”“金桂款值得一试，青柑款慎入”</t>
        </is>
      </c>
      <c r="C340"/>
      <c r="D340"/>
      <c r="E340"/>
      <c r="F340"/>
      <c r="G340"/>
      <c r="H340"/>
      <c r="I340"/>
      <c r="J340"/>
      <c r="K340"/>
      <c r="L340"/>
      <c r="M340"/>
      <c r="N340"/>
      <c r="O340"/>
      <c r="P340"/>
      <c r="Q340"/>
      <c r="R340"/>
      <c r="S340">
        <v>0.9</v>
      </c>
      <c r="T340" t="inlineStr">
        <is>
          <t>formal-attempt-0001</t>
        </is>
      </c>
      <c r="U340"/>
      <c r="V340"/>
      <c r="W340"/>
      <c r="X340" t="inlineStr">
        <is>
          <t>MJ-RAW-0002</t>
        </is>
      </c>
      <c r="Y340"/>
      <c r="Z340"/>
      <c r="AA340"/>
      <c r="AB340"/>
      <c r="AC340"/>
      <c r="AD340"/>
      <c r="AE340"/>
      <c r="AF340" t="inlineStr">
        <is>
          <t>AI</t>
        </is>
      </c>
      <c r="AG340" t="inlineStr">
        <is>
          <t>HOLDOUT</t>
        </is>
      </c>
      <c r="AH340" t="inlineStr">
        <is>
          <t>PRODUCT</t>
        </is>
      </c>
      <c r="AI340" t="inlineStr">
        <is>
          <t>ACTUAL_USE</t>
        </is>
      </c>
      <c r="AJ340" t="inlineStr">
        <is>
          <t>A</t>
        </is>
      </c>
      <c r="AK340" t="inlineStr">
        <is>
          <t>核心对象：产品；体验：ACTUAL_USE；证据强度：A。</t>
        </is>
      </c>
      <c r="AL340"/>
      <c r="AM340" t="inlineStr">
        <is>
          <t>HOLDOUT_60.xlsx</t>
        </is>
      </c>
    </row>
    <row r="341" ht="25.5" customHeight="1">
      <c r="A341" t="inlineStr">
        <is>
          <t>MJ-RAW-0015_HOLDOUT_formal-attempt-0001_AI</t>
        </is>
      </c>
      <c r="B341" t="inlineStr">
        <is>
          <t>这个呀，我加柠檬汁和雪碧，或者➕酸梅汤和蔓越莓利口酒</t>
        </is>
      </c>
      <c r="C341"/>
      <c r="D341"/>
      <c r="E341"/>
      <c r="F341"/>
      <c r="G341"/>
      <c r="H341"/>
      <c r="I341"/>
      <c r="J341"/>
      <c r="K341"/>
      <c r="L341"/>
      <c r="M341"/>
      <c r="N341"/>
      <c r="O341"/>
      <c r="P341"/>
      <c r="Q341"/>
      <c r="R341"/>
      <c r="S341">
        <v>0.9</v>
      </c>
      <c r="T341" t="inlineStr">
        <is>
          <t>formal-attempt-0001</t>
        </is>
      </c>
      <c r="U341"/>
      <c r="V341"/>
      <c r="W341"/>
      <c r="X341" t="inlineStr">
        <is>
          <t>MJ-RAW-0015</t>
        </is>
      </c>
      <c r="Y341"/>
      <c r="Z341"/>
      <c r="AA341"/>
      <c r="AB341"/>
      <c r="AC341"/>
      <c r="AD341"/>
      <c r="AE341"/>
      <c r="AF341" t="inlineStr">
        <is>
          <t>AI</t>
        </is>
      </c>
      <c r="AG341" t="inlineStr">
        <is>
          <t>HOLDOUT</t>
        </is>
      </c>
      <c r="AH341" t="inlineStr">
        <is>
          <t>SCENE</t>
        </is>
      </c>
      <c r="AI341" t="inlineStr">
        <is>
          <t>ACTUAL_USE</t>
        </is>
      </c>
      <c r="AJ341" t="inlineStr">
        <is>
          <t>C</t>
        </is>
      </c>
      <c r="AK341" t="inlineStr">
        <is>
          <t>核心对象：饮用方式；体验：ACTUAL_USE；证据强度：C。</t>
        </is>
      </c>
      <c r="AL341"/>
      <c r="AM341" t="inlineStr">
        <is>
          <t>HOLDOUT_60.xlsx</t>
        </is>
      </c>
    </row>
    <row r="342" ht="25.5" customHeight="1">
      <c r="A342" t="inlineStr">
        <is>
          <t>MJ-RAW-0016_HOLDOUT_formal-attempt-0001_AI</t>
        </is>
      </c>
      <c r="B342" t="inlineStr">
        <is>
          <t>但是...工业酒精味道</t>
        </is>
      </c>
      <c r="C342"/>
      <c r="D342"/>
      <c r="E342"/>
      <c r="F342"/>
      <c r="G342"/>
      <c r="H342"/>
      <c r="I342"/>
      <c r="J342"/>
      <c r="K342"/>
      <c r="L342"/>
      <c r="M342"/>
      <c r="N342"/>
      <c r="O342"/>
      <c r="P342"/>
      <c r="Q342"/>
      <c r="R342"/>
      <c r="S342">
        <v>0.9</v>
      </c>
      <c r="T342" t="inlineStr">
        <is>
          <t>formal-attempt-0001</t>
        </is>
      </c>
      <c r="U342"/>
      <c r="V342"/>
      <c r="W342"/>
      <c r="X342" t="inlineStr">
        <is>
          <t>MJ-RAW-0016</t>
        </is>
      </c>
      <c r="Y342"/>
      <c r="Z342"/>
      <c r="AA342"/>
      <c r="AB342"/>
      <c r="AC342"/>
      <c r="AD342"/>
      <c r="AE342"/>
      <c r="AF342" t="inlineStr">
        <is>
          <t>AI</t>
        </is>
      </c>
      <c r="AG342" t="inlineStr">
        <is>
          <t>HOLDOUT</t>
        </is>
      </c>
      <c r="AH342" t="inlineStr">
        <is>
          <t>PRODUCT</t>
        </is>
      </c>
      <c r="AI342" t="inlineStr">
        <is>
          <t>ACTUAL_USE</t>
        </is>
      </c>
      <c r="AJ342" t="inlineStr">
        <is>
          <t>C</t>
        </is>
      </c>
      <c r="AK342" t="inlineStr">
        <is>
          <t>核心对象：产品；体验：ACTUAL_USE；证据强度：C。</t>
        </is>
      </c>
      <c r="AL342"/>
      <c r="AM342" t="inlineStr">
        <is>
          <t>HOLDOUT_60.xlsx</t>
        </is>
      </c>
    </row>
    <row r="343" ht="25.5" customHeight="1">
      <c r="A343" t="inlineStr">
        <is>
          <t>MJ-RAW-0028_HOLDOUT_formal-attempt-0001_AI</t>
        </is>
      </c>
      <c r="B343" t="inlineStr">
        <is>
          <t>喝完嘴里真的有留香，淡淡的果香挺持久的 🍵冰过之后口感更清爽，甜度也刚好，不腻包装很用心，送人也体面，会回购 👍 👍</t>
        </is>
      </c>
      <c r="C343"/>
      <c r="D343"/>
      <c r="E343"/>
      <c r="F343"/>
      <c r="G343"/>
      <c r="H343"/>
      <c r="I343"/>
      <c r="J343"/>
      <c r="K343"/>
      <c r="L343"/>
      <c r="M343"/>
      <c r="N343"/>
      <c r="O343"/>
      <c r="P343"/>
      <c r="Q343"/>
      <c r="R343"/>
      <c r="S343">
        <v>0.9</v>
      </c>
      <c r="T343" t="inlineStr">
        <is>
          <t>formal-attempt-0001</t>
        </is>
      </c>
      <c r="U343"/>
      <c r="V343"/>
      <c r="W343"/>
      <c r="X343" t="inlineStr">
        <is>
          <t>MJ-RAW-0028</t>
        </is>
      </c>
      <c r="Y343"/>
      <c r="Z343"/>
      <c r="AA343"/>
      <c r="AB343"/>
      <c r="AC343"/>
      <c r="AD343"/>
      <c r="AE343"/>
      <c r="AF343" t="inlineStr">
        <is>
          <t>AI</t>
        </is>
      </c>
      <c r="AG343" t="inlineStr">
        <is>
          <t>HOLDOUT</t>
        </is>
      </c>
      <c r="AH343" t="inlineStr">
        <is>
          <t>PRODUCT</t>
        </is>
      </c>
      <c r="AI343" t="inlineStr">
        <is>
          <t>ACTUAL_USE</t>
        </is>
      </c>
      <c r="AJ343" t="inlineStr">
        <is>
          <t>A</t>
        </is>
      </c>
      <c r="AK343" t="inlineStr">
        <is>
          <t>核心对象：产品；体验：ACTUAL_USE；证据强度：A。</t>
        </is>
      </c>
      <c r="AL343"/>
      <c r="AM343" t="inlineStr">
        <is>
          <t>HOLDOUT_60.xlsx</t>
        </is>
      </c>
    </row>
    <row r="344" ht="25.5" customHeight="1">
      <c r="A344" t="inlineStr">
        <is>
          <t>MJ-RAW-0035_HOLDOUT_formal-attempt-0001_AI</t>
        </is>
      </c>
      <c r="B344" t="inlineStr">
        <is>
          <t>收到果酒了，口感真的很清爽，喝着很舒服非常不错，梅见+可乐，完美</t>
        </is>
      </c>
      <c r="C344"/>
      <c r="D344"/>
      <c r="E344"/>
      <c r="F344"/>
      <c r="G344"/>
      <c r="H344"/>
      <c r="I344"/>
      <c r="J344"/>
      <c r="K344"/>
      <c r="L344"/>
      <c r="M344"/>
      <c r="N344"/>
      <c r="O344"/>
      <c r="P344"/>
      <c r="Q344"/>
      <c r="R344"/>
      <c r="S344">
        <v>0.9</v>
      </c>
      <c r="T344" t="inlineStr">
        <is>
          <t>formal-attempt-0001</t>
        </is>
      </c>
      <c r="U344"/>
      <c r="V344"/>
      <c r="W344"/>
      <c r="X344" t="inlineStr">
        <is>
          <t>MJ-RAW-0035</t>
        </is>
      </c>
      <c r="Y344"/>
      <c r="Z344"/>
      <c r="AA344"/>
      <c r="AB344"/>
      <c r="AC344"/>
      <c r="AD344"/>
      <c r="AE344"/>
      <c r="AF344" t="inlineStr">
        <is>
          <t>AI</t>
        </is>
      </c>
      <c r="AG344" t="inlineStr">
        <is>
          <t>HOLDOUT</t>
        </is>
      </c>
      <c r="AH344" t="inlineStr">
        <is>
          <t>PRODUCT</t>
        </is>
      </c>
      <c r="AI344" t="inlineStr">
        <is>
          <t>ACTUAL_USE</t>
        </is>
      </c>
      <c r="AJ344" t="inlineStr">
        <is>
          <t>B</t>
        </is>
      </c>
      <c r="AK344" t="inlineStr">
        <is>
          <t>核心对象：产品；体验：ACTUAL_USE；证据强度：B。</t>
        </is>
      </c>
      <c r="AL344"/>
      <c r="AM344" t="inlineStr">
        <is>
          <t>HOLDOUT_60.xlsx</t>
        </is>
      </c>
    </row>
    <row r="345" ht="25.5" customHeight="1">
      <c r="A345" t="inlineStr">
        <is>
          <t>MJ-RAW-0064_HOLDOUT_formal-attempt-0001_AI</t>
        </is>
      </c>
      <c r="B345" t="inlineStr">
        <is>
          <t>这个酒对我而言就是成年人的糖水苦日子里的那点甜</t>
        </is>
      </c>
      <c r="C345"/>
      <c r="D345"/>
      <c r="E345"/>
      <c r="F345"/>
      <c r="G345"/>
      <c r="H345"/>
      <c r="I345"/>
      <c r="J345"/>
      <c r="K345"/>
      <c r="L345"/>
      <c r="M345"/>
      <c r="N345"/>
      <c r="O345"/>
      <c r="P345"/>
      <c r="Q345"/>
      <c r="R345"/>
      <c r="S345">
        <v>0.7</v>
      </c>
      <c r="T345" t="inlineStr">
        <is>
          <t>formal-attempt-0001</t>
        </is>
      </c>
      <c r="U345"/>
      <c r="V345"/>
      <c r="W345"/>
      <c r="X345" t="inlineStr">
        <is>
          <t>MJ-RAW-0064</t>
        </is>
      </c>
      <c r="Y345"/>
      <c r="Z345"/>
      <c r="AA345"/>
      <c r="AB345"/>
      <c r="AC345"/>
      <c r="AD345"/>
      <c r="AE345"/>
      <c r="AF345" t="inlineStr">
        <is>
          <t>AI</t>
        </is>
      </c>
      <c r="AG345" t="inlineStr">
        <is>
          <t>HOLDOUT</t>
        </is>
      </c>
      <c r="AH345" t="inlineStr">
        <is>
          <t>BRAND</t>
        </is>
      </c>
      <c r="AI345" t="inlineStr">
        <is>
          <t>ACTUAL_USE</t>
        </is>
      </c>
      <c r="AJ345" t="inlineStr">
        <is>
          <t>C</t>
        </is>
      </c>
      <c r="AK345" t="inlineStr">
        <is>
          <t>核心对象：品牌印象；体验：ACTUAL_USE；证据强度：C。</t>
        </is>
      </c>
      <c r="AL345"/>
      <c r="AM345" t="inlineStr">
        <is>
          <t>HOLDOUT_60.xlsx</t>
        </is>
      </c>
    </row>
    <row r="346" ht="25.5" customHeight="1">
      <c r="A346" t="inlineStr">
        <is>
          <t>MJ-RAW-0220_HOLDOUT_formal-attempt-0001_AI</t>
        </is>
      </c>
      <c r="B346" t="inlineStr">
        <is>
          <t>一瓶微微醺，两瓶微醺</t>
        </is>
      </c>
      <c r="C346"/>
      <c r="D346"/>
      <c r="E346"/>
      <c r="F346"/>
      <c r="G346"/>
      <c r="H346"/>
      <c r="I346"/>
      <c r="J346"/>
      <c r="K346"/>
      <c r="L346"/>
      <c r="M346"/>
      <c r="N346"/>
      <c r="O346"/>
      <c r="P346"/>
      <c r="Q346"/>
      <c r="R346"/>
      <c r="S346">
        <v>0.9</v>
      </c>
      <c r="T346" t="inlineStr">
        <is>
          <t>formal-attempt-0001</t>
        </is>
      </c>
      <c r="U346"/>
      <c r="V346"/>
      <c r="W346"/>
      <c r="X346" t="inlineStr">
        <is>
          <t>MJ-RAW-0220</t>
        </is>
      </c>
      <c r="Y346"/>
      <c r="Z346"/>
      <c r="AA346"/>
      <c r="AB346"/>
      <c r="AC346"/>
      <c r="AD346"/>
      <c r="AE346"/>
      <c r="AF346" t="inlineStr">
        <is>
          <t>AI</t>
        </is>
      </c>
      <c r="AG346" t="inlineStr">
        <is>
          <t>HOLDOUT</t>
        </is>
      </c>
      <c r="AH346" t="inlineStr">
        <is>
          <t>SCENE</t>
        </is>
      </c>
      <c r="AI346" t="inlineStr">
        <is>
          <t>UNKNOWN</t>
        </is>
      </c>
      <c r="AJ346" t="inlineStr">
        <is>
          <t>C</t>
        </is>
      </c>
      <c r="AK346" t="inlineStr">
        <is>
          <t>核心对象：饮酒状态；体验：UNKNOWN；证据强度：C。</t>
        </is>
      </c>
      <c r="AL346"/>
      <c r="AM346" t="inlineStr">
        <is>
          <t>HOLDOUT_60.xlsx</t>
        </is>
      </c>
    </row>
    <row r="347" ht="25.5" customHeight="1">
      <c r="A347" t="inlineStr">
        <is>
          <t>MJ-RAW-0223_HOLDOUT_formal-attempt-0001_AI</t>
        </is>
      </c>
      <c r="B347" t="inlineStr">
        <is>
          <t>别喝 都是假酒 第二天喝完头疼</t>
        </is>
      </c>
      <c r="C347"/>
      <c r="D347"/>
      <c r="E347"/>
      <c r="F347"/>
      <c r="G347"/>
      <c r="H347"/>
      <c r="I347"/>
      <c r="J347"/>
      <c r="K347"/>
      <c r="L347"/>
      <c r="M347"/>
      <c r="N347"/>
      <c r="O347"/>
      <c r="P347"/>
      <c r="Q347"/>
      <c r="R347"/>
      <c r="S347">
        <v>0.7</v>
      </c>
      <c r="T347" t="inlineStr">
        <is>
          <t>formal-attempt-0001</t>
        </is>
      </c>
      <c r="U347"/>
      <c r="V347"/>
      <c r="W347"/>
      <c r="X347" t="inlineStr">
        <is>
          <t>MJ-RAW-0223</t>
        </is>
      </c>
      <c r="Y347"/>
      <c r="Z347"/>
      <c r="AA347"/>
      <c r="AB347"/>
      <c r="AC347"/>
      <c r="AD347"/>
      <c r="AE347"/>
      <c r="AF347" t="inlineStr">
        <is>
          <t>AI</t>
        </is>
      </c>
      <c r="AG347" t="inlineStr">
        <is>
          <t>HOLDOUT</t>
        </is>
      </c>
      <c r="AH347" t="inlineStr">
        <is>
          <t>PRODUCT</t>
        </is>
      </c>
      <c r="AI347" t="inlineStr">
        <is>
          <t>UNKNOWN</t>
        </is>
      </c>
      <c r="AJ347" t="inlineStr">
        <is>
          <t>C</t>
        </is>
      </c>
      <c r="AK347" t="inlineStr">
        <is>
          <t>核心对象：产品；体验：UNKNOWN；证据强度：C。</t>
        </is>
      </c>
      <c r="AL347"/>
      <c r="AM347" t="inlineStr">
        <is>
          <t>HOLDOUT_60.xlsx</t>
        </is>
      </c>
    </row>
    <row r="348" ht="25.5" customHeight="1">
      <c r="A348" t="inlineStr">
        <is>
          <t>MJ-RAW-0224_HOLDOUT_formal-attempt-0001_AI</t>
        </is>
      </c>
      <c r="B348" t="inlineStr">
        <is>
          <t>不想喝酒，非常害怕会经历劝酒</t>
        </is>
      </c>
      <c r="C348"/>
      <c r="D348"/>
      <c r="E348"/>
      <c r="F348"/>
      <c r="G348"/>
      <c r="H348"/>
      <c r="I348"/>
      <c r="J348"/>
      <c r="K348"/>
      <c r="L348"/>
      <c r="M348"/>
      <c r="N348"/>
      <c r="O348"/>
      <c r="P348"/>
      <c r="Q348"/>
      <c r="R348"/>
      <c r="S348">
        <v>0.9</v>
      </c>
      <c r="T348" t="inlineStr">
        <is>
          <t>formal-attempt-0001</t>
        </is>
      </c>
      <c r="U348"/>
      <c r="V348"/>
      <c r="W348"/>
      <c r="X348" t="inlineStr">
        <is>
          <t>MJ-RAW-0224</t>
        </is>
      </c>
      <c r="Y348"/>
      <c r="Z348"/>
      <c r="AA348"/>
      <c r="AB348"/>
      <c r="AC348"/>
      <c r="AD348"/>
      <c r="AE348"/>
      <c r="AF348" t="inlineStr">
        <is>
          <t>AI</t>
        </is>
      </c>
      <c r="AG348" t="inlineStr">
        <is>
          <t>HOLDOUT</t>
        </is>
      </c>
      <c r="AH348" t="inlineStr">
        <is>
          <t>OTHER</t>
        </is>
      </c>
      <c r="AI348" t="inlineStr">
        <is>
          <t>NON_USE</t>
        </is>
      </c>
      <c r="AJ348" t="inlineStr">
        <is>
          <t>C</t>
        </is>
      </c>
      <c r="AK348" t="inlineStr">
        <is>
          <t>核心对象：其他相关讨论；体验：NON_USE；证据强度：C。</t>
        </is>
      </c>
      <c r="AL348"/>
      <c r="AM348" t="inlineStr">
        <is>
          <t>HOLDOUT_60.xlsx</t>
        </is>
      </c>
    </row>
    <row r="349" ht="25.5" customHeight="1">
      <c r="A349" t="inlineStr">
        <is>
          <t>MJ-RAW-0229_HOLDOUT_formal-attempt-0001_AI</t>
        </is>
      </c>
      <c r="B349" t="inlineStr">
        <is>
          <t>俺有个配方：梅子酒60ml……</t>
        </is>
      </c>
      <c r="C349"/>
      <c r="D349"/>
      <c r="E349"/>
      <c r="F349"/>
      <c r="G349"/>
      <c r="H349"/>
      <c r="I349"/>
      <c r="J349"/>
      <c r="K349"/>
      <c r="L349"/>
      <c r="M349"/>
      <c r="N349"/>
      <c r="O349"/>
      <c r="P349"/>
      <c r="Q349"/>
      <c r="R349"/>
      <c r="S349">
        <v>0.9</v>
      </c>
      <c r="T349" t="inlineStr">
        <is>
          <t>formal-attempt-0001</t>
        </is>
      </c>
      <c r="U349"/>
      <c r="V349"/>
      <c r="W349"/>
      <c r="X349" t="inlineStr">
        <is>
          <t>MJ-RAW-0229</t>
        </is>
      </c>
      <c r="Y349"/>
      <c r="Z349"/>
      <c r="AA349"/>
      <c r="AB349"/>
      <c r="AC349"/>
      <c r="AD349"/>
      <c r="AE349"/>
      <c r="AF349" t="inlineStr">
        <is>
          <t>AI</t>
        </is>
      </c>
      <c r="AG349" t="inlineStr">
        <is>
          <t>HOLDOUT</t>
        </is>
      </c>
      <c r="AH349" t="inlineStr">
        <is>
          <t>SCENE</t>
        </is>
      </c>
      <c r="AI349" t="inlineStr">
        <is>
          <t>UNKNOWN</t>
        </is>
      </c>
      <c r="AJ349" t="inlineStr">
        <is>
          <t>C</t>
        </is>
      </c>
      <c r="AK349" t="inlineStr">
        <is>
          <t>核心对象：饮用方式；体验：UNKNOWN；证据强度：C。</t>
        </is>
      </c>
      <c r="AL349"/>
      <c r="AM349" t="inlineStr">
        <is>
          <t>HOLDOUT_60.xlsx</t>
        </is>
      </c>
    </row>
    <row r="350" ht="25.5" customHeight="1">
      <c r="A350" t="inlineStr">
        <is>
          <t>MJ-RAW-0317_HOLDOUT_formal-attempt-0001_AI</t>
        </is>
      </c>
      <c r="B350" t="inlineStr">
        <is>
          <t>一瓶微微醺，两瓶微醺</t>
        </is>
      </c>
      <c r="C350"/>
      <c r="D350"/>
      <c r="E350"/>
      <c r="F350"/>
      <c r="G350"/>
      <c r="H350"/>
      <c r="I350"/>
      <c r="J350"/>
      <c r="K350"/>
      <c r="L350"/>
      <c r="M350"/>
      <c r="N350"/>
      <c r="O350"/>
      <c r="P350"/>
      <c r="Q350"/>
      <c r="R350"/>
      <c r="S350">
        <v>0.9</v>
      </c>
      <c r="T350" t="inlineStr">
        <is>
          <t>formal-attempt-0001</t>
        </is>
      </c>
      <c r="U350"/>
      <c r="V350"/>
      <c r="W350"/>
      <c r="X350" t="inlineStr">
        <is>
          <t>MJ-RAW-0317</t>
        </is>
      </c>
      <c r="Y350"/>
      <c r="Z350"/>
      <c r="AA350"/>
      <c r="AB350"/>
      <c r="AC350"/>
      <c r="AD350"/>
      <c r="AE350"/>
      <c r="AF350" t="inlineStr">
        <is>
          <t>AI</t>
        </is>
      </c>
      <c r="AG350" t="inlineStr">
        <is>
          <t>HOLDOUT</t>
        </is>
      </c>
      <c r="AH350" t="inlineStr">
        <is>
          <t>SCENE</t>
        </is>
      </c>
      <c r="AI350" t="inlineStr">
        <is>
          <t>UNKNOWN</t>
        </is>
      </c>
      <c r="AJ350" t="inlineStr">
        <is>
          <t>C</t>
        </is>
      </c>
      <c r="AK350" t="inlineStr">
        <is>
          <t>核心对象：饮酒状态；体验：UNKNOWN；证据强度：C。</t>
        </is>
      </c>
      <c r="AL350"/>
      <c r="AM350" t="inlineStr">
        <is>
          <t>HOLDOUT_60.xlsx</t>
        </is>
      </c>
    </row>
    <row r="351" ht="25.5" customHeight="1">
      <c r="A351" t="inlineStr">
        <is>
          <t>MJ-RAW-0318_HOLDOUT_formal-attempt-0001_AI</t>
        </is>
      </c>
      <c r="B351" t="inlineStr">
        <is>
          <t>不想喝酒，非常害怕会经历劝酒</t>
        </is>
      </c>
      <c r="C351"/>
      <c r="D351"/>
      <c r="E351"/>
      <c r="F351"/>
      <c r="G351"/>
      <c r="H351"/>
      <c r="I351"/>
      <c r="J351"/>
      <c r="K351"/>
      <c r="L351"/>
      <c r="M351"/>
      <c r="N351"/>
      <c r="O351"/>
      <c r="P351"/>
      <c r="Q351"/>
      <c r="R351"/>
      <c r="S351">
        <v>0.9</v>
      </c>
      <c r="T351" t="inlineStr">
        <is>
          <t>formal-attempt-0001</t>
        </is>
      </c>
      <c r="U351"/>
      <c r="V351"/>
      <c r="W351"/>
      <c r="X351" t="inlineStr">
        <is>
          <t>MJ-RAW-0318</t>
        </is>
      </c>
      <c r="Y351"/>
      <c r="Z351"/>
      <c r="AA351"/>
      <c r="AB351"/>
      <c r="AC351"/>
      <c r="AD351"/>
      <c r="AE351"/>
      <c r="AF351" t="inlineStr">
        <is>
          <t>AI</t>
        </is>
      </c>
      <c r="AG351" t="inlineStr">
        <is>
          <t>HOLDOUT</t>
        </is>
      </c>
      <c r="AH351" t="inlineStr">
        <is>
          <t>OTHER</t>
        </is>
      </c>
      <c r="AI351" t="inlineStr">
        <is>
          <t>UNKNOWN</t>
        </is>
      </c>
      <c r="AJ351" t="inlineStr">
        <is>
          <t>C</t>
        </is>
      </c>
      <c r="AK351" t="inlineStr">
        <is>
          <t>核心对象：尚未发生的劝酒场景；体验：UNKNOWN；证据强度：C。</t>
        </is>
      </c>
      <c r="AL351"/>
      <c r="AM351" t="inlineStr">
        <is>
          <t>HOLDOUT_60.xlsx</t>
        </is>
      </c>
    </row>
    <row r="352" ht="25.5" customHeight="1">
      <c r="A352" t="inlineStr">
        <is>
          <t>MJ-RAW-0323_HOLDOUT_formal-attempt-0001_AI</t>
        </is>
      </c>
      <c r="B352" t="inlineStr">
        <is>
          <t>梅子酒60ml，乌龙茶20ml……</t>
        </is>
      </c>
      <c r="C352"/>
      <c r="D352"/>
      <c r="E352"/>
      <c r="F352"/>
      <c r="G352"/>
      <c r="H352"/>
      <c r="I352"/>
      <c r="J352"/>
      <c r="K352"/>
      <c r="L352"/>
      <c r="M352"/>
      <c r="N352"/>
      <c r="O352"/>
      <c r="P352"/>
      <c r="Q352"/>
      <c r="R352"/>
      <c r="S352">
        <v>0.9</v>
      </c>
      <c r="T352" t="inlineStr">
        <is>
          <t>formal-attempt-0001</t>
        </is>
      </c>
      <c r="U352"/>
      <c r="V352"/>
      <c r="W352"/>
      <c r="X352" t="inlineStr">
        <is>
          <t>MJ-RAW-0323</t>
        </is>
      </c>
      <c r="Y352"/>
      <c r="Z352"/>
      <c r="AA352"/>
      <c r="AB352"/>
      <c r="AC352"/>
      <c r="AD352"/>
      <c r="AE352"/>
      <c r="AF352" t="inlineStr">
        <is>
          <t>AI</t>
        </is>
      </c>
      <c r="AG352" t="inlineStr">
        <is>
          <t>HOLDOUT</t>
        </is>
      </c>
      <c r="AH352" t="inlineStr">
        <is>
          <t>SCENE</t>
        </is>
      </c>
      <c r="AI352" t="inlineStr">
        <is>
          <t>UNKNOWN</t>
        </is>
      </c>
      <c r="AJ352" t="inlineStr">
        <is>
          <t>C</t>
        </is>
      </c>
      <c r="AK352" t="inlineStr">
        <is>
          <t>核心对象：饮用方式；体验：UNKNOWN；证据强度：C。</t>
        </is>
      </c>
      <c r="AL352"/>
      <c r="AM352" t="inlineStr">
        <is>
          <t>HOLDOUT_60.xlsx</t>
        </is>
      </c>
    </row>
    <row r="353" ht="25.5" customHeight="1">
      <c r="A353" t="inlineStr">
        <is>
          <t>TB-20260809-002_HOLDOUT_formal-attempt-0001_AI</t>
        </is>
      </c>
      <c r="B353" t="inlineStr">
        <is>
          <t>梅酒一直都喝这个牌子的 很喜欢这个装酒的瓶子 之前喝完的一直拿来当水杯用了好多年了 这次买个小瓶装的 酒的话建议冰镇一下口感更佳</t>
        </is>
      </c>
      <c r="C353"/>
      <c r="D353"/>
      <c r="E353"/>
      <c r="F353"/>
      <c r="G353"/>
      <c r="H353"/>
      <c r="I353"/>
      <c r="J353"/>
      <c r="K353"/>
      <c r="L353"/>
      <c r="M353"/>
      <c r="N353"/>
      <c r="O353"/>
      <c r="P353"/>
      <c r="Q353"/>
      <c r="R353"/>
      <c r="S353">
        <v>0.9</v>
      </c>
      <c r="T353" t="inlineStr">
        <is>
          <t>formal-attempt-0001</t>
        </is>
      </c>
      <c r="U353"/>
      <c r="V353"/>
      <c r="W353"/>
      <c r="X353" t="inlineStr">
        <is>
          <t>TB-20260809-002</t>
        </is>
      </c>
      <c r="Y353"/>
      <c r="Z353"/>
      <c r="AA353"/>
      <c r="AB353"/>
      <c r="AC353"/>
      <c r="AD353"/>
      <c r="AE353"/>
      <c r="AF353" t="inlineStr">
        <is>
          <t>AI</t>
        </is>
      </c>
      <c r="AG353" t="inlineStr">
        <is>
          <t>HOLDOUT</t>
        </is>
      </c>
      <c r="AH353" t="inlineStr">
        <is>
          <t>PRODUCT</t>
        </is>
      </c>
      <c r="AI353" t="inlineStr">
        <is>
          <t>ACTUAL_USE</t>
        </is>
      </c>
      <c r="AJ353" t="inlineStr">
        <is>
          <t>A</t>
        </is>
      </c>
      <c r="AK353" t="inlineStr">
        <is>
          <t>核心对象：产品体验；体验：ACTUAL_USE；证据强度：A。</t>
        </is>
      </c>
      <c r="AL353"/>
      <c r="AM353" t="inlineStr">
        <is>
          <t>HOLDOUT_60.xlsx</t>
        </is>
      </c>
    </row>
    <row r="354" ht="25.5" customHeight="1">
      <c r="A354" t="inlineStr">
        <is>
          <t>TB-20260809-012_HOLDOUT_formal-attempt-0001_AI</t>
        </is>
      </c>
      <c r="B354" t="inlineStr">
        <is>
          <t>这家的鸡尾酒真的超出预期！颜值精致，鲜果装饰氛围感拉满。入口满是新鲜果香，酸甜比例恰到好处，酒味柔和不冲喉，薄荷与青柠的清爽在舌尖散开，层次细腻顺滑。调酒师把控得很好，没有齁甜的工业糖浆味，冰量刚好，慢慢抿一口舒缓又治愈。和朋友小酌超合适，微醺感刚刚好，已经列入无限回购清单！</t>
        </is>
      </c>
      <c r="C354"/>
      <c r="D354"/>
      <c r="E354"/>
      <c r="F354"/>
      <c r="G354"/>
      <c r="H354"/>
      <c r="I354"/>
      <c r="J354"/>
      <c r="K354"/>
      <c r="L354"/>
      <c r="M354"/>
      <c r="N354"/>
      <c r="O354"/>
      <c r="P354"/>
      <c r="Q354"/>
      <c r="R354"/>
      <c r="S354">
        <v>0.9</v>
      </c>
      <c r="T354" t="inlineStr">
        <is>
          <t>formal-attempt-0001</t>
        </is>
      </c>
      <c r="U354"/>
      <c r="V354"/>
      <c r="W354"/>
      <c r="X354" t="inlineStr">
        <is>
          <t>TB-20260809-012</t>
        </is>
      </c>
      <c r="Y354"/>
      <c r="Z354"/>
      <c r="AA354"/>
      <c r="AB354"/>
      <c r="AC354"/>
      <c r="AD354"/>
      <c r="AE354"/>
      <c r="AF354" t="inlineStr">
        <is>
          <t>AI</t>
        </is>
      </c>
      <c r="AG354" t="inlineStr">
        <is>
          <t>HOLDOUT</t>
        </is>
      </c>
      <c r="AH354" t="inlineStr">
        <is>
          <t>PRODUCT</t>
        </is>
      </c>
      <c r="AI354" t="inlineStr">
        <is>
          <t>ACTUAL_USE</t>
        </is>
      </c>
      <c r="AJ354" t="inlineStr">
        <is>
          <t>A</t>
        </is>
      </c>
      <c r="AK354" t="inlineStr">
        <is>
          <t>核心对象：产品体验；体验：ACTUAL_USE；证据强度：A。</t>
        </is>
      </c>
      <c r="AL354"/>
      <c r="AM354" t="inlineStr">
        <is>
          <t>HOLDOUT_60.xlsx</t>
        </is>
      </c>
    </row>
    <row r="355" ht="25.5" customHeight="1">
      <c r="A355" t="inlineStr">
        <is>
          <t>TB-20260809-019_HOLDOUT_formal-attempt-0001_AI</t>
        </is>
      </c>
      <c r="B355" t="inlineStr">
        <is>
          <t>两个口味都是我喜欢的水果味道，喜欢喝，味道好，姐妹一起微醺正好。</t>
        </is>
      </c>
      <c r="C355"/>
      <c r="D355"/>
      <c r="E355"/>
      <c r="F355"/>
      <c r="G355"/>
      <c r="H355"/>
      <c r="I355"/>
      <c r="J355"/>
      <c r="K355"/>
      <c r="L355"/>
      <c r="M355"/>
      <c r="N355"/>
      <c r="O355"/>
      <c r="P355"/>
      <c r="Q355"/>
      <c r="R355"/>
      <c r="S355">
        <v>0.7</v>
      </c>
      <c r="T355" t="inlineStr">
        <is>
          <t>formal-attempt-0001</t>
        </is>
      </c>
      <c r="U355"/>
      <c r="V355"/>
      <c r="W355"/>
      <c r="X355" t="inlineStr">
        <is>
          <t>TB-20260809-019</t>
        </is>
      </c>
      <c r="Y355"/>
      <c r="Z355"/>
      <c r="AA355"/>
      <c r="AB355"/>
      <c r="AC355"/>
      <c r="AD355"/>
      <c r="AE355"/>
      <c r="AF355" t="inlineStr">
        <is>
          <t>AI</t>
        </is>
      </c>
      <c r="AG355" t="inlineStr">
        <is>
          <t>HOLDOUT</t>
        </is>
      </c>
      <c r="AH355" t="inlineStr">
        <is>
          <t>PRODUCT</t>
        </is>
      </c>
      <c r="AI355" t="inlineStr">
        <is>
          <t>ACTUAL_USE</t>
        </is>
      </c>
      <c r="AJ355" t="inlineStr">
        <is>
          <t>A</t>
        </is>
      </c>
      <c r="AK355" t="inlineStr">
        <is>
          <t>核心对象：产品体验；体验：ACTUAL_USE；证据强度：A。</t>
        </is>
      </c>
      <c r="AL355"/>
      <c r="AM355" t="inlineStr">
        <is>
          <t>HOLDOUT_60.xlsx</t>
        </is>
      </c>
    </row>
    <row r="356" ht="25.5" customHeight="1">
      <c r="A356" t="inlineStr">
        <is>
          <t>TB-20260809-021_HOLDOUT_formal-attempt-0001_AI</t>
        </is>
      </c>
      <c r="B356" t="inlineStr">
        <is>
          <t>酒液质量：日期很新喜欢 整体评价：口味多样化，可以品尝多种味道</t>
        </is>
      </c>
      <c r="C356"/>
      <c r="D356"/>
      <c r="E356"/>
      <c r="F356"/>
      <c r="G356"/>
      <c r="H356"/>
      <c r="I356"/>
      <c r="J356"/>
      <c r="K356"/>
      <c r="L356"/>
      <c r="M356"/>
      <c r="N356"/>
      <c r="O356"/>
      <c r="P356"/>
      <c r="Q356"/>
      <c r="R356"/>
      <c r="S356">
        <v>0.9</v>
      </c>
      <c r="T356" t="inlineStr">
        <is>
          <t>formal-attempt-0001</t>
        </is>
      </c>
      <c r="U356"/>
      <c r="V356"/>
      <c r="W356"/>
      <c r="X356" t="inlineStr">
        <is>
          <t>TB-20260809-021</t>
        </is>
      </c>
      <c r="Y356"/>
      <c r="Z356"/>
      <c r="AA356"/>
      <c r="AB356"/>
      <c r="AC356"/>
      <c r="AD356"/>
      <c r="AE356"/>
      <c r="AF356" t="inlineStr">
        <is>
          <t>AI</t>
        </is>
      </c>
      <c r="AG356" t="inlineStr">
        <is>
          <t>HOLDOUT</t>
        </is>
      </c>
      <c r="AH356" t="inlineStr">
        <is>
          <t>PRODUCT</t>
        </is>
      </c>
      <c r="AI356" t="inlineStr">
        <is>
          <t>ACTUAL_USE</t>
        </is>
      </c>
      <c r="AJ356" t="inlineStr">
        <is>
          <t>A</t>
        </is>
      </c>
      <c r="AK356" t="inlineStr">
        <is>
          <t>核心对象：产品体验；体验：ACTUAL_USE；证据强度：A。</t>
        </is>
      </c>
      <c r="AL356"/>
      <c r="AM356" t="inlineStr">
        <is>
          <t>HOLDOUT_60.xlsx</t>
        </is>
      </c>
    </row>
    <row r="357" ht="25.5" customHeight="1">
      <c r="A357" t="inlineStr">
        <is>
          <t>TB-20260809-036_HOLDOUT_formal-attempt-0001_AI</t>
        </is>
      </c>
      <c r="B357" t="inlineStr">
        <is>
          <t>果酒颜色正，喝起来顺口，喝着酸溜溜。</t>
        </is>
      </c>
      <c r="C357"/>
      <c r="D357"/>
      <c r="E357"/>
      <c r="F357"/>
      <c r="G357"/>
      <c r="H357"/>
      <c r="I357"/>
      <c r="J357"/>
      <c r="K357"/>
      <c r="L357"/>
      <c r="M357"/>
      <c r="N357"/>
      <c r="O357"/>
      <c r="P357"/>
      <c r="Q357"/>
      <c r="R357"/>
      <c r="S357">
        <v>0.9</v>
      </c>
      <c r="T357" t="inlineStr">
        <is>
          <t>formal-attempt-0001</t>
        </is>
      </c>
      <c r="U357"/>
      <c r="V357"/>
      <c r="W357"/>
      <c r="X357" t="inlineStr">
        <is>
          <t>TB-20260809-036</t>
        </is>
      </c>
      <c r="Y357"/>
      <c r="Z357"/>
      <c r="AA357"/>
      <c r="AB357"/>
      <c r="AC357"/>
      <c r="AD357"/>
      <c r="AE357"/>
      <c r="AF357" t="inlineStr">
        <is>
          <t>AI</t>
        </is>
      </c>
      <c r="AG357" t="inlineStr">
        <is>
          <t>HOLDOUT</t>
        </is>
      </c>
      <c r="AH357" t="inlineStr">
        <is>
          <t>PRODUCT</t>
        </is>
      </c>
      <c r="AI357" t="inlineStr">
        <is>
          <t>ACTUAL_USE</t>
        </is>
      </c>
      <c r="AJ357" t="inlineStr">
        <is>
          <t>A</t>
        </is>
      </c>
      <c r="AK357" t="inlineStr">
        <is>
          <t>核心对象：产品体验；体验：ACTUAL_USE；证据强度：A。</t>
        </is>
      </c>
      <c r="AL357"/>
      <c r="AM357" t="inlineStr">
        <is>
          <t>HOLDOUT_60.xlsx</t>
        </is>
      </c>
    </row>
    <row r="358" ht="25.5" customHeight="1">
      <c r="A358" t="inlineStr">
        <is>
          <t>TB-20260809-040_HOLDOUT_formal-attempt-0001_AI</t>
        </is>
      </c>
      <c r="B358" t="inlineStr">
        <is>
          <t>多次回购好喝，但是必须冷藏才好喝。</t>
        </is>
      </c>
      <c r="C358"/>
      <c r="D358"/>
      <c r="E358"/>
      <c r="F358"/>
      <c r="G358"/>
      <c r="H358"/>
      <c r="I358"/>
      <c r="J358"/>
      <c r="K358"/>
      <c r="L358"/>
      <c r="M358"/>
      <c r="N358"/>
      <c r="O358"/>
      <c r="P358"/>
      <c r="Q358"/>
      <c r="R358"/>
      <c r="S358">
        <v>0.9</v>
      </c>
      <c r="T358" t="inlineStr">
        <is>
          <t>formal-attempt-0001</t>
        </is>
      </c>
      <c r="U358"/>
      <c r="V358"/>
      <c r="W358"/>
      <c r="X358" t="inlineStr">
        <is>
          <t>TB-20260809-040</t>
        </is>
      </c>
      <c r="Y358"/>
      <c r="Z358"/>
      <c r="AA358"/>
      <c r="AB358"/>
      <c r="AC358"/>
      <c r="AD358"/>
      <c r="AE358"/>
      <c r="AF358" t="inlineStr">
        <is>
          <t>AI</t>
        </is>
      </c>
      <c r="AG358" t="inlineStr">
        <is>
          <t>HOLDOUT</t>
        </is>
      </c>
      <c r="AH358" t="inlineStr">
        <is>
          <t>PRODUCT</t>
        </is>
      </c>
      <c r="AI358" t="inlineStr">
        <is>
          <t>ACTUAL_USE</t>
        </is>
      </c>
      <c r="AJ358" t="inlineStr">
        <is>
          <t>A</t>
        </is>
      </c>
      <c r="AK358" t="inlineStr">
        <is>
          <t>核心对象：产品体验；体验：ACTUAL_USE；证据强度：A。</t>
        </is>
      </c>
      <c r="AL358"/>
      <c r="AM358" t="inlineStr">
        <is>
          <t>HOLDOUT_60.xlsx</t>
        </is>
      </c>
    </row>
    <row r="359" ht="25.5" customHeight="1">
      <c r="A359" t="inlineStr">
        <is>
          <t>XHS-SOC-0005_HOLDOUT_formal-attempt-0001_AI</t>
        </is>
      </c>
      <c r="B359" t="inlineStr">
        <is>
          <t>只有过一次 感觉头重重的 脚下晃晃的 世界是光怪陆离的 好快乐 嘴角会不由自主上翘</t>
        </is>
      </c>
      <c r="C359"/>
      <c r="D359"/>
      <c r="E359"/>
      <c r="F359"/>
      <c r="G359"/>
      <c r="H359"/>
      <c r="I359"/>
      <c r="J359"/>
      <c r="K359"/>
      <c r="L359"/>
      <c r="M359"/>
      <c r="N359"/>
      <c r="O359"/>
      <c r="P359"/>
      <c r="Q359"/>
      <c r="R359"/>
      <c r="S359">
        <v>0.7</v>
      </c>
      <c r="T359" t="inlineStr">
        <is>
          <t>formal-attempt-0001</t>
        </is>
      </c>
      <c r="U359"/>
      <c r="V359"/>
      <c r="W359"/>
      <c r="X359" t="inlineStr">
        <is>
          <t>XHS-SOC-0005</t>
        </is>
      </c>
      <c r="Y359"/>
      <c r="Z359"/>
      <c r="AA359"/>
      <c r="AB359"/>
      <c r="AC359"/>
      <c r="AD359"/>
      <c r="AE359"/>
      <c r="AF359" t="inlineStr">
        <is>
          <t>AI</t>
        </is>
      </c>
      <c r="AG359" t="inlineStr">
        <is>
          <t>HOLDOUT</t>
        </is>
      </c>
      <c r="AH359" t="inlineStr">
        <is>
          <t>SCENE</t>
        </is>
      </c>
      <c r="AI359" t="inlineStr">
        <is>
          <t>ACTUAL_USE</t>
        </is>
      </c>
      <c r="AJ359" t="inlineStr">
        <is>
          <t>B</t>
        </is>
      </c>
      <c r="AK359" t="inlineStr">
        <is>
          <t>核心对象：醉酒状态；体验：ACTUAL_USE；证据强度：B。</t>
        </is>
      </c>
      <c r="AL359"/>
      <c r="AM359" t="inlineStr">
        <is>
          <t>HOLDOUT_60.xlsx</t>
        </is>
      </c>
    </row>
    <row r="360" ht="25.5" customHeight="1">
      <c r="A360" t="inlineStr">
        <is>
          <t>XHS-SOC-0018_HOLDOUT_formal-attempt-0001_AI</t>
        </is>
      </c>
      <c r="B360" t="inlineStr">
        <is>
          <t>主要是讨厌毫无意义地伪装自己讨好别人，讨厌非常刻意地人情世故</t>
        </is>
      </c>
      <c r="C360"/>
      <c r="D360"/>
      <c r="E360"/>
      <c r="F360"/>
      <c r="G360"/>
      <c r="H360"/>
      <c r="I360"/>
      <c r="J360"/>
      <c r="K360"/>
      <c r="L360"/>
      <c r="M360"/>
      <c r="N360"/>
      <c r="O360"/>
      <c r="P360"/>
      <c r="Q360"/>
      <c r="R360"/>
      <c r="S360">
        <v>0.9</v>
      </c>
      <c r="T360" t="inlineStr">
        <is>
          <t>formal-attempt-0001</t>
        </is>
      </c>
      <c r="U360"/>
      <c r="V360"/>
      <c r="W360"/>
      <c r="X360" t="inlineStr">
        <is>
          <t>XHS-SOC-0018</t>
        </is>
      </c>
      <c r="Y360"/>
      <c r="Z360"/>
      <c r="AA360"/>
      <c r="AB360"/>
      <c r="AC360"/>
      <c r="AD360"/>
      <c r="AE360"/>
      <c r="AF360" t="inlineStr">
        <is>
          <t>AI</t>
        </is>
      </c>
      <c r="AG360" t="inlineStr">
        <is>
          <t>HOLDOUT</t>
        </is>
      </c>
      <c r="AH360" t="inlineStr">
        <is>
          <t>OTHER</t>
        </is>
      </c>
      <c r="AI360" t="inlineStr">
        <is>
          <t>UNKNOWN</t>
        </is>
      </c>
      <c r="AJ360" t="inlineStr">
        <is>
          <t>C</t>
        </is>
      </c>
      <c r="AK360" t="inlineStr">
        <is>
          <t>核心对象：泛化社会规范；体验：UNKNOWN；证据强度：C。</t>
        </is>
      </c>
      <c r="AL360"/>
      <c r="AM360" t="inlineStr">
        <is>
          <t>HOLDOUT_60.xlsx</t>
        </is>
      </c>
    </row>
    <row r="361" ht="25.5" customHeight="1">
      <c r="A361" t="inlineStr">
        <is>
          <t>XHS-SOC-0033_HOLDOUT_formal-attempt-0001_AI</t>
        </is>
      </c>
      <c r="B361" t="inlineStr">
        <is>
          <t>现在喝酒后第二天一整天都很不舒服</t>
        </is>
      </c>
      <c r="C361"/>
      <c r="D361"/>
      <c r="E361"/>
      <c r="F361"/>
      <c r="G361"/>
      <c r="H361"/>
      <c r="I361"/>
      <c r="J361"/>
      <c r="K361"/>
      <c r="L361"/>
      <c r="M361"/>
      <c r="N361"/>
      <c r="O361"/>
      <c r="P361"/>
      <c r="Q361"/>
      <c r="R361"/>
      <c r="S361">
        <v>0.9</v>
      </c>
      <c r="T361" t="inlineStr">
        <is>
          <t>formal-attempt-0001</t>
        </is>
      </c>
      <c r="U361"/>
      <c r="V361"/>
      <c r="W361"/>
      <c r="X361" t="inlineStr">
        <is>
          <t>XHS-SOC-0033</t>
        </is>
      </c>
      <c r="Y361"/>
      <c r="Z361"/>
      <c r="AA361"/>
      <c r="AB361"/>
      <c r="AC361"/>
      <c r="AD361"/>
      <c r="AE361"/>
      <c r="AF361" t="inlineStr">
        <is>
          <t>AI</t>
        </is>
      </c>
      <c r="AG361" t="inlineStr">
        <is>
          <t>HOLDOUT</t>
        </is>
      </c>
      <c r="AH361" t="inlineStr">
        <is>
          <t>SCENE</t>
        </is>
      </c>
      <c r="AI361" t="inlineStr">
        <is>
          <t>ACTUAL_USE</t>
        </is>
      </c>
      <c r="AJ361" t="inlineStr">
        <is>
          <t>A</t>
        </is>
      </c>
      <c r="AK361" t="inlineStr">
        <is>
          <t>核心对象：饮后身体反应；体验：ACTUAL_USE；证据强度：A。</t>
        </is>
      </c>
      <c r="AL361"/>
      <c r="AM361" t="inlineStr">
        <is>
          <t>HOLDOUT_60.xlsx</t>
        </is>
      </c>
    </row>
    <row r="362" ht="25.5" customHeight="1">
      <c r="A362" t="inlineStr">
        <is>
          <t>XHS-SOC-0035_HOLDOUT_formal-attempt-0001_AI</t>
        </is>
      </c>
      <c r="B362" t="inlineStr">
        <is>
          <t>高度酒精可以杀细菌好的坏的都杀 酒精的好处还有就是促进血液循环</t>
        </is>
      </c>
      <c r="C362"/>
      <c r="D362"/>
      <c r="E362"/>
      <c r="F362"/>
      <c r="G362"/>
      <c r="H362"/>
      <c r="I362"/>
      <c r="J362"/>
      <c r="K362"/>
      <c r="L362"/>
      <c r="M362"/>
      <c r="N362"/>
      <c r="O362"/>
      <c r="P362"/>
      <c r="Q362"/>
      <c r="R362"/>
      <c r="S362">
        <v>0.9</v>
      </c>
      <c r="T362" t="inlineStr">
        <is>
          <t>formal-attempt-0001</t>
        </is>
      </c>
      <c r="U362"/>
      <c r="V362"/>
      <c r="W362"/>
      <c r="X362" t="inlineStr">
        <is>
          <t>XHS-SOC-0035</t>
        </is>
      </c>
      <c r="Y362"/>
      <c r="Z362"/>
      <c r="AA362"/>
      <c r="AB362"/>
      <c r="AC362"/>
      <c r="AD362"/>
      <c r="AE362"/>
      <c r="AF362" t="inlineStr">
        <is>
          <t>AI</t>
        </is>
      </c>
      <c r="AG362" t="inlineStr">
        <is>
          <t>HOLDOUT</t>
        </is>
      </c>
      <c r="AH362" t="inlineStr">
        <is>
          <t>OTHER</t>
        </is>
      </c>
      <c r="AI362" t="inlineStr">
        <is>
          <t>UNKNOWN</t>
        </is>
      </c>
      <c r="AJ362" t="inlineStr">
        <is>
          <t>B</t>
        </is>
      </c>
      <c r="AK362" t="inlineStr">
        <is>
          <t>核心对象：通用酒精健康科普；体验：UNKNOWN；证据强度：B。</t>
        </is>
      </c>
      <c r="AL362"/>
      <c r="AM362" t="inlineStr">
        <is>
          <t>HOLDOUT_60.xlsx</t>
        </is>
      </c>
    </row>
    <row r="363" ht="25.5" customHeight="1">
      <c r="A363" t="inlineStr">
        <is>
          <t>XHS-SOC-0047_HOLDOUT_formal-attempt-0001_AI</t>
        </is>
      </c>
      <c r="B363" t="inlineStr">
        <is>
          <t>国产的可以试试昆竹，贵点的日本就俏雅，白鹤 三得利 梅乃宿</t>
        </is>
      </c>
      <c r="C363"/>
      <c r="D363"/>
      <c r="E363"/>
      <c r="F363"/>
      <c r="G363"/>
      <c r="H363"/>
      <c r="I363"/>
      <c r="J363"/>
      <c r="K363"/>
      <c r="L363"/>
      <c r="M363"/>
      <c r="N363"/>
      <c r="O363"/>
      <c r="P363"/>
      <c r="Q363"/>
      <c r="R363"/>
      <c r="S363">
        <v>0.9</v>
      </c>
      <c r="T363" t="inlineStr">
        <is>
          <t>formal-attempt-0001</t>
        </is>
      </c>
      <c r="U363"/>
      <c r="V363"/>
      <c r="W363"/>
      <c r="X363" t="inlineStr">
        <is>
          <t>XHS-SOC-0047</t>
        </is>
      </c>
      <c r="Y363"/>
      <c r="Z363"/>
      <c r="AA363"/>
      <c r="AB363"/>
      <c r="AC363"/>
      <c r="AD363"/>
      <c r="AE363"/>
      <c r="AF363" t="inlineStr">
        <is>
          <t>AI</t>
        </is>
      </c>
      <c r="AG363" t="inlineStr">
        <is>
          <t>HOLDOUT</t>
        </is>
      </c>
      <c r="AH363" t="inlineStr">
        <is>
          <t>COMPETITOR</t>
        </is>
      </c>
      <c r="AI363" t="inlineStr">
        <is>
          <t>UNKNOWN</t>
        </is>
      </c>
      <c r="AJ363" t="inlineStr">
        <is>
          <t>C</t>
        </is>
      </c>
      <c r="AK363" t="inlineStr">
        <is>
          <t>核心对象：替代选择；体验：UNKNOWN；证据强度：C。</t>
        </is>
      </c>
      <c r="AL363"/>
      <c r="AM363" t="inlineStr">
        <is>
          <t>HOLDOUT_60.xlsx</t>
        </is>
      </c>
    </row>
    <row r="364" ht="25.5" customHeight="1">
      <c r="A364" t="inlineStr">
        <is>
          <t>XHS-SOC-0177_HOLDOUT_formal-attempt-0001_AI</t>
        </is>
      </c>
      <c r="B364" t="inlineStr">
        <is>
          <t>我自从发现喝了酒之后第二天会加重抑郁就再也没有想喝的欲望了</t>
        </is>
      </c>
      <c r="C364"/>
      <c r="D364"/>
      <c r="E364"/>
      <c r="F364"/>
      <c r="G364"/>
      <c r="H364"/>
      <c r="I364"/>
      <c r="J364"/>
      <c r="K364"/>
      <c r="L364"/>
      <c r="M364"/>
      <c r="N364"/>
      <c r="O364"/>
      <c r="P364"/>
      <c r="Q364"/>
      <c r="R364"/>
      <c r="S364">
        <v>0.9</v>
      </c>
      <c r="T364" t="inlineStr">
        <is>
          <t>formal-attempt-0001</t>
        </is>
      </c>
      <c r="U364"/>
      <c r="V364"/>
      <c r="W364"/>
      <c r="X364" t="inlineStr">
        <is>
          <t>XHS-SOC-0177</t>
        </is>
      </c>
      <c r="Y364"/>
      <c r="Z364"/>
      <c r="AA364"/>
      <c r="AB364"/>
      <c r="AC364"/>
      <c r="AD364"/>
      <c r="AE364"/>
      <c r="AF364" t="inlineStr">
        <is>
          <t>AI</t>
        </is>
      </c>
      <c r="AG364" t="inlineStr">
        <is>
          <t>HOLDOUT</t>
        </is>
      </c>
      <c r="AH364" t="inlineStr">
        <is>
          <t>SCENE</t>
        </is>
      </c>
      <c r="AI364" t="inlineStr">
        <is>
          <t>ACTUAL_USE</t>
        </is>
      </c>
      <c r="AJ364" t="inlineStr">
        <is>
          <t>A</t>
        </is>
      </c>
      <c r="AK364" t="inlineStr">
        <is>
          <t>核心对象：饮后情绪状态；体验：ACTUAL_USE；证据强度：A。</t>
        </is>
      </c>
      <c r="AL364"/>
      <c r="AM364" t="inlineStr">
        <is>
          <t>HOLDOUT_60.xlsx</t>
        </is>
      </c>
    </row>
    <row r="365" ht="25.5" customHeight="1">
      <c r="A365" t="inlineStr">
        <is>
          <t>XHS-SOC-0192_HOLDOUT_formal-attempt-0001_AI</t>
        </is>
      </c>
      <c r="B365" t="inlineStr">
        <is>
          <t>认同一半，昆竹确实可以，但高粱酒的也有好喝的</t>
        </is>
      </c>
      <c r="C365"/>
      <c r="D365"/>
      <c r="E365"/>
      <c r="F365"/>
      <c r="G365"/>
      <c r="H365"/>
      <c r="I365"/>
      <c r="J365"/>
      <c r="K365"/>
      <c r="L365"/>
      <c r="M365"/>
      <c r="N365"/>
      <c r="O365"/>
      <c r="P365"/>
      <c r="Q365"/>
      <c r="R365"/>
      <c r="S365">
        <v>0.9</v>
      </c>
      <c r="T365" t="inlineStr">
        <is>
          <t>formal-attempt-0001</t>
        </is>
      </c>
      <c r="U365"/>
      <c r="V365"/>
      <c r="W365"/>
      <c r="X365" t="inlineStr">
        <is>
          <t>XHS-SOC-0192</t>
        </is>
      </c>
      <c r="Y365"/>
      <c r="Z365"/>
      <c r="AA365"/>
      <c r="AB365"/>
      <c r="AC365"/>
      <c r="AD365"/>
      <c r="AE365"/>
      <c r="AF365" t="inlineStr">
        <is>
          <t>AI</t>
        </is>
      </c>
      <c r="AG365" t="inlineStr">
        <is>
          <t>HOLDOUT</t>
        </is>
      </c>
      <c r="AH365" t="inlineStr">
        <is>
          <t>COMPETITOR</t>
        </is>
      </c>
      <c r="AI365" t="inlineStr">
        <is>
          <t>ACTUAL_USE</t>
        </is>
      </c>
      <c r="AJ365" t="inlineStr">
        <is>
          <t>B</t>
        </is>
      </c>
      <c r="AK365" t="inlineStr">
        <is>
          <t>核心对象：竞品比较；体验：ACTUAL_USE；证据强度：B。</t>
        </is>
      </c>
      <c r="AL365"/>
      <c r="AM365" t="inlineStr">
        <is>
          <t>HOLDOUT_60.xlsx</t>
        </is>
      </c>
    </row>
    <row r="366" ht="25.5" customHeight="1">
      <c r="A366" t="inlineStr">
        <is>
          <t>XHS-SOC-0207_HOLDOUT_formal-attempt-0001_AI</t>
        </is>
      </c>
      <c r="B366" t="inlineStr">
        <is>
          <t>我一般都是冰一下当饮料</t>
        </is>
      </c>
      <c r="C366"/>
      <c r="D366"/>
      <c r="E366"/>
      <c r="F366"/>
      <c r="G366"/>
      <c r="H366"/>
      <c r="I366"/>
      <c r="J366"/>
      <c r="K366"/>
      <c r="L366"/>
      <c r="M366"/>
      <c r="N366"/>
      <c r="O366"/>
      <c r="P366"/>
      <c r="Q366"/>
      <c r="R366"/>
      <c r="S366">
        <v>0.9</v>
      </c>
      <c r="T366" t="inlineStr">
        <is>
          <t>formal-attempt-0001</t>
        </is>
      </c>
      <c r="U366"/>
      <c r="V366"/>
      <c r="W366"/>
      <c r="X366" t="inlineStr">
        <is>
          <t>XHS-SOC-0207</t>
        </is>
      </c>
      <c r="Y366"/>
      <c r="Z366"/>
      <c r="AA366"/>
      <c r="AB366"/>
      <c r="AC366"/>
      <c r="AD366"/>
      <c r="AE366"/>
      <c r="AF366" t="inlineStr">
        <is>
          <t>AI</t>
        </is>
      </c>
      <c r="AG366" t="inlineStr">
        <is>
          <t>HOLDOUT</t>
        </is>
      </c>
      <c r="AH366" t="inlineStr">
        <is>
          <t>SCENE</t>
        </is>
      </c>
      <c r="AI366" t="inlineStr">
        <is>
          <t>ACTUAL_USE</t>
        </is>
      </c>
      <c r="AJ366" t="inlineStr">
        <is>
          <t>C</t>
        </is>
      </c>
      <c r="AK366" t="inlineStr">
        <is>
          <t>核心对象：饮用方式；体验：ACTUAL_USE；证据强度：C。</t>
        </is>
      </c>
      <c r="AL366"/>
      <c r="AM366" t="inlineStr">
        <is>
          <t>HOLDOUT_60.xlsx</t>
        </is>
      </c>
    </row>
    <row r="367" ht="25.5" customHeight="1">
      <c r="A367" t="inlineStr">
        <is>
          <t>XHS-SOC-0223_HOLDOUT_formal-attempt-0001_AI</t>
        </is>
      </c>
      <c r="B367" t="inlineStr">
        <is>
          <t>白桃味是真的难喝</t>
        </is>
      </c>
      <c r="C367"/>
      <c r="D367"/>
      <c r="E367"/>
      <c r="F367"/>
      <c r="G367"/>
      <c r="H367"/>
      <c r="I367"/>
      <c r="J367"/>
      <c r="K367"/>
      <c r="L367"/>
      <c r="M367"/>
      <c r="N367"/>
      <c r="O367"/>
      <c r="P367"/>
      <c r="Q367"/>
      <c r="R367"/>
      <c r="S367">
        <v>0.9</v>
      </c>
      <c r="T367" t="inlineStr">
        <is>
          <t>formal-attempt-0001</t>
        </is>
      </c>
      <c r="U367"/>
      <c r="V367"/>
      <c r="W367"/>
      <c r="X367" t="inlineStr">
        <is>
          <t>XHS-SOC-0223</t>
        </is>
      </c>
      <c r="Y367"/>
      <c r="Z367"/>
      <c r="AA367"/>
      <c r="AB367"/>
      <c r="AC367"/>
      <c r="AD367"/>
      <c r="AE367"/>
      <c r="AF367" t="inlineStr">
        <is>
          <t>AI</t>
        </is>
      </c>
      <c r="AG367" t="inlineStr">
        <is>
          <t>HOLDOUT</t>
        </is>
      </c>
      <c r="AH367" t="inlineStr">
        <is>
          <t>PRODUCT</t>
        </is>
      </c>
      <c r="AI367" t="inlineStr">
        <is>
          <t>ACTUAL_USE</t>
        </is>
      </c>
      <c r="AJ367" t="inlineStr">
        <is>
          <t>C</t>
        </is>
      </c>
      <c r="AK367" t="inlineStr">
        <is>
          <t>核心对象：产品口感；体验：ACTUAL_USE；证据强度：C。</t>
        </is>
      </c>
      <c r="AL367"/>
      <c r="AM367" t="inlineStr">
        <is>
          <t>HOLDOUT_60.xlsx</t>
        </is>
      </c>
    </row>
    <row r="368" ht="25.5" customHeight="1">
      <c r="A368" t="inlineStr">
        <is>
          <t>XHS-SOC-0244_HOLDOUT_formal-attempt-0001_AI</t>
        </is>
      </c>
      <c r="B368" t="inlineStr">
        <is>
          <t>勾兑假酒，喝了一口扔了</t>
        </is>
      </c>
      <c r="C368"/>
      <c r="D368"/>
      <c r="E368"/>
      <c r="F368"/>
      <c r="G368"/>
      <c r="H368"/>
      <c r="I368"/>
      <c r="J368"/>
      <c r="K368"/>
      <c r="L368"/>
      <c r="M368"/>
      <c r="N368"/>
      <c r="O368"/>
      <c r="P368"/>
      <c r="Q368"/>
      <c r="R368"/>
      <c r="S368">
        <v>0.9</v>
      </c>
      <c r="T368" t="inlineStr">
        <is>
          <t>formal-attempt-0001</t>
        </is>
      </c>
      <c r="U368"/>
      <c r="V368"/>
      <c r="W368"/>
      <c r="X368" t="inlineStr">
        <is>
          <t>XHS-SOC-0244</t>
        </is>
      </c>
      <c r="Y368"/>
      <c r="Z368"/>
      <c r="AA368"/>
      <c r="AB368"/>
      <c r="AC368"/>
      <c r="AD368"/>
      <c r="AE368"/>
      <c r="AF368" t="inlineStr">
        <is>
          <t>AI</t>
        </is>
      </c>
      <c r="AG368" t="inlineStr">
        <is>
          <t>HOLDOUT</t>
        </is>
      </c>
      <c r="AH368" t="inlineStr">
        <is>
          <t>PRODUCT</t>
        </is>
      </c>
      <c r="AI368" t="inlineStr">
        <is>
          <t>ACTUAL_USE</t>
        </is>
      </c>
      <c r="AJ368" t="inlineStr">
        <is>
          <t>B</t>
        </is>
      </c>
      <c r="AK368" t="inlineStr">
        <is>
          <t>核心对象：产品质量；体验：ACTUAL_USE；证据强度：B。</t>
        </is>
      </c>
      <c r="AL368"/>
      <c r="AM368" t="inlineStr">
        <is>
          <t>HOLDOUT_60.xlsx</t>
        </is>
      </c>
    </row>
    <row r="369" ht="25.5" customHeight="1">
      <c r="A369" t="inlineStr">
        <is>
          <t>XHS-SOC-0252_HOLDOUT_formal-attempt-0001_AI</t>
        </is>
      </c>
      <c r="B369" t="inlineStr">
        <is>
          <t>逼人喝酒就应该负法律责任</t>
        </is>
      </c>
      <c r="C369"/>
      <c r="D369"/>
      <c r="E369"/>
      <c r="F369"/>
      <c r="G369"/>
      <c r="H369"/>
      <c r="I369"/>
      <c r="J369"/>
      <c r="K369"/>
      <c r="L369"/>
      <c r="M369"/>
      <c r="N369"/>
      <c r="O369"/>
      <c r="P369"/>
      <c r="Q369"/>
      <c r="R369"/>
      <c r="S369">
        <v>0.7</v>
      </c>
      <c r="T369" t="inlineStr">
        <is>
          <t>formal-attempt-0001</t>
        </is>
      </c>
      <c r="U369"/>
      <c r="V369"/>
      <c r="W369"/>
      <c r="X369" t="inlineStr">
        <is>
          <t>XHS-SOC-0252</t>
        </is>
      </c>
      <c r="Y369"/>
      <c r="Z369"/>
      <c r="AA369"/>
      <c r="AB369"/>
      <c r="AC369"/>
      <c r="AD369"/>
      <c r="AE369"/>
      <c r="AF369" t="inlineStr">
        <is>
          <t>AI</t>
        </is>
      </c>
      <c r="AG369" t="inlineStr">
        <is>
          <t>HOLDOUT</t>
        </is>
      </c>
      <c r="AH369" t="inlineStr">
        <is>
          <t>SCENE</t>
        </is>
      </c>
      <c r="AI369" t="inlineStr">
        <is>
          <t>UNKNOWN</t>
        </is>
      </c>
      <c r="AJ369" t="inlineStr">
        <is>
          <t>C</t>
        </is>
      </c>
      <c r="AK369" t="inlineStr">
        <is>
          <t>核心对象：劝酒等酒桌社会行为；体验：UNKNOWN；证据强度：C。</t>
        </is>
      </c>
      <c r="AL369"/>
      <c r="AM369" t="inlineStr">
        <is>
          <t>HOLDOUT_60.xlsx</t>
        </is>
      </c>
    </row>
    <row r="370" ht="25.5" customHeight="1">
      <c r="A370" t="inlineStr">
        <is>
          <t>XHS-SOC-0256_HOLDOUT_formal-attempt-0001_AI</t>
        </is>
      </c>
      <c r="B370" t="inlineStr">
        <is>
          <t>好喝死了</t>
        </is>
      </c>
      <c r="C370"/>
      <c r="D370"/>
      <c r="E370"/>
      <c r="F370"/>
      <c r="G370"/>
      <c r="H370"/>
      <c r="I370"/>
      <c r="J370"/>
      <c r="K370"/>
      <c r="L370"/>
      <c r="M370"/>
      <c r="N370"/>
      <c r="O370"/>
      <c r="P370"/>
      <c r="Q370"/>
      <c r="R370"/>
      <c r="S370">
        <v>0.9</v>
      </c>
      <c r="T370" t="inlineStr">
        <is>
          <t>formal-attempt-0001</t>
        </is>
      </c>
      <c r="U370"/>
      <c r="V370"/>
      <c r="W370"/>
      <c r="X370" t="inlineStr">
        <is>
          <t>XHS-SOC-0256</t>
        </is>
      </c>
      <c r="Y370"/>
      <c r="Z370"/>
      <c r="AA370"/>
      <c r="AB370"/>
      <c r="AC370"/>
      <c r="AD370"/>
      <c r="AE370"/>
      <c r="AF370" t="inlineStr">
        <is>
          <t>AI</t>
        </is>
      </c>
      <c r="AG370" t="inlineStr">
        <is>
          <t>HOLDOUT</t>
        </is>
      </c>
      <c r="AH370" t="inlineStr">
        <is>
          <t>PRODUCT</t>
        </is>
      </c>
      <c r="AI370" t="inlineStr">
        <is>
          <t>ACTUAL_USE</t>
        </is>
      </c>
      <c r="AJ370" t="inlineStr">
        <is>
          <t>C</t>
        </is>
      </c>
      <c r="AK370" t="inlineStr">
        <is>
          <t>核心对象：产品口感；体验：ACTUAL_USE；证据强度：C。</t>
        </is>
      </c>
      <c r="AL370"/>
      <c r="AM370" t="inlineStr">
        <is>
          <t>HOLDOUT_60.xlsx</t>
        </is>
      </c>
    </row>
    <row r="371" ht="25.5" customHeight="1">
      <c r="A371" t="inlineStr">
        <is>
          <t>MJ-RAW-0006_GOLD_人工标注_人工</t>
        </is>
      </c>
      <c r="B371" t="inlineStr">
        <is>
          <t>“梅见，兴冲冲的下单结果满载失望。这玩意入口就像是酒精跟青梅汁勾兑的一样，酒精是酒精青梅汁是青梅汁，啥也不是。"</t>
        </is>
      </c>
      <c r="C371"/>
      <c r="D371"/>
      <c r="E371"/>
      <c r="F371"/>
      <c r="G371"/>
      <c r="H371"/>
      <c r="I371"/>
      <c r="J371"/>
      <c r="K371"/>
      <c r="L371"/>
      <c r="M371"/>
      <c r="N371"/>
      <c r="O371"/>
      <c r="P371"/>
      <c r="Q371"/>
      <c r="R371"/>
      <c r="S371"/>
      <c r="T371" t="inlineStr">
        <is>
          <t>人工标注</t>
        </is>
      </c>
      <c r="U371"/>
      <c r="V371"/>
      <c r="W371"/>
      <c r="X371" t="inlineStr">
        <is>
          <t>MJ-RAW-0006</t>
        </is>
      </c>
      <c r="Y371"/>
      <c r="Z371"/>
      <c r="AA371"/>
      <c r="AB371"/>
      <c r="AC371"/>
      <c r="AD371"/>
      <c r="AE371"/>
      <c r="AF371" t="inlineStr">
        <is>
          <t>人工</t>
        </is>
      </c>
      <c r="AG371" t="inlineStr">
        <is>
          <t>GOLD</t>
        </is>
      </c>
      <c r="AH371" t="inlineStr">
        <is>
          <t>PRODUCT</t>
        </is>
      </c>
      <c r="AI371" t="inlineStr">
        <is>
          <t>ACTUAL_USE</t>
        </is>
      </c>
      <c r="AJ371" t="inlineStr">
        <is>
          <t>A</t>
        </is>
      </c>
      <c r="AK371"/>
      <c r="AL371"/>
      <c r="AM371" t="inlineStr">
        <is>
          <t>GOLD 人工标注对齐.xlsx</t>
        </is>
      </c>
    </row>
    <row r="372" ht="25.5" customHeight="1">
      <c r="A372" t="inlineStr">
        <is>
          <t>MJ-RAW-0009_GOLD_人工标注_人工</t>
        </is>
      </c>
      <c r="B372" t="inlineStr">
        <is>
          <t>就现在我正在喝这个，当饮料喝了，平时都喝53五粮液和58度金门高粱酒的，这玩意喝起来口感就是个饮料，已经两瓶喝完了，酸酸的，没酒味，兑点伏特加做成40多度应该味道不错</t>
        </is>
      </c>
      <c r="C372"/>
      <c r="D372"/>
      <c r="E372"/>
      <c r="F372"/>
      <c r="G372"/>
      <c r="H372"/>
      <c r="I372"/>
      <c r="J372"/>
      <c r="K372"/>
      <c r="L372"/>
      <c r="M372"/>
      <c r="N372"/>
      <c r="O372"/>
      <c r="P372"/>
      <c r="Q372"/>
      <c r="R372"/>
      <c r="S372"/>
      <c r="T372" t="inlineStr">
        <is>
          <t>人工标注</t>
        </is>
      </c>
      <c r="U372"/>
      <c r="V372"/>
      <c r="W372"/>
      <c r="X372" t="inlineStr">
        <is>
          <t>MJ-RAW-0009</t>
        </is>
      </c>
      <c r="Y372"/>
      <c r="Z372"/>
      <c r="AA372"/>
      <c r="AB372"/>
      <c r="AC372"/>
      <c r="AD372"/>
      <c r="AE372"/>
      <c r="AF372" t="inlineStr">
        <is>
          <t>人工</t>
        </is>
      </c>
      <c r="AG372" t="inlineStr">
        <is>
          <t>GOLD</t>
        </is>
      </c>
      <c r="AH372" t="inlineStr">
        <is>
          <t>PRODUCT</t>
        </is>
      </c>
      <c r="AI372" t="inlineStr">
        <is>
          <t>ACTUAL_USE</t>
        </is>
      </c>
      <c r="AJ372" t="inlineStr">
        <is>
          <t>A</t>
        </is>
      </c>
      <c r="AK372"/>
      <c r="AL372"/>
      <c r="AM372" t="inlineStr">
        <is>
          <t>GOLD 人工标注对齐.xlsx</t>
        </is>
      </c>
    </row>
    <row r="373" ht="25.5" customHeight="1">
      <c r="A373" t="inlineStr">
        <is>
          <t>MJ-RAW-0011_GOLD_人工标注_人工</t>
        </is>
      </c>
      <c r="B373" t="inlineStr">
        <is>
          <t>有点像喝止咳糖浆加酒</t>
        </is>
      </c>
      <c r="C373"/>
      <c r="D373"/>
      <c r="E373"/>
      <c r="F373"/>
      <c r="G373"/>
      <c r="H373"/>
      <c r="I373"/>
      <c r="J373"/>
      <c r="K373"/>
      <c r="L373"/>
      <c r="M373"/>
      <c r="N373"/>
      <c r="O373"/>
      <c r="P373"/>
      <c r="Q373"/>
      <c r="R373"/>
      <c r="S373"/>
      <c r="T373" t="inlineStr">
        <is>
          <t>人工标注</t>
        </is>
      </c>
      <c r="U373"/>
      <c r="V373"/>
      <c r="W373"/>
      <c r="X373" t="inlineStr">
        <is>
          <t>MJ-RAW-0011</t>
        </is>
      </c>
      <c r="Y373"/>
      <c r="Z373"/>
      <c r="AA373"/>
      <c r="AB373"/>
      <c r="AC373"/>
      <c r="AD373"/>
      <c r="AE373"/>
      <c r="AF373" t="inlineStr">
        <is>
          <t>人工</t>
        </is>
      </c>
      <c r="AG373" t="inlineStr">
        <is>
          <t>GOLD</t>
        </is>
      </c>
      <c r="AH373" t="inlineStr">
        <is>
          <t>PRODUCT</t>
        </is>
      </c>
      <c r="AI373" t="inlineStr">
        <is>
          <t>ACTUAL_USE</t>
        </is>
      </c>
      <c r="AJ373" t="inlineStr">
        <is>
          <t>B</t>
        </is>
      </c>
      <c r="AK373"/>
      <c r="AL373"/>
      <c r="AM373" t="inlineStr">
        <is>
          <t>GOLD 人工标注对齐.xlsx</t>
        </is>
      </c>
    </row>
    <row r="374" ht="25.5" customHeight="1">
      <c r="A374" t="inlineStr">
        <is>
          <t>MJ-RAW-0023_GOLD_人工标注_人工</t>
        </is>
      </c>
      <c r="B374" t="inlineStr">
        <is>
          <t>味道酸甜平衡：很好喝口感顺滑度：好喝酒精度数：刚刚好香气浓郁度：香</t>
        </is>
      </c>
      <c r="C374"/>
      <c r="D374"/>
      <c r="E374"/>
      <c r="F374"/>
      <c r="G374"/>
      <c r="H374"/>
      <c r="I374"/>
      <c r="J374"/>
      <c r="K374"/>
      <c r="L374"/>
      <c r="M374"/>
      <c r="N374"/>
      <c r="O374"/>
      <c r="P374"/>
      <c r="Q374"/>
      <c r="R374"/>
      <c r="S374"/>
      <c r="T374" t="inlineStr">
        <is>
          <t>人工标注</t>
        </is>
      </c>
      <c r="U374"/>
      <c r="V374"/>
      <c r="W374"/>
      <c r="X374" t="inlineStr">
        <is>
          <t>MJ-RAW-0023</t>
        </is>
      </c>
      <c r="Y374"/>
      <c r="Z374"/>
      <c r="AA374"/>
      <c r="AB374"/>
      <c r="AC374"/>
      <c r="AD374"/>
      <c r="AE374"/>
      <c r="AF374" t="inlineStr">
        <is>
          <t>人工</t>
        </is>
      </c>
      <c r="AG374" t="inlineStr">
        <is>
          <t>GOLD</t>
        </is>
      </c>
      <c r="AH374" t="inlineStr">
        <is>
          <t>PRODUCT</t>
        </is>
      </c>
      <c r="AI374" t="inlineStr">
        <is>
          <t>ACTUAL_USE</t>
        </is>
      </c>
      <c r="AJ374" t="inlineStr">
        <is>
          <t>A</t>
        </is>
      </c>
      <c r="AK374"/>
      <c r="AL374"/>
      <c r="AM374" t="inlineStr">
        <is>
          <t>GOLD 人工标注对齐.xlsx</t>
        </is>
      </c>
    </row>
    <row r="375" ht="25.5" customHeight="1">
      <c r="A375" t="inlineStr">
        <is>
          <t>MJ-RAW-0025_GOLD_人工标注_人工</t>
        </is>
      </c>
      <c r="B375" t="inlineStr">
        <is>
          <t>嗯，感觉香味还是比较清淡的，配饮料没那么好喝，本身就比较清淡了，因为酒精的酒精度也不是很大，就是喝着玩都可以。加冰以后口感很好。</t>
        </is>
      </c>
      <c r="C375"/>
      <c r="D375"/>
      <c r="E375"/>
      <c r="F375"/>
      <c r="G375"/>
      <c r="H375"/>
      <c r="I375"/>
      <c r="J375"/>
      <c r="K375"/>
      <c r="L375"/>
      <c r="M375"/>
      <c r="N375"/>
      <c r="O375"/>
      <c r="P375"/>
      <c r="Q375"/>
      <c r="R375"/>
      <c r="S375"/>
      <c r="T375" t="inlineStr">
        <is>
          <t>人工标注</t>
        </is>
      </c>
      <c r="U375"/>
      <c r="V375"/>
      <c r="W375"/>
      <c r="X375" t="inlineStr">
        <is>
          <t>MJ-RAW-0025</t>
        </is>
      </c>
      <c r="Y375"/>
      <c r="Z375"/>
      <c r="AA375"/>
      <c r="AB375"/>
      <c r="AC375"/>
      <c r="AD375"/>
      <c r="AE375"/>
      <c r="AF375" t="inlineStr">
        <is>
          <t>人工</t>
        </is>
      </c>
      <c r="AG375" t="inlineStr">
        <is>
          <t>GOLD</t>
        </is>
      </c>
      <c r="AH375" t="inlineStr">
        <is>
          <t>PRODUCT</t>
        </is>
      </c>
      <c r="AI375" t="inlineStr">
        <is>
          <t>ACTUAL_USE</t>
        </is>
      </c>
      <c r="AJ375" t="inlineStr">
        <is>
          <t>A</t>
        </is>
      </c>
      <c r="AK375"/>
      <c r="AL375"/>
      <c r="AM375" t="inlineStr">
        <is>
          <t>GOLD 人工标注对齐.xlsx</t>
        </is>
      </c>
    </row>
    <row r="376" ht="25.5" customHeight="1">
      <c r="A376" t="inlineStr">
        <is>
          <t>MJ-RAW-0038_GOLD_人工标注_人工</t>
        </is>
      </c>
      <c r="B376" t="inlineStr">
        <is>
          <t>第一次买8%vol.下次再买高一点浓度的。</t>
        </is>
      </c>
      <c r="C376"/>
      <c r="D376"/>
      <c r="E376"/>
      <c r="F376"/>
      <c r="G376"/>
      <c r="H376"/>
      <c r="I376"/>
      <c r="J376"/>
      <c r="K376"/>
      <c r="L376"/>
      <c r="M376"/>
      <c r="N376"/>
      <c r="O376"/>
      <c r="P376"/>
      <c r="Q376"/>
      <c r="R376"/>
      <c r="S376"/>
      <c r="T376" t="inlineStr">
        <is>
          <t>人工标注</t>
        </is>
      </c>
      <c r="U376"/>
      <c r="V376"/>
      <c r="W376"/>
      <c r="X376" t="inlineStr">
        <is>
          <t>MJ-RAW-0038</t>
        </is>
      </c>
      <c r="Y376"/>
      <c r="Z376"/>
      <c r="AA376"/>
      <c r="AB376"/>
      <c r="AC376"/>
      <c r="AD376"/>
      <c r="AE376"/>
      <c r="AF376" t="inlineStr">
        <is>
          <t>人工</t>
        </is>
      </c>
      <c r="AG376" t="inlineStr">
        <is>
          <t>GOLD</t>
        </is>
      </c>
      <c r="AH376" t="inlineStr">
        <is>
          <t>PRODUCT</t>
        </is>
      </c>
      <c r="AI376" t="inlineStr">
        <is>
          <t>UNKNOWN</t>
        </is>
      </c>
      <c r="AJ376" t="inlineStr">
        <is>
          <t>C</t>
        </is>
      </c>
      <c r="AK376"/>
      <c r="AL376"/>
      <c r="AM376" t="inlineStr">
        <is>
          <t>GOLD 人工标注对齐.xlsx</t>
        </is>
      </c>
    </row>
    <row r="377" ht="25.5" customHeight="1">
      <c r="A377" t="inlineStr">
        <is>
          <t>MJ-RAW-0047_GOLD_人工标注_人工</t>
        </is>
      </c>
      <c r="B377" t="inlineStr">
        <is>
          <t>避雷:乌龙茶+梅见脉动+梅见</t>
        </is>
      </c>
      <c r="C377"/>
      <c r="D377"/>
      <c r="E377"/>
      <c r="F377"/>
      <c r="G377"/>
      <c r="H377"/>
      <c r="I377"/>
      <c r="J377"/>
      <c r="K377"/>
      <c r="L377"/>
      <c r="M377"/>
      <c r="N377"/>
      <c r="O377"/>
      <c r="P377"/>
      <c r="Q377"/>
      <c r="R377"/>
      <c r="S377"/>
      <c r="T377" t="inlineStr">
        <is>
          <t>人工标注</t>
        </is>
      </c>
      <c r="U377"/>
      <c r="V377"/>
      <c r="W377"/>
      <c r="X377" t="inlineStr">
        <is>
          <t>MJ-RAW-0047</t>
        </is>
      </c>
      <c r="Y377"/>
      <c r="Z377"/>
      <c r="AA377"/>
      <c r="AB377"/>
      <c r="AC377"/>
      <c r="AD377"/>
      <c r="AE377"/>
      <c r="AF377" t="inlineStr">
        <is>
          <t>人工</t>
        </is>
      </c>
      <c r="AG377" t="inlineStr">
        <is>
          <t>GOLD</t>
        </is>
      </c>
      <c r="AH377" t="inlineStr">
        <is>
          <t>PRODUCT</t>
        </is>
      </c>
      <c r="AI377" t="inlineStr">
        <is>
          <t>ACTUAL_USE</t>
        </is>
      </c>
      <c r="AJ377" t="inlineStr">
        <is>
          <t>B</t>
        </is>
      </c>
      <c r="AK377"/>
      <c r="AL377"/>
      <c r="AM377" t="inlineStr">
        <is>
          <t>GOLD 人工标注对齐.xlsx</t>
        </is>
      </c>
    </row>
    <row r="378" ht="25.5" customHeight="1">
      <c r="A378" t="inlineStr">
        <is>
          <t>XHS-SOC-0020_GOLD_人工标注_人工</t>
        </is>
      </c>
      <c r="B378" t="inlineStr">
        <is>
          <t>自己泡的梅酒、国外的梅酒、梅见都试过，梅见我的口粮酒了。入口很顺，高粱酒的香味也够</t>
        </is>
      </c>
      <c r="C378"/>
      <c r="D378"/>
      <c r="E378"/>
      <c r="F378"/>
      <c r="G378"/>
      <c r="H378"/>
      <c r="I378"/>
      <c r="J378"/>
      <c r="K378"/>
      <c r="L378"/>
      <c r="M378"/>
      <c r="N378"/>
      <c r="O378"/>
      <c r="P378"/>
      <c r="Q378"/>
      <c r="R378"/>
      <c r="S378"/>
      <c r="T378" t="inlineStr">
        <is>
          <t>人工标注</t>
        </is>
      </c>
      <c r="U378"/>
      <c r="V378"/>
      <c r="W378"/>
      <c r="X378" t="inlineStr">
        <is>
          <t>XHS-SOC-0020</t>
        </is>
      </c>
      <c r="Y378"/>
      <c r="Z378"/>
      <c r="AA378"/>
      <c r="AB378"/>
      <c r="AC378"/>
      <c r="AD378"/>
      <c r="AE378"/>
      <c r="AF378" t="inlineStr">
        <is>
          <t>人工</t>
        </is>
      </c>
      <c r="AG378" t="inlineStr">
        <is>
          <t>GOLD</t>
        </is>
      </c>
      <c r="AH378" t="inlineStr">
        <is>
          <t>COMPETITOR</t>
        </is>
      </c>
      <c r="AI378" t="inlineStr">
        <is>
          <t>ACTUAL_USE</t>
        </is>
      </c>
      <c r="AJ378" t="inlineStr">
        <is>
          <t>A</t>
        </is>
      </c>
      <c r="AK378"/>
      <c r="AL378"/>
      <c r="AM378" t="inlineStr">
        <is>
          <t>GOLD 人工标注对齐.xlsx</t>
        </is>
      </c>
    </row>
    <row r="379" ht="25.5" customHeight="1">
      <c r="A379" t="inlineStr">
        <is>
          <t>XHS-SOC-0039_GOLD_人工标注_人工</t>
        </is>
      </c>
      <c r="B379" t="inlineStr">
        <is>
          <t>茉莉花茶，旺旺果粒多，好喝！！！！</t>
        </is>
      </c>
      <c r="C379"/>
      <c r="D379"/>
      <c r="E379"/>
      <c r="F379"/>
      <c r="G379"/>
      <c r="H379"/>
      <c r="I379"/>
      <c r="J379"/>
      <c r="K379"/>
      <c r="L379"/>
      <c r="M379"/>
      <c r="N379"/>
      <c r="O379"/>
      <c r="P379"/>
      <c r="Q379"/>
      <c r="R379"/>
      <c r="S379"/>
      <c r="T379" t="inlineStr">
        <is>
          <t>人工标注</t>
        </is>
      </c>
      <c r="U379"/>
      <c r="V379"/>
      <c r="W379"/>
      <c r="X379" t="inlineStr">
        <is>
          <t>XHS-SOC-0039</t>
        </is>
      </c>
      <c r="Y379"/>
      <c r="Z379"/>
      <c r="AA379"/>
      <c r="AB379"/>
      <c r="AC379"/>
      <c r="AD379"/>
      <c r="AE379"/>
      <c r="AF379" t="inlineStr">
        <is>
          <t>人工</t>
        </is>
      </c>
      <c r="AG379" t="inlineStr">
        <is>
          <t>GOLD</t>
        </is>
      </c>
      <c r="AH379" t="inlineStr">
        <is>
          <t>PRODUCT</t>
        </is>
      </c>
      <c r="AI379" t="inlineStr">
        <is>
          <t>ACTUAL_USE</t>
        </is>
      </c>
      <c r="AJ379" t="inlineStr">
        <is>
          <t>B</t>
        </is>
      </c>
      <c r="AK379"/>
      <c r="AL379"/>
      <c r="AM379" t="inlineStr">
        <is>
          <t>GOLD 人工标注对齐.xlsx</t>
        </is>
      </c>
    </row>
    <row r="380" ht="25.5" customHeight="1">
      <c r="A380" t="inlineStr">
        <is>
          <t>JD-20260809-056_GOLD_人工标注_人工</t>
        </is>
      </c>
      <c r="B380" t="inlineStr">
        <is>
          <t>这个酒怎么说呢，平时没事的时候喝还是不错的，就是觉得还是有点甜，应该小酒量的人喝还是很不错的，可以买来偶尔喝一喝这样子的</t>
        </is>
      </c>
      <c r="C380"/>
      <c r="D380"/>
      <c r="E380"/>
      <c r="F380"/>
      <c r="G380"/>
      <c r="H380"/>
      <c r="I380"/>
      <c r="J380"/>
      <c r="K380"/>
      <c r="L380"/>
      <c r="M380"/>
      <c r="N380"/>
      <c r="O380"/>
      <c r="P380"/>
      <c r="Q380"/>
      <c r="R380"/>
      <c r="S380"/>
      <c r="T380" t="inlineStr">
        <is>
          <t>人工标注</t>
        </is>
      </c>
      <c r="U380"/>
      <c r="V380"/>
      <c r="W380"/>
      <c r="X380" t="inlineStr">
        <is>
          <t>JD-20260809-056</t>
        </is>
      </c>
      <c r="Y380"/>
      <c r="Z380"/>
      <c r="AA380"/>
      <c r="AB380"/>
      <c r="AC380"/>
      <c r="AD380"/>
      <c r="AE380"/>
      <c r="AF380" t="inlineStr">
        <is>
          <t>人工</t>
        </is>
      </c>
      <c r="AG380" t="inlineStr">
        <is>
          <t>GOLD</t>
        </is>
      </c>
      <c r="AH380" t="inlineStr">
        <is>
          <t>SCENE</t>
        </is>
      </c>
      <c r="AI380" t="inlineStr">
        <is>
          <t>ACTUAL_USE</t>
        </is>
      </c>
      <c r="AJ380" t="inlineStr">
        <is>
          <t>B</t>
        </is>
      </c>
      <c r="AK380"/>
      <c r="AL380" t="inlineStr">
        <is>
          <t>scene和product</t>
        </is>
      </c>
      <c r="AM380" t="inlineStr">
        <is>
          <t>GOLD 人工标注对齐.xlsx</t>
        </is>
      </c>
    </row>
    <row r="381" ht="25.5" customHeight="1">
      <c r="A381" t="inlineStr">
        <is>
          <t>JD-20260809-062_GOLD_人工标注_人工</t>
        </is>
      </c>
      <c r="B381" t="inlineStr">
        <is>
          <t>超酸版本很不错，原果原酿很干净，梅香正、酸度适口，加冰超好喝。微醺不头疼，颜值高、包装精致，自饮送礼都可，无限回购。赞一个</t>
        </is>
      </c>
      <c r="C381"/>
      <c r="D381"/>
      <c r="E381"/>
      <c r="F381"/>
      <c r="G381"/>
      <c r="H381"/>
      <c r="I381"/>
      <c r="J381"/>
      <c r="K381"/>
      <c r="L381"/>
      <c r="M381"/>
      <c r="N381"/>
      <c r="O381"/>
      <c r="P381"/>
      <c r="Q381"/>
      <c r="R381"/>
      <c r="S381"/>
      <c r="T381" t="inlineStr">
        <is>
          <t>人工标注</t>
        </is>
      </c>
      <c r="U381"/>
      <c r="V381"/>
      <c r="W381"/>
      <c r="X381" t="inlineStr">
        <is>
          <t>JD-20260809-062</t>
        </is>
      </c>
      <c r="Y381"/>
      <c r="Z381"/>
      <c r="AA381"/>
      <c r="AB381"/>
      <c r="AC381"/>
      <c r="AD381"/>
      <c r="AE381"/>
      <c r="AF381" t="inlineStr">
        <is>
          <t>人工</t>
        </is>
      </c>
      <c r="AG381" t="inlineStr">
        <is>
          <t>GOLD</t>
        </is>
      </c>
      <c r="AH381" t="inlineStr">
        <is>
          <t>PRODUCT</t>
        </is>
      </c>
      <c r="AI381" t="inlineStr">
        <is>
          <t>ACTUAL_USE</t>
        </is>
      </c>
      <c r="AJ381" t="inlineStr">
        <is>
          <t>A</t>
        </is>
      </c>
      <c r="AK381"/>
      <c r="AL381"/>
      <c r="AM381" t="inlineStr">
        <is>
          <t>GOLD 人工标注对齐.xlsx</t>
        </is>
      </c>
    </row>
    <row r="382" ht="25.5" customHeight="1">
      <c r="A382" t="inlineStr">
        <is>
          <t>JD-20260809-063_GOLD_人工标注_人工</t>
        </is>
      </c>
      <c r="B382" t="inlineStr">
        <is>
          <t>梅见青梅酒真的太懂女生了✨，清清爽爽的青梅果香中和了酒精的厚重感，入口酸甜柔和，度数不高很适合小聚浅酌。瓶身设计也很清新，不管是独饮小酌还是朋友聚会都很合适～</t>
        </is>
      </c>
      <c r="C382"/>
      <c r="D382"/>
      <c r="E382"/>
      <c r="F382"/>
      <c r="G382"/>
      <c r="H382"/>
      <c r="I382"/>
      <c r="J382"/>
      <c r="K382"/>
      <c r="L382"/>
      <c r="M382"/>
      <c r="N382"/>
      <c r="O382"/>
      <c r="P382"/>
      <c r="Q382"/>
      <c r="R382"/>
      <c r="S382"/>
      <c r="T382" t="inlineStr">
        <is>
          <t>人工标注</t>
        </is>
      </c>
      <c r="U382"/>
      <c r="V382"/>
      <c r="W382"/>
      <c r="X382" t="inlineStr">
        <is>
          <t>JD-20260809-063</t>
        </is>
      </c>
      <c r="Y382"/>
      <c r="Z382"/>
      <c r="AA382"/>
      <c r="AB382"/>
      <c r="AC382"/>
      <c r="AD382"/>
      <c r="AE382"/>
      <c r="AF382" t="inlineStr">
        <is>
          <t>人工</t>
        </is>
      </c>
      <c r="AG382" t="inlineStr">
        <is>
          <t>GOLD</t>
        </is>
      </c>
      <c r="AH382" t="inlineStr">
        <is>
          <t>SCENE</t>
        </is>
      </c>
      <c r="AI382" t="inlineStr">
        <is>
          <t>UNKNOWN</t>
        </is>
      </c>
      <c r="AJ382" t="inlineStr">
        <is>
          <t>A</t>
        </is>
      </c>
      <c r="AK382"/>
      <c r="AL382"/>
      <c r="AM382" t="inlineStr">
        <is>
          <t>GOLD 人工标注对齐.xlsx</t>
        </is>
      </c>
    </row>
    <row r="383" ht="25.5" customHeight="1">
      <c r="A383" t="inlineStr">
        <is>
          <t>TB-20260809-039_GOLD_人工标注_人工</t>
        </is>
      </c>
      <c r="B383" t="inlineStr">
        <is>
          <t>瓶子很漂亮，口感也是酸酸甜甜的，酒精度也不高很适合女孩子喝</t>
        </is>
      </c>
      <c r="C383"/>
      <c r="D383"/>
      <c r="E383"/>
      <c r="F383"/>
      <c r="G383"/>
      <c r="H383"/>
      <c r="I383"/>
      <c r="J383"/>
      <c r="K383"/>
      <c r="L383"/>
      <c r="M383"/>
      <c r="N383"/>
      <c r="O383"/>
      <c r="P383"/>
      <c r="Q383"/>
      <c r="R383"/>
      <c r="S383"/>
      <c r="T383" t="inlineStr">
        <is>
          <t>人工标注</t>
        </is>
      </c>
      <c r="U383"/>
      <c r="V383"/>
      <c r="W383"/>
      <c r="X383" t="inlineStr">
        <is>
          <t>TB-20260809-039</t>
        </is>
      </c>
      <c r="Y383"/>
      <c r="Z383"/>
      <c r="AA383"/>
      <c r="AB383"/>
      <c r="AC383"/>
      <c r="AD383"/>
      <c r="AE383"/>
      <c r="AF383" t="inlineStr">
        <is>
          <t>人工</t>
        </is>
      </c>
      <c r="AG383" t="inlineStr">
        <is>
          <t>GOLD</t>
        </is>
      </c>
      <c r="AH383" t="inlineStr">
        <is>
          <t>PRODUCT</t>
        </is>
      </c>
      <c r="AI383" t="inlineStr">
        <is>
          <t>ACTUAL_USE</t>
        </is>
      </c>
      <c r="AJ383" t="inlineStr">
        <is>
          <t>B</t>
        </is>
      </c>
      <c r="AK383"/>
      <c r="AL383"/>
      <c r="AM383" t="inlineStr">
        <is>
          <t>GOLD 人工标注对齐.xlsx</t>
        </is>
      </c>
    </row>
    <row r="384" ht="25.5" customHeight="1">
      <c r="A384" t="inlineStr">
        <is>
          <t>TB-20260809-050_GOLD_人工标注_人工</t>
        </is>
      </c>
      <c r="B384" t="inlineStr">
        <is>
          <t>梅见这个品牌可以的，口感好 后劲不大 适合女生</t>
        </is>
      </c>
      <c r="C384"/>
      <c r="D384"/>
      <c r="E384"/>
      <c r="F384"/>
      <c r="G384"/>
      <c r="H384"/>
      <c r="I384"/>
      <c r="J384"/>
      <c r="K384"/>
      <c r="L384"/>
      <c r="M384"/>
      <c r="N384"/>
      <c r="O384"/>
      <c r="P384"/>
      <c r="Q384"/>
      <c r="R384"/>
      <c r="S384"/>
      <c r="T384" t="inlineStr">
        <is>
          <t>人工标注</t>
        </is>
      </c>
      <c r="U384"/>
      <c r="V384"/>
      <c r="W384"/>
      <c r="X384" t="inlineStr">
        <is>
          <t>TB-20260809-050</t>
        </is>
      </c>
      <c r="Y384"/>
      <c r="Z384"/>
      <c r="AA384"/>
      <c r="AB384"/>
      <c r="AC384"/>
      <c r="AD384"/>
      <c r="AE384"/>
      <c r="AF384" t="inlineStr">
        <is>
          <t>人工</t>
        </is>
      </c>
      <c r="AG384" t="inlineStr">
        <is>
          <t>GOLD</t>
        </is>
      </c>
      <c r="AH384" t="inlineStr">
        <is>
          <t>BRAND</t>
        </is>
      </c>
      <c r="AI384" t="inlineStr">
        <is>
          <t>UNKNOWN</t>
        </is>
      </c>
      <c r="AJ384" t="inlineStr">
        <is>
          <t>B</t>
        </is>
      </c>
      <c r="AK384"/>
      <c r="AL384"/>
      <c r="AM384" t="inlineStr">
        <is>
          <t>GOLD 人工标注对齐.xlsx</t>
        </is>
      </c>
    </row>
    <row r="385" ht="25.5" customHeight="1">
      <c r="A385" t="inlineStr">
        <is>
          <t>MJ-RAW-0061_GOLD_人工标注_人工</t>
        </is>
      </c>
      <c r="B385" t="inlineStr">
        <is>
          <t>和好久没见的人一起喝好酒梅见，这是故事最好的结局</t>
        </is>
      </c>
      <c r="C385"/>
      <c r="D385"/>
      <c r="E385"/>
      <c r="F385"/>
      <c r="G385"/>
      <c r="H385"/>
      <c r="I385"/>
      <c r="J385"/>
      <c r="K385"/>
      <c r="L385"/>
      <c r="M385"/>
      <c r="N385"/>
      <c r="O385"/>
      <c r="P385"/>
      <c r="Q385"/>
      <c r="R385"/>
      <c r="S385"/>
      <c r="T385" t="inlineStr">
        <is>
          <t>人工标注</t>
        </is>
      </c>
      <c r="U385"/>
      <c r="V385"/>
      <c r="W385"/>
      <c r="X385" t="inlineStr">
        <is>
          <t>MJ-RAW-0061</t>
        </is>
      </c>
      <c r="Y385"/>
      <c r="Z385"/>
      <c r="AA385"/>
      <c r="AB385"/>
      <c r="AC385"/>
      <c r="AD385"/>
      <c r="AE385"/>
      <c r="AF385" t="inlineStr">
        <is>
          <t>人工</t>
        </is>
      </c>
      <c r="AG385" t="inlineStr">
        <is>
          <t>GOLD</t>
        </is>
      </c>
      <c r="AH385" t="inlineStr">
        <is>
          <t>SCENE</t>
        </is>
      </c>
      <c r="AI385" t="inlineStr">
        <is>
          <t>UNKNOWN</t>
        </is>
      </c>
      <c r="AJ385" t="inlineStr">
        <is>
          <t>B</t>
        </is>
      </c>
      <c r="AK385"/>
      <c r="AL385"/>
      <c r="AM385" t="inlineStr">
        <is>
          <t>GOLD 人工标注对齐.xlsx</t>
        </is>
      </c>
    </row>
    <row r="386" ht="25.5" customHeight="1">
      <c r="A386" t="inlineStr">
        <is>
          <t>XHS-SOC-0029_GOLD_人工标注_人工</t>
        </is>
      </c>
      <c r="B386" t="inlineStr">
        <is>
          <t>有点像喝止咳糖浆加酒</t>
        </is>
      </c>
      <c r="C386"/>
      <c r="D386"/>
      <c r="E386"/>
      <c r="F386"/>
      <c r="G386"/>
      <c r="H386"/>
      <c r="I386"/>
      <c r="J386"/>
      <c r="K386"/>
      <c r="L386"/>
      <c r="M386"/>
      <c r="N386"/>
      <c r="O386"/>
      <c r="P386"/>
      <c r="Q386"/>
      <c r="R386"/>
      <c r="S386"/>
      <c r="T386" t="inlineStr">
        <is>
          <t>人工标注</t>
        </is>
      </c>
      <c r="U386"/>
      <c r="V386"/>
      <c r="W386"/>
      <c r="X386" t="inlineStr">
        <is>
          <t>XHS-SOC-0029</t>
        </is>
      </c>
      <c r="Y386"/>
      <c r="Z386"/>
      <c r="AA386"/>
      <c r="AB386"/>
      <c r="AC386"/>
      <c r="AD386"/>
      <c r="AE386"/>
      <c r="AF386" t="inlineStr">
        <is>
          <t>人工</t>
        </is>
      </c>
      <c r="AG386" t="inlineStr">
        <is>
          <t>GOLD</t>
        </is>
      </c>
      <c r="AH386" t="inlineStr">
        <is>
          <t>PRODUCT</t>
        </is>
      </c>
      <c r="AI386" t="inlineStr">
        <is>
          <t>ACTUAL_USE</t>
        </is>
      </c>
      <c r="AJ386" t="inlineStr">
        <is>
          <t>B</t>
        </is>
      </c>
      <c r="AK386"/>
      <c r="AL386"/>
      <c r="AM386" t="inlineStr">
        <is>
          <t>GOLD 人工标注对齐.xlsx</t>
        </is>
      </c>
    </row>
    <row r="387" ht="25.5" customHeight="1">
      <c r="A387" t="inlineStr">
        <is>
          <t>XHS-SOC-0043_GOLD_人工标注_人工</t>
        </is>
      </c>
      <c r="B387" t="inlineStr">
        <is>
          <t>喝过很多款梅子酒，感觉还是梅见最专业了，不过我个人原因不喜欢太甜的酒</t>
        </is>
      </c>
      <c r="C387"/>
      <c r="D387"/>
      <c r="E387"/>
      <c r="F387"/>
      <c r="G387"/>
      <c r="H387"/>
      <c r="I387"/>
      <c r="J387"/>
      <c r="K387"/>
      <c r="L387"/>
      <c r="M387"/>
      <c r="N387"/>
      <c r="O387"/>
      <c r="P387"/>
      <c r="Q387"/>
      <c r="R387"/>
      <c r="S387"/>
      <c r="T387" t="inlineStr">
        <is>
          <t>人工标注</t>
        </is>
      </c>
      <c r="U387"/>
      <c r="V387"/>
      <c r="W387"/>
      <c r="X387" t="inlineStr">
        <is>
          <t>XHS-SOC-0043</t>
        </is>
      </c>
      <c r="Y387"/>
      <c r="Z387"/>
      <c r="AA387"/>
      <c r="AB387"/>
      <c r="AC387"/>
      <c r="AD387"/>
      <c r="AE387"/>
      <c r="AF387" t="inlineStr">
        <is>
          <t>人工</t>
        </is>
      </c>
      <c r="AG387" t="inlineStr">
        <is>
          <t>GOLD</t>
        </is>
      </c>
      <c r="AH387" t="inlineStr">
        <is>
          <t>COMPETITOR</t>
        </is>
      </c>
      <c r="AI387" t="inlineStr">
        <is>
          <t>ACTUAL_USE</t>
        </is>
      </c>
      <c r="AJ387" t="inlineStr">
        <is>
          <t>B</t>
        </is>
      </c>
      <c r="AK387"/>
      <c r="AL387" t="inlineStr">
        <is>
          <t>brand与competitor</t>
        </is>
      </c>
      <c r="AM387" t="inlineStr">
        <is>
          <t>GOLD 人工标注对齐.xlsx</t>
        </is>
      </c>
    </row>
    <row r="388" ht="25.5" customHeight="1">
      <c r="A388" t="inlineStr">
        <is>
          <t>DY-SOC-0145_GOLD_人工标注_人工</t>
        </is>
      </c>
      <c r="B388" t="inlineStr">
        <is>
          <t>看完也想去梅见酒庄打卡了</t>
        </is>
      </c>
      <c r="C388"/>
      <c r="D388"/>
      <c r="E388"/>
      <c r="F388"/>
      <c r="G388"/>
      <c r="H388"/>
      <c r="I388"/>
      <c r="J388"/>
      <c r="K388"/>
      <c r="L388"/>
      <c r="M388"/>
      <c r="N388"/>
      <c r="O388"/>
      <c r="P388"/>
      <c r="Q388"/>
      <c r="R388"/>
      <c r="S388"/>
      <c r="T388" t="inlineStr">
        <is>
          <t>人工标注</t>
        </is>
      </c>
      <c r="U388"/>
      <c r="V388"/>
      <c r="W388"/>
      <c r="X388" t="inlineStr">
        <is>
          <t>DY-SOC-0145</t>
        </is>
      </c>
      <c r="Y388"/>
      <c r="Z388"/>
      <c r="AA388"/>
      <c r="AB388"/>
      <c r="AC388"/>
      <c r="AD388"/>
      <c r="AE388"/>
      <c r="AF388" t="inlineStr">
        <is>
          <t>人工</t>
        </is>
      </c>
      <c r="AG388" t="inlineStr">
        <is>
          <t>GOLD</t>
        </is>
      </c>
      <c r="AH388" t="inlineStr">
        <is>
          <t>OTHER</t>
        </is>
      </c>
      <c r="AI388" t="inlineStr">
        <is>
          <t>UNKNOWN</t>
        </is>
      </c>
      <c r="AJ388" t="inlineStr">
        <is>
          <t>C</t>
        </is>
      </c>
      <c r="AK388"/>
      <c r="AL388" t="inlineStr">
        <is>
          <t>酒庄的宣传，与产品无关</t>
        </is>
      </c>
      <c r="AM388" t="inlineStr">
        <is>
          <t>GOLD 人工标注对齐.xlsx</t>
        </is>
      </c>
    </row>
    <row r="389" ht="25.5" customHeight="1">
      <c r="A389" t="inlineStr">
        <is>
          <t>XHS-SOC-0191_GOLD_人工标注_人工</t>
        </is>
      </c>
      <c r="B389" t="inlineStr">
        <is>
          <t>我感觉真的很好喝，但是酒味有点重，我会灌五六颗话梅泡一个晚上就老好喝了</t>
        </is>
      </c>
      <c r="C389"/>
      <c r="D389"/>
      <c r="E389"/>
      <c r="F389"/>
      <c r="G389"/>
      <c r="H389"/>
      <c r="I389"/>
      <c r="J389"/>
      <c r="K389"/>
      <c r="L389"/>
      <c r="M389"/>
      <c r="N389"/>
      <c r="O389"/>
      <c r="P389"/>
      <c r="Q389"/>
      <c r="R389"/>
      <c r="S389"/>
      <c r="T389" t="inlineStr">
        <is>
          <t>人工标注</t>
        </is>
      </c>
      <c r="U389"/>
      <c r="V389"/>
      <c r="W389"/>
      <c r="X389" t="inlineStr">
        <is>
          <t>XHS-SOC-0191</t>
        </is>
      </c>
      <c r="Y389"/>
      <c r="Z389"/>
      <c r="AA389"/>
      <c r="AB389"/>
      <c r="AC389"/>
      <c r="AD389"/>
      <c r="AE389"/>
      <c r="AF389" t="inlineStr">
        <is>
          <t>人工</t>
        </is>
      </c>
      <c r="AG389" t="inlineStr">
        <is>
          <t>GOLD</t>
        </is>
      </c>
      <c r="AH389" t="inlineStr">
        <is>
          <t>PRODUCT</t>
        </is>
      </c>
      <c r="AI389" t="inlineStr">
        <is>
          <t>ACTUAL_USE</t>
        </is>
      </c>
      <c r="AJ389" t="inlineStr">
        <is>
          <t>B</t>
        </is>
      </c>
      <c r="AK389"/>
      <c r="AL389"/>
      <c r="AM389" t="inlineStr">
        <is>
          <t>GOLD 人工标注对齐.xlsx</t>
        </is>
      </c>
    </row>
    <row r="390" ht="25.5" customHeight="1">
      <c r="A390" t="inlineStr">
        <is>
          <t>XHS-SOC-0201_GOLD_人工标注_人工</t>
        </is>
      </c>
      <c r="B390" t="inlineStr">
        <is>
          <t>没有人觉得喝了之后一直在上厕所吗？</t>
        </is>
      </c>
      <c r="C390"/>
      <c r="D390"/>
      <c r="E390"/>
      <c r="F390"/>
      <c r="G390"/>
      <c r="H390"/>
      <c r="I390"/>
      <c r="J390"/>
      <c r="K390"/>
      <c r="L390"/>
      <c r="M390"/>
      <c r="N390"/>
      <c r="O390"/>
      <c r="P390"/>
      <c r="Q390"/>
      <c r="R390"/>
      <c r="S390"/>
      <c r="T390" t="inlineStr">
        <is>
          <t>人工标注</t>
        </is>
      </c>
      <c r="U390"/>
      <c r="V390"/>
      <c r="W390"/>
      <c r="X390" t="inlineStr">
        <is>
          <t>XHS-SOC-0201</t>
        </is>
      </c>
      <c r="Y390"/>
      <c r="Z390"/>
      <c r="AA390"/>
      <c r="AB390"/>
      <c r="AC390"/>
      <c r="AD390"/>
      <c r="AE390"/>
      <c r="AF390" t="inlineStr">
        <is>
          <t>人工</t>
        </is>
      </c>
      <c r="AG390" t="inlineStr">
        <is>
          <t>GOLD</t>
        </is>
      </c>
      <c r="AH390" t="inlineStr">
        <is>
          <t>SCENE</t>
        </is>
      </c>
      <c r="AI390" t="inlineStr">
        <is>
          <t>ACTUAL_USE</t>
        </is>
      </c>
      <c r="AJ390" t="inlineStr">
        <is>
          <t>B</t>
        </is>
      </c>
      <c r="AK390"/>
      <c r="AL390"/>
      <c r="AM390" t="inlineStr">
        <is>
          <t>GOLD 人工标注对齐.xlsx</t>
        </is>
      </c>
    </row>
    <row r="391" ht="25.5" customHeight="1">
      <c r="A391" t="inlineStr">
        <is>
          <t>XHS-SOC-0221_GOLD_人工标注_人工</t>
        </is>
      </c>
      <c r="B391" t="inlineStr">
        <is>
          <t>我喝一瓶刚好入睡</t>
        </is>
      </c>
      <c r="C391"/>
      <c r="D391"/>
      <c r="E391"/>
      <c r="F391"/>
      <c r="G391"/>
      <c r="H391"/>
      <c r="I391"/>
      <c r="J391"/>
      <c r="K391"/>
      <c r="L391"/>
      <c r="M391"/>
      <c r="N391"/>
      <c r="O391"/>
      <c r="P391"/>
      <c r="Q391"/>
      <c r="R391"/>
      <c r="S391"/>
      <c r="T391" t="inlineStr">
        <is>
          <t>人工标注</t>
        </is>
      </c>
      <c r="U391"/>
      <c r="V391"/>
      <c r="W391"/>
      <c r="X391" t="inlineStr">
        <is>
          <t>XHS-SOC-0221</t>
        </is>
      </c>
      <c r="Y391"/>
      <c r="Z391"/>
      <c r="AA391"/>
      <c r="AB391"/>
      <c r="AC391"/>
      <c r="AD391"/>
      <c r="AE391"/>
      <c r="AF391" t="inlineStr">
        <is>
          <t>人工</t>
        </is>
      </c>
      <c r="AG391" t="inlineStr">
        <is>
          <t>GOLD</t>
        </is>
      </c>
      <c r="AH391" t="inlineStr">
        <is>
          <t>SCENE</t>
        </is>
      </c>
      <c r="AI391" t="inlineStr">
        <is>
          <t>ACTUAL_USE</t>
        </is>
      </c>
      <c r="AJ391" t="inlineStr">
        <is>
          <t>B</t>
        </is>
      </c>
      <c r="AK391"/>
      <c r="AL391"/>
      <c r="AM391" t="inlineStr">
        <is>
          <t>GOLD 人工标注对齐.xlsx</t>
        </is>
      </c>
    </row>
    <row r="392" ht="25.5" customHeight="1">
      <c r="A392" t="inlineStr">
        <is>
          <t>JD-20260809-059_GOLD_人工标注_人工</t>
        </is>
      </c>
      <c r="B392" t="inlineStr">
        <is>
          <t>🎉这款酒真的很赞呢！开瓶就能闻到浓郁的香气，酸甜比例刚刚好，喝起来很顺口～✨包装也特别牢固，瓶子看起来高端大气，无论是自己喝还是送礼都很合适。性价比超高，确认是正品无疑，已经列入回购清单啦！😊</t>
        </is>
      </c>
      <c r="C392"/>
      <c r="D392"/>
      <c r="E392"/>
      <c r="F392"/>
      <c r="G392"/>
      <c r="H392"/>
      <c r="I392"/>
      <c r="J392"/>
      <c r="K392"/>
      <c r="L392"/>
      <c r="M392"/>
      <c r="N392"/>
      <c r="O392"/>
      <c r="P392"/>
      <c r="Q392"/>
      <c r="R392"/>
      <c r="S392"/>
      <c r="T392" t="inlineStr">
        <is>
          <t>人工标注</t>
        </is>
      </c>
      <c r="U392"/>
      <c r="V392"/>
      <c r="W392"/>
      <c r="X392" t="inlineStr">
        <is>
          <t>JD-20260809-059</t>
        </is>
      </c>
      <c r="Y392"/>
      <c r="Z392"/>
      <c r="AA392"/>
      <c r="AB392"/>
      <c r="AC392"/>
      <c r="AD392"/>
      <c r="AE392"/>
      <c r="AF392" t="inlineStr">
        <is>
          <t>人工</t>
        </is>
      </c>
      <c r="AG392" t="inlineStr">
        <is>
          <t>GOLD</t>
        </is>
      </c>
      <c r="AH392" t="inlineStr">
        <is>
          <t>SERVICE</t>
        </is>
      </c>
      <c r="AI392" t="inlineStr">
        <is>
          <t>ACTUAL_USE</t>
        </is>
      </c>
      <c r="AJ392" t="inlineStr">
        <is>
          <t>A</t>
        </is>
      </c>
      <c r="AK392"/>
      <c r="AL392"/>
      <c r="AM392" t="inlineStr">
        <is>
          <t>GOLD 人工标注对齐.xlsx</t>
        </is>
      </c>
    </row>
    <row r="393" ht="25.5" customHeight="1">
      <c r="A393" t="inlineStr">
        <is>
          <t>XHS-SOC-0045_GOLD_人工标注_人工</t>
        </is>
      </c>
      <c r="B393" t="inlineStr">
        <is>
          <t>三得利还不错，梅见太难喝了</t>
        </is>
      </c>
      <c r="C393"/>
      <c r="D393"/>
      <c r="E393"/>
      <c r="F393"/>
      <c r="G393"/>
      <c r="H393"/>
      <c r="I393"/>
      <c r="J393"/>
      <c r="K393"/>
      <c r="L393"/>
      <c r="M393"/>
      <c r="N393"/>
      <c r="O393"/>
      <c r="P393"/>
      <c r="Q393"/>
      <c r="R393"/>
      <c r="S393"/>
      <c r="T393" t="inlineStr">
        <is>
          <t>人工标注</t>
        </is>
      </c>
      <c r="U393"/>
      <c r="V393"/>
      <c r="W393"/>
      <c r="X393" t="inlineStr">
        <is>
          <t>XHS-SOC-0045</t>
        </is>
      </c>
      <c r="Y393"/>
      <c r="Z393"/>
      <c r="AA393"/>
      <c r="AB393"/>
      <c r="AC393"/>
      <c r="AD393"/>
      <c r="AE393"/>
      <c r="AF393" t="inlineStr">
        <is>
          <t>人工</t>
        </is>
      </c>
      <c r="AG393" t="inlineStr">
        <is>
          <t>GOLD</t>
        </is>
      </c>
      <c r="AH393" t="inlineStr">
        <is>
          <t>COMPETITOR</t>
        </is>
      </c>
      <c r="AI393" t="inlineStr">
        <is>
          <t>ACTUAL_USE</t>
        </is>
      </c>
      <c r="AJ393" t="inlineStr">
        <is>
          <t>B</t>
        </is>
      </c>
      <c r="AK393"/>
      <c r="AL393"/>
      <c r="AM393" t="inlineStr">
        <is>
          <t>GOLD 人工标注对齐.xlsx</t>
        </is>
      </c>
    </row>
    <row r="394" ht="25.5" customHeight="1">
      <c r="A394" t="inlineStr">
        <is>
          <t>DY-SOC-0089_GOLD_人工标注_人工</t>
        </is>
      </c>
      <c r="B394" t="inlineStr">
        <is>
          <t>放柚子汁类饮料也很好喝</t>
        </is>
      </c>
      <c r="C394"/>
      <c r="D394"/>
      <c r="E394"/>
      <c r="F394"/>
      <c r="G394"/>
      <c r="H394"/>
      <c r="I394"/>
      <c r="J394"/>
      <c r="K394"/>
      <c r="L394"/>
      <c r="M394"/>
      <c r="N394"/>
      <c r="O394"/>
      <c r="P394"/>
      <c r="Q394"/>
      <c r="R394"/>
      <c r="S394"/>
      <c r="T394" t="inlineStr">
        <is>
          <t>人工标注</t>
        </is>
      </c>
      <c r="U394"/>
      <c r="V394"/>
      <c r="W394"/>
      <c r="X394" t="inlineStr">
        <is>
          <t>DY-SOC-0089</t>
        </is>
      </c>
      <c r="Y394"/>
      <c r="Z394"/>
      <c r="AA394"/>
      <c r="AB394"/>
      <c r="AC394"/>
      <c r="AD394"/>
      <c r="AE394"/>
      <c r="AF394" t="inlineStr">
        <is>
          <t>人工</t>
        </is>
      </c>
      <c r="AG394" t="inlineStr">
        <is>
          <t>GOLD</t>
        </is>
      </c>
      <c r="AH394" t="inlineStr">
        <is>
          <t>PRODUCT</t>
        </is>
      </c>
      <c r="AI394" t="inlineStr">
        <is>
          <t>ACTUAL_USE</t>
        </is>
      </c>
      <c r="AJ394" t="inlineStr">
        <is>
          <t>B</t>
        </is>
      </c>
      <c r="AK394"/>
      <c r="AL394"/>
      <c r="AM394" t="inlineStr">
        <is>
          <t>GOLD 人工标注对齐.xlsx</t>
        </is>
      </c>
    </row>
    <row r="395" ht="25.5" customHeight="1">
      <c r="A395" t="inlineStr">
        <is>
          <t>XHS-SOC-0185_GOLD_人工标注_人工</t>
        </is>
      </c>
      <c r="B395" t="inlineStr">
        <is>
          <t>酒味太重 喜欢三得利这种酒味淡的</t>
        </is>
      </c>
      <c r="C395"/>
      <c r="D395"/>
      <c r="E395"/>
      <c r="F395"/>
      <c r="G395"/>
      <c r="H395"/>
      <c r="I395"/>
      <c r="J395"/>
      <c r="K395"/>
      <c r="L395"/>
      <c r="M395"/>
      <c r="N395"/>
      <c r="O395"/>
      <c r="P395"/>
      <c r="Q395"/>
      <c r="R395"/>
      <c r="S395"/>
      <c r="T395" t="inlineStr">
        <is>
          <t>人工标注</t>
        </is>
      </c>
      <c r="U395"/>
      <c r="V395"/>
      <c r="W395"/>
      <c r="X395" t="inlineStr">
        <is>
          <t>XHS-SOC-0185</t>
        </is>
      </c>
      <c r="Y395"/>
      <c r="Z395"/>
      <c r="AA395"/>
      <c r="AB395"/>
      <c r="AC395"/>
      <c r="AD395"/>
      <c r="AE395"/>
      <c r="AF395" t="inlineStr">
        <is>
          <t>人工</t>
        </is>
      </c>
      <c r="AG395" t="inlineStr">
        <is>
          <t>GOLD</t>
        </is>
      </c>
      <c r="AH395" t="inlineStr">
        <is>
          <t>COMPETITOR</t>
        </is>
      </c>
      <c r="AI395" t="inlineStr">
        <is>
          <t>ACTUAL_USE</t>
        </is>
      </c>
      <c r="AJ395" t="inlineStr">
        <is>
          <t>A</t>
        </is>
      </c>
      <c r="AK395"/>
      <c r="AL395" t="inlineStr">
        <is>
          <t>competitor and product</t>
        </is>
      </c>
      <c r="AM395" t="inlineStr">
        <is>
          <t>GOLD 人工标注对齐.xlsx</t>
        </is>
      </c>
    </row>
    <row r="396" ht="25.5" customHeight="1">
      <c r="A396" t="inlineStr">
        <is>
          <t>XHS-SOC-0225_GOLD_人工标注_人工</t>
        </is>
      </c>
      <c r="B396" t="inlineStr">
        <is>
          <t>荔枝最难喝，乳酸菌，乐橘最好喝</t>
        </is>
      </c>
      <c r="C396"/>
      <c r="D396"/>
      <c r="E396"/>
      <c r="F396"/>
      <c r="G396"/>
      <c r="H396"/>
      <c r="I396"/>
      <c r="J396"/>
      <c r="K396"/>
      <c r="L396"/>
      <c r="M396"/>
      <c r="N396"/>
      <c r="O396"/>
      <c r="P396"/>
      <c r="Q396"/>
      <c r="R396"/>
      <c r="S396"/>
      <c r="T396" t="inlineStr">
        <is>
          <t>人工标注</t>
        </is>
      </c>
      <c r="U396"/>
      <c r="V396"/>
      <c r="W396"/>
      <c r="X396" t="inlineStr">
        <is>
          <t>XHS-SOC-0225</t>
        </is>
      </c>
      <c r="Y396"/>
      <c r="Z396"/>
      <c r="AA396"/>
      <c r="AB396"/>
      <c r="AC396"/>
      <c r="AD396"/>
      <c r="AE396"/>
      <c r="AF396" t="inlineStr">
        <is>
          <t>人工</t>
        </is>
      </c>
      <c r="AG396" t="inlineStr">
        <is>
          <t>GOLD</t>
        </is>
      </c>
      <c r="AH396" t="inlineStr">
        <is>
          <t>COMPETITOR</t>
        </is>
      </c>
      <c r="AI396" t="inlineStr">
        <is>
          <t>ACTUAL_USE</t>
        </is>
      </c>
      <c r="AJ396" t="inlineStr">
        <is>
          <t>C</t>
        </is>
      </c>
      <c r="AK396"/>
      <c r="AL396"/>
      <c r="AM396" t="inlineStr">
        <is>
          <t>GOLD 人工标注对齐.xlsx</t>
        </is>
      </c>
    </row>
    <row r="397" ht="25.5" customHeight="1">
      <c r="A397" t="inlineStr">
        <is>
          <t>XHS-SOC-0227_GOLD_人工标注_人工</t>
        </is>
      </c>
      <c r="B397" t="inlineStr">
        <is>
          <t>只有我觉得很难喝吗</t>
        </is>
      </c>
      <c r="C397"/>
      <c r="D397"/>
      <c r="E397"/>
      <c r="F397"/>
      <c r="G397"/>
      <c r="H397"/>
      <c r="I397"/>
      <c r="J397"/>
      <c r="K397"/>
      <c r="L397"/>
      <c r="M397"/>
      <c r="N397"/>
      <c r="O397"/>
      <c r="P397"/>
      <c r="Q397"/>
      <c r="R397"/>
      <c r="S397"/>
      <c r="T397" t="inlineStr">
        <is>
          <t>人工标注</t>
        </is>
      </c>
      <c r="U397"/>
      <c r="V397"/>
      <c r="W397"/>
      <c r="X397" t="inlineStr">
        <is>
          <t>XHS-SOC-0227</t>
        </is>
      </c>
      <c r="Y397"/>
      <c r="Z397"/>
      <c r="AA397"/>
      <c r="AB397"/>
      <c r="AC397"/>
      <c r="AD397"/>
      <c r="AE397"/>
      <c r="AF397" t="inlineStr">
        <is>
          <t>人工</t>
        </is>
      </c>
      <c r="AG397" t="inlineStr">
        <is>
          <t>GOLD</t>
        </is>
      </c>
      <c r="AH397" t="inlineStr">
        <is>
          <t>PRODUCT</t>
        </is>
      </c>
      <c r="AI397" t="inlineStr">
        <is>
          <t>ACTUAL_USE</t>
        </is>
      </c>
      <c r="AJ397" t="inlineStr">
        <is>
          <t>C</t>
        </is>
      </c>
      <c r="AK397"/>
      <c r="AL397"/>
      <c r="AM397" t="inlineStr">
        <is>
          <t>GOLD 人工标注对齐.xlsx</t>
        </is>
      </c>
    </row>
    <row r="398" ht="25.5" customHeight="1">
      <c r="A398" t="inlineStr">
        <is>
          <t>JD-20260809-002_GOLD_人工标注_人工</t>
        </is>
      </c>
      <c r="B398" t="inlineStr">
        <is>
          <t>加冰后口感更佳，适合配西餐。喝完嘴里留香，喝起来顺滑</t>
        </is>
      </c>
      <c r="C398"/>
      <c r="D398"/>
      <c r="E398"/>
      <c r="F398"/>
      <c r="G398"/>
      <c r="H398"/>
      <c r="I398"/>
      <c r="J398"/>
      <c r="K398"/>
      <c r="L398"/>
      <c r="M398"/>
      <c r="N398"/>
      <c r="O398"/>
      <c r="P398"/>
      <c r="Q398"/>
      <c r="R398"/>
      <c r="S398"/>
      <c r="T398" t="inlineStr">
        <is>
          <t>人工标注</t>
        </is>
      </c>
      <c r="U398"/>
      <c r="V398"/>
      <c r="W398"/>
      <c r="X398" t="inlineStr">
        <is>
          <t>JD-20260809-002</t>
        </is>
      </c>
      <c r="Y398"/>
      <c r="Z398"/>
      <c r="AA398"/>
      <c r="AB398"/>
      <c r="AC398"/>
      <c r="AD398"/>
      <c r="AE398"/>
      <c r="AF398" t="inlineStr">
        <is>
          <t>人工</t>
        </is>
      </c>
      <c r="AG398" t="inlineStr">
        <is>
          <t>GOLD</t>
        </is>
      </c>
      <c r="AH398" t="inlineStr">
        <is>
          <t>PRODUCT</t>
        </is>
      </c>
      <c r="AI398" t="inlineStr">
        <is>
          <t>ACTUAL_USE</t>
        </is>
      </c>
      <c r="AJ398" t="inlineStr">
        <is>
          <t>A</t>
        </is>
      </c>
      <c r="AK398"/>
      <c r="AL398"/>
      <c r="AM398" t="inlineStr">
        <is>
          <t>GOLD 人工标注对齐.xlsx</t>
        </is>
      </c>
    </row>
    <row r="399" ht="25.5" customHeight="1">
      <c r="A399" t="inlineStr">
        <is>
          <t>JD-20260809-012_GOLD_人工标注_人工</t>
        </is>
      </c>
      <c r="B399" t="inlineStr">
        <is>
          <t>喝起来口感很顺滑，味道酸甜平衡，酒精度数不高，香气浓郁，回味还想，毕竟不是陈酿，小瓶量比较合适，果香不错，京东快递包装不错，没有磕碰</t>
        </is>
      </c>
      <c r="C399"/>
      <c r="D399"/>
      <c r="E399"/>
      <c r="F399"/>
      <c r="G399"/>
      <c r="H399"/>
      <c r="I399"/>
      <c r="J399"/>
      <c r="K399"/>
      <c r="L399"/>
      <c r="M399"/>
      <c r="N399"/>
      <c r="O399"/>
      <c r="P399"/>
      <c r="Q399"/>
      <c r="R399"/>
      <c r="S399"/>
      <c r="T399" t="inlineStr">
        <is>
          <t>人工标注</t>
        </is>
      </c>
      <c r="U399"/>
      <c r="V399"/>
      <c r="W399"/>
      <c r="X399" t="inlineStr">
        <is>
          <t>JD-20260809-012</t>
        </is>
      </c>
      <c r="Y399"/>
      <c r="Z399"/>
      <c r="AA399"/>
      <c r="AB399"/>
      <c r="AC399"/>
      <c r="AD399"/>
      <c r="AE399"/>
      <c r="AF399" t="inlineStr">
        <is>
          <t>人工</t>
        </is>
      </c>
      <c r="AG399" t="inlineStr">
        <is>
          <t>GOLD</t>
        </is>
      </c>
      <c r="AH399" t="inlineStr">
        <is>
          <t>PRODUCT</t>
        </is>
      </c>
      <c r="AI399" t="inlineStr">
        <is>
          <t>ACTUAL_USE</t>
        </is>
      </c>
      <c r="AJ399" t="inlineStr">
        <is>
          <t>A</t>
        </is>
      </c>
      <c r="AK399"/>
      <c r="AL399"/>
      <c r="AM399" t="inlineStr">
        <is>
          <t>GOLD 人工标注对齐.xlsx</t>
        </is>
      </c>
    </row>
    <row r="400" ht="25.5" customHeight="1">
      <c r="A400" t="inlineStr">
        <is>
          <t>JD-20260809-026_GOLD_人工标注_人工</t>
        </is>
      </c>
      <c r="B400" t="inlineStr">
        <is>
          <t>酒精度数不高，适合大众</t>
        </is>
      </c>
      <c r="C400"/>
      <c r="D400"/>
      <c r="E400"/>
      <c r="F400"/>
      <c r="G400"/>
      <c r="H400"/>
      <c r="I400"/>
      <c r="J400"/>
      <c r="K400"/>
      <c r="L400"/>
      <c r="M400"/>
      <c r="N400"/>
      <c r="O400"/>
      <c r="P400"/>
      <c r="Q400"/>
      <c r="R400"/>
      <c r="S400"/>
      <c r="T400" t="inlineStr">
        <is>
          <t>人工标注</t>
        </is>
      </c>
      <c r="U400"/>
      <c r="V400"/>
      <c r="W400"/>
      <c r="X400" t="inlineStr">
        <is>
          <t>JD-20260809-026</t>
        </is>
      </c>
      <c r="Y400"/>
      <c r="Z400"/>
      <c r="AA400"/>
      <c r="AB400"/>
      <c r="AC400"/>
      <c r="AD400"/>
      <c r="AE400"/>
      <c r="AF400" t="inlineStr">
        <is>
          <t>人工</t>
        </is>
      </c>
      <c r="AG400" t="inlineStr">
        <is>
          <t>GOLD</t>
        </is>
      </c>
      <c r="AH400" t="inlineStr">
        <is>
          <t>BRAND</t>
        </is>
      </c>
      <c r="AI400" t="inlineStr">
        <is>
          <t>UNKNOWN</t>
        </is>
      </c>
      <c r="AJ400" t="inlineStr">
        <is>
          <t>B</t>
        </is>
      </c>
      <c r="AK400"/>
      <c r="AL400"/>
      <c r="AM400" t="inlineStr">
        <is>
          <t>GOLD 人工标注对齐.xlsx</t>
        </is>
      </c>
    </row>
    <row r="401" ht="25.5" customHeight="1">
      <c r="A401" t="inlineStr">
        <is>
          <t>TB-20260809-014_GOLD_人工标注_人工</t>
        </is>
      </c>
      <c r="B401" t="inlineStr">
        <is>
          <t>一直都很喜欢rio酒，以前是微醺，现在是8度，真的很不错，感觉睡眠都好了很多</t>
        </is>
      </c>
      <c r="C401"/>
      <c r="D401"/>
      <c r="E401"/>
      <c r="F401"/>
      <c r="G401"/>
      <c r="H401"/>
      <c r="I401"/>
      <c r="J401"/>
      <c r="K401"/>
      <c r="L401"/>
      <c r="M401"/>
      <c r="N401"/>
      <c r="O401"/>
      <c r="P401"/>
      <c r="Q401"/>
      <c r="R401"/>
      <c r="S401"/>
      <c r="T401" t="inlineStr">
        <is>
          <t>人工标注</t>
        </is>
      </c>
      <c r="U401"/>
      <c r="V401"/>
      <c r="W401"/>
      <c r="X401" t="inlineStr">
        <is>
          <t>TB-20260809-014</t>
        </is>
      </c>
      <c r="Y401"/>
      <c r="Z401"/>
      <c r="AA401"/>
      <c r="AB401"/>
      <c r="AC401"/>
      <c r="AD401"/>
      <c r="AE401"/>
      <c r="AF401" t="inlineStr">
        <is>
          <t>人工</t>
        </is>
      </c>
      <c r="AG401" t="inlineStr">
        <is>
          <t>GOLD</t>
        </is>
      </c>
      <c r="AH401" t="inlineStr">
        <is>
          <t>COMPETITOR</t>
        </is>
      </c>
      <c r="AI401" t="inlineStr">
        <is>
          <t>ACTUAL_USE</t>
        </is>
      </c>
      <c r="AJ401" t="inlineStr">
        <is>
          <t>A</t>
        </is>
      </c>
      <c r="AK401"/>
      <c r="AL401"/>
      <c r="AM401" t="inlineStr">
        <is>
          <t>GOLD 人工标注对齐.xlsx</t>
        </is>
      </c>
    </row>
    <row r="402" ht="25.5" customHeight="1">
      <c r="A402" t="inlineStr">
        <is>
          <t>XHS-SOC-0230_GOLD_人工标注_人工</t>
        </is>
      </c>
      <c r="B402" t="inlineStr">
        <is>
          <t>我穷苦人家只喝得起蝶矢</t>
        </is>
      </c>
      <c r="C402"/>
      <c r="D402"/>
      <c r="E402"/>
      <c r="F402"/>
      <c r="G402"/>
      <c r="H402"/>
      <c r="I402"/>
      <c r="J402"/>
      <c r="K402"/>
      <c r="L402"/>
      <c r="M402"/>
      <c r="N402"/>
      <c r="O402"/>
      <c r="P402"/>
      <c r="Q402"/>
      <c r="R402"/>
      <c r="S402"/>
      <c r="T402" t="inlineStr">
        <is>
          <t>人工标注</t>
        </is>
      </c>
      <c r="U402"/>
      <c r="V402"/>
      <c r="W402"/>
      <c r="X402" t="inlineStr">
        <is>
          <t>XHS-SOC-0230</t>
        </is>
      </c>
      <c r="Y402"/>
      <c r="Z402"/>
      <c r="AA402"/>
      <c r="AB402"/>
      <c r="AC402"/>
      <c r="AD402"/>
      <c r="AE402"/>
      <c r="AF402" t="inlineStr">
        <is>
          <t>人工</t>
        </is>
      </c>
      <c r="AG402" t="inlineStr">
        <is>
          <t>GOLD</t>
        </is>
      </c>
      <c r="AH402" t="inlineStr">
        <is>
          <t>COMPETITOR</t>
        </is>
      </c>
      <c r="AI402" t="inlineStr">
        <is>
          <t>UNKNOWN</t>
        </is>
      </c>
      <c r="AJ402" t="inlineStr">
        <is>
          <t>C</t>
        </is>
      </c>
      <c r="AK402"/>
      <c r="AL402"/>
      <c r="AM402" t="inlineStr">
        <is>
          <t>GOLD 人工标注对齐.xlsx</t>
        </is>
      </c>
    </row>
    <row r="403" ht="25.5" customHeight="1">
      <c r="A403" t="inlineStr">
        <is>
          <t>XHS-SOC-0006_GOLD_人工标注_人工</t>
        </is>
      </c>
      <c r="B403" t="inlineStr">
        <is>
          <t>我可太懂了，这个阶段持续的时间太短了，不继续喝就会逐渐清醒，再往下喝就要出洋相了</t>
        </is>
      </c>
      <c r="C403"/>
      <c r="D403"/>
      <c r="E403"/>
      <c r="F403"/>
      <c r="G403"/>
      <c r="H403"/>
      <c r="I403"/>
      <c r="J403"/>
      <c r="K403"/>
      <c r="L403"/>
      <c r="M403"/>
      <c r="N403"/>
      <c r="O403"/>
      <c r="P403"/>
      <c r="Q403"/>
      <c r="R403"/>
      <c r="S403"/>
      <c r="T403" t="inlineStr">
        <is>
          <t>人工标注</t>
        </is>
      </c>
      <c r="U403"/>
      <c r="V403"/>
      <c r="W403"/>
      <c r="X403" t="inlineStr">
        <is>
          <t>XHS-SOC-0006</t>
        </is>
      </c>
      <c r="Y403"/>
      <c r="Z403"/>
      <c r="AA403"/>
      <c r="AB403"/>
      <c r="AC403"/>
      <c r="AD403"/>
      <c r="AE403"/>
      <c r="AF403" t="inlineStr">
        <is>
          <t>人工</t>
        </is>
      </c>
      <c r="AG403" t="inlineStr">
        <is>
          <t>GOLD</t>
        </is>
      </c>
      <c r="AH403" t="inlineStr">
        <is>
          <t>SCENE</t>
        </is>
      </c>
      <c r="AI403" t="inlineStr">
        <is>
          <t>UNKNOWN</t>
        </is>
      </c>
      <c r="AJ403" t="inlineStr">
        <is>
          <t>B</t>
        </is>
      </c>
      <c r="AK403"/>
      <c r="AL403"/>
      <c r="AM403" t="inlineStr">
        <is>
          <t>GOLD 人工标注对齐.xlsx</t>
        </is>
      </c>
    </row>
    <row r="404" ht="25.5" customHeight="1">
      <c r="A404" t="inlineStr">
        <is>
          <t>DY-SOC-0090_GOLD_人工标注_人工</t>
        </is>
      </c>
      <c r="B404" t="inlineStr">
        <is>
          <t>还没有喝过梅子酒</t>
        </is>
      </c>
      <c r="C404"/>
      <c r="D404"/>
      <c r="E404"/>
      <c r="F404"/>
      <c r="G404"/>
      <c r="H404"/>
      <c r="I404"/>
      <c r="J404"/>
      <c r="K404"/>
      <c r="L404"/>
      <c r="M404"/>
      <c r="N404"/>
      <c r="O404"/>
      <c r="P404"/>
      <c r="Q404"/>
      <c r="R404"/>
      <c r="S404"/>
      <c r="T404" t="inlineStr">
        <is>
          <t>人工标注</t>
        </is>
      </c>
      <c r="U404"/>
      <c r="V404"/>
      <c r="W404"/>
      <c r="X404" t="inlineStr">
        <is>
          <t>DY-SOC-0090</t>
        </is>
      </c>
      <c r="Y404"/>
      <c r="Z404"/>
      <c r="AA404"/>
      <c r="AB404"/>
      <c r="AC404"/>
      <c r="AD404"/>
      <c r="AE404"/>
      <c r="AF404" t="inlineStr">
        <is>
          <t>人工</t>
        </is>
      </c>
      <c r="AG404" t="inlineStr">
        <is>
          <t>GOLD</t>
        </is>
      </c>
      <c r="AH404" t="inlineStr">
        <is>
          <t>OTHER</t>
        </is>
      </c>
      <c r="AI404" t="inlineStr">
        <is>
          <t>UNKNOWN</t>
        </is>
      </c>
      <c r="AJ404" t="inlineStr">
        <is>
          <t>C</t>
        </is>
      </c>
      <c r="AK404"/>
      <c r="AL404" t="inlineStr">
        <is>
          <t>和产品体验无关</t>
        </is>
      </c>
      <c r="AM404" t="inlineStr">
        <is>
          <t>GOLD 人工标注对齐.xlsx</t>
        </is>
      </c>
    </row>
    <row r="405" ht="25.5" customHeight="1">
      <c r="A405" t="inlineStr">
        <is>
          <t>XHS-SOC-0203_GOLD_人工标注_人工</t>
        </is>
      </c>
      <c r="B405" t="inlineStr">
        <is>
          <t>以前我还喝两口，自从看到它是二级致癌物之后就不喝了</t>
        </is>
      </c>
      <c r="C405"/>
      <c r="D405"/>
      <c r="E405"/>
      <c r="F405"/>
      <c r="G405"/>
      <c r="H405"/>
      <c r="I405"/>
      <c r="J405"/>
      <c r="K405"/>
      <c r="L405"/>
      <c r="M405"/>
      <c r="N405"/>
      <c r="O405"/>
      <c r="P405"/>
      <c r="Q405"/>
      <c r="R405"/>
      <c r="S405"/>
      <c r="T405" t="inlineStr">
        <is>
          <t>人工标注</t>
        </is>
      </c>
      <c r="U405"/>
      <c r="V405"/>
      <c r="W405"/>
      <c r="X405" t="inlineStr">
        <is>
          <t>XHS-SOC-0203</t>
        </is>
      </c>
      <c r="Y405"/>
      <c r="Z405"/>
      <c r="AA405"/>
      <c r="AB405"/>
      <c r="AC405"/>
      <c r="AD405"/>
      <c r="AE405"/>
      <c r="AF405" t="inlineStr">
        <is>
          <t>人工</t>
        </is>
      </c>
      <c r="AG405" t="inlineStr">
        <is>
          <t>GOLD</t>
        </is>
      </c>
      <c r="AH405" t="inlineStr">
        <is>
          <t>OTHER</t>
        </is>
      </c>
      <c r="AI405" t="inlineStr">
        <is>
          <t>UNKNOWN</t>
        </is>
      </c>
      <c r="AJ405" t="inlineStr">
        <is>
          <t>B</t>
        </is>
      </c>
      <c r="AK405"/>
      <c r="AL405" t="inlineStr">
        <is>
          <t>负面意见且不知道是否合理</t>
        </is>
      </c>
      <c r="AM405" t="inlineStr">
        <is>
          <t>GOLD 人工标注对齐.xlsx</t>
        </is>
      </c>
    </row>
    <row r="406" ht="25.5" customHeight="1">
      <c r="A406" t="inlineStr">
        <is>
          <t>DY-SOC-0267_GOLD_人工标注_人工</t>
        </is>
      </c>
      <c r="B406" t="inlineStr">
        <is>
          <t>诱惑七号到底哪里可以买到</t>
        </is>
      </c>
      <c r="C406"/>
      <c r="D406"/>
      <c r="E406"/>
      <c r="F406"/>
      <c r="G406"/>
      <c r="H406"/>
      <c r="I406"/>
      <c r="J406"/>
      <c r="K406"/>
      <c r="L406"/>
      <c r="M406"/>
      <c r="N406"/>
      <c r="O406"/>
      <c r="P406"/>
      <c r="Q406"/>
      <c r="R406"/>
      <c r="S406"/>
      <c r="T406" t="inlineStr">
        <is>
          <t>人工标注</t>
        </is>
      </c>
      <c r="U406"/>
      <c r="V406"/>
      <c r="W406"/>
      <c r="X406" t="inlineStr">
        <is>
          <t>DY-SOC-0267</t>
        </is>
      </c>
      <c r="Y406"/>
      <c r="Z406"/>
      <c r="AA406"/>
      <c r="AB406"/>
      <c r="AC406"/>
      <c r="AD406"/>
      <c r="AE406"/>
      <c r="AF406" t="inlineStr">
        <is>
          <t>人工</t>
        </is>
      </c>
      <c r="AG406" t="inlineStr">
        <is>
          <t>GOLD</t>
        </is>
      </c>
      <c r="AH406" t="inlineStr">
        <is>
          <t>COMPETITOR</t>
        </is>
      </c>
      <c r="AI406" t="inlineStr">
        <is>
          <t>UNKNOWN</t>
        </is>
      </c>
      <c r="AJ406" t="inlineStr">
        <is>
          <t>C</t>
        </is>
      </c>
      <c r="AK406"/>
      <c r="AL406" t="inlineStr">
        <is>
          <t>与梅见无关</t>
        </is>
      </c>
      <c r="AM406" t="inlineStr">
        <is>
          <t>GOLD 人工标注对齐.xlsx</t>
        </is>
      </c>
    </row>
    <row r="407" ht="25.5" customHeight="1">
      <c r="A407" t="inlineStr">
        <is>
          <t>MJ-RAW-0227_GOLD_人工标注_人工</t>
        </is>
      </c>
      <c r="B407" t="inlineStr">
        <is>
          <t>酒量不好的人的福利来啦</t>
        </is>
      </c>
      <c r="C407"/>
      <c r="D407"/>
      <c r="E407"/>
      <c r="F407"/>
      <c r="G407"/>
      <c r="H407"/>
      <c r="I407"/>
      <c r="J407"/>
      <c r="K407"/>
      <c r="L407"/>
      <c r="M407"/>
      <c r="N407"/>
      <c r="O407"/>
      <c r="P407"/>
      <c r="Q407"/>
      <c r="R407"/>
      <c r="S407"/>
      <c r="T407" t="inlineStr">
        <is>
          <t>人工标注</t>
        </is>
      </c>
      <c r="U407"/>
      <c r="V407"/>
      <c r="W407"/>
      <c r="X407" t="inlineStr">
        <is>
          <t>MJ-RAW-0227</t>
        </is>
      </c>
      <c r="Y407"/>
      <c r="Z407"/>
      <c r="AA407"/>
      <c r="AB407"/>
      <c r="AC407"/>
      <c r="AD407"/>
      <c r="AE407"/>
      <c r="AF407" t="inlineStr">
        <is>
          <t>人工</t>
        </is>
      </c>
      <c r="AG407" t="inlineStr">
        <is>
          <t>GOLD</t>
        </is>
      </c>
      <c r="AH407" t="inlineStr">
        <is>
          <t>SCENE</t>
        </is>
      </c>
      <c r="AI407" t="inlineStr">
        <is>
          <t>UNKNOWN</t>
        </is>
      </c>
      <c r="AJ407" t="inlineStr">
        <is>
          <t>B</t>
        </is>
      </c>
      <c r="AK407"/>
      <c r="AL407"/>
      <c r="AM407" t="inlineStr">
        <is>
          <t>GOLD 人工标注对齐.xlsx</t>
        </is>
      </c>
    </row>
    <row r="408" ht="25.5" customHeight="1">
      <c r="A408" t="inlineStr">
        <is>
          <t>DY-SOC-0102_GOLD_人工标注_人工</t>
        </is>
      </c>
      <c r="B408" t="inlineStr">
        <is>
          <t>自己一个人在家微醺有推荐的吗[泪奔]</t>
        </is>
      </c>
      <c r="C408"/>
      <c r="D408"/>
      <c r="E408"/>
      <c r="F408"/>
      <c r="G408"/>
      <c r="H408"/>
      <c r="I408"/>
      <c r="J408"/>
      <c r="K408"/>
      <c r="L408"/>
      <c r="M408"/>
      <c r="N408"/>
      <c r="O408"/>
      <c r="P408"/>
      <c r="Q408"/>
      <c r="R408"/>
      <c r="S408"/>
      <c r="T408" t="inlineStr">
        <is>
          <t>人工标注</t>
        </is>
      </c>
      <c r="U408"/>
      <c r="V408"/>
      <c r="W408"/>
      <c r="X408" t="inlineStr">
        <is>
          <t>DY-SOC-0102</t>
        </is>
      </c>
      <c r="Y408"/>
      <c r="Z408"/>
      <c r="AA408"/>
      <c r="AB408"/>
      <c r="AC408"/>
      <c r="AD408"/>
      <c r="AE408"/>
      <c r="AF408" t="inlineStr">
        <is>
          <t>人工</t>
        </is>
      </c>
      <c r="AG408" t="inlineStr">
        <is>
          <t>GOLD</t>
        </is>
      </c>
      <c r="AH408" t="inlineStr">
        <is>
          <t>OTHER</t>
        </is>
      </c>
      <c r="AI408" t="inlineStr">
        <is>
          <t>UNKNOWN</t>
        </is>
      </c>
      <c r="AJ408" t="inlineStr">
        <is>
          <t>C</t>
        </is>
      </c>
      <c r="AK408"/>
      <c r="AL408" t="inlineStr">
        <is>
          <t>只有提问，与体验无关</t>
        </is>
      </c>
      <c r="AM408" t="inlineStr">
        <is>
          <t>GOLD 人工标注对齐.xlsx</t>
        </is>
      </c>
    </row>
    <row r="409" ht="25.5" customHeight="1">
      <c r="A409" t="inlineStr">
        <is>
          <t>XHS-SOC-0193_GOLD_人工标注_人工</t>
        </is>
      </c>
      <c r="B409" t="inlineStr">
        <is>
          <t>脑子清醒但是身体想睡觉，同时情绪敏感</t>
        </is>
      </c>
      <c r="C409"/>
      <c r="D409"/>
      <c r="E409"/>
      <c r="F409"/>
      <c r="G409"/>
      <c r="H409"/>
      <c r="I409"/>
      <c r="J409"/>
      <c r="K409"/>
      <c r="L409"/>
      <c r="M409"/>
      <c r="N409"/>
      <c r="O409"/>
      <c r="P409"/>
      <c r="Q409"/>
      <c r="R409"/>
      <c r="S409"/>
      <c r="T409" t="inlineStr">
        <is>
          <t>人工标注</t>
        </is>
      </c>
      <c r="U409"/>
      <c r="V409"/>
      <c r="W409"/>
      <c r="X409" t="inlineStr">
        <is>
          <t>XHS-SOC-0193</t>
        </is>
      </c>
      <c r="Y409"/>
      <c r="Z409"/>
      <c r="AA409"/>
      <c r="AB409"/>
      <c r="AC409"/>
      <c r="AD409"/>
      <c r="AE409"/>
      <c r="AF409" t="inlineStr">
        <is>
          <t>人工</t>
        </is>
      </c>
      <c r="AG409" t="inlineStr">
        <is>
          <t>GOLD</t>
        </is>
      </c>
      <c r="AH409" t="inlineStr">
        <is>
          <t>SCENE</t>
        </is>
      </c>
      <c r="AI409" t="inlineStr">
        <is>
          <t>ACTUAL_USE</t>
        </is>
      </c>
      <c r="AJ409" t="inlineStr">
        <is>
          <t>B</t>
        </is>
      </c>
      <c r="AK409"/>
      <c r="AL409"/>
      <c r="AM409" t="inlineStr">
        <is>
          <t>GOLD 人工标注对齐.xlsx</t>
        </is>
      </c>
    </row>
    <row r="410" ht="25.5" customHeight="1">
      <c r="A410" t="inlineStr">
        <is>
          <t>XHS-SOC-0199_GOLD_人工标注_人工</t>
        </is>
      </c>
      <c r="B410" t="inlineStr">
        <is>
          <t>我急性酒精中毒，3天才活过来！太可怕了，戒酒</t>
        </is>
      </c>
      <c r="C410"/>
      <c r="D410"/>
      <c r="E410"/>
      <c r="F410"/>
      <c r="G410"/>
      <c r="H410"/>
      <c r="I410"/>
      <c r="J410"/>
      <c r="K410"/>
      <c r="L410"/>
      <c r="M410"/>
      <c r="N410"/>
      <c r="O410"/>
      <c r="P410"/>
      <c r="Q410"/>
      <c r="R410"/>
      <c r="S410"/>
      <c r="T410" t="inlineStr">
        <is>
          <t>人工标注</t>
        </is>
      </c>
      <c r="U410"/>
      <c r="V410"/>
      <c r="W410"/>
      <c r="X410" t="inlineStr">
        <is>
          <t>XHS-SOC-0199</t>
        </is>
      </c>
      <c r="Y410"/>
      <c r="Z410"/>
      <c r="AA410"/>
      <c r="AB410"/>
      <c r="AC410"/>
      <c r="AD410"/>
      <c r="AE410"/>
      <c r="AF410" t="inlineStr">
        <is>
          <t>人工</t>
        </is>
      </c>
      <c r="AG410" t="inlineStr">
        <is>
          <t>GOLD</t>
        </is>
      </c>
      <c r="AH410" t="inlineStr">
        <is>
          <t>SCENE</t>
        </is>
      </c>
      <c r="AI410" t="inlineStr">
        <is>
          <t>ACTUAL_USE</t>
        </is>
      </c>
      <c r="AJ410" t="inlineStr">
        <is>
          <t>C</t>
        </is>
      </c>
      <c r="AK410"/>
      <c r="AL410"/>
      <c r="AM410" t="inlineStr">
        <is>
          <t>GOLD 人工标注对齐.xlsx</t>
        </is>
      </c>
    </row>
    <row r="411" ht="25.5" customHeight="1">
      <c r="A411" t="inlineStr">
        <is>
          <t>XHS-SOC-0211_GOLD_人工标注_人工</t>
        </is>
      </c>
      <c r="B411" t="inlineStr">
        <is>
          <t>好喜欢喝到晕晕的又不会难受头痛那种感觉，走路飘飘的</t>
        </is>
      </c>
      <c r="C411"/>
      <c r="D411"/>
      <c r="E411"/>
      <c r="F411"/>
      <c r="G411"/>
      <c r="H411"/>
      <c r="I411"/>
      <c r="J411"/>
      <c r="K411"/>
      <c r="L411"/>
      <c r="M411"/>
      <c r="N411"/>
      <c r="O411"/>
      <c r="P411"/>
      <c r="Q411"/>
      <c r="R411"/>
      <c r="S411"/>
      <c r="T411" t="inlineStr">
        <is>
          <t>人工标注</t>
        </is>
      </c>
      <c r="U411"/>
      <c r="V411"/>
      <c r="W411"/>
      <c r="X411" t="inlineStr">
        <is>
          <t>XHS-SOC-0211</t>
        </is>
      </c>
      <c r="Y411"/>
      <c r="Z411"/>
      <c r="AA411"/>
      <c r="AB411"/>
      <c r="AC411"/>
      <c r="AD411"/>
      <c r="AE411"/>
      <c r="AF411" t="inlineStr">
        <is>
          <t>人工</t>
        </is>
      </c>
      <c r="AG411" t="inlineStr">
        <is>
          <t>GOLD</t>
        </is>
      </c>
      <c r="AH411" t="inlineStr">
        <is>
          <t>SCENE</t>
        </is>
      </c>
      <c r="AI411" t="inlineStr">
        <is>
          <t>ACTUAL_USE</t>
        </is>
      </c>
      <c r="AJ411" t="inlineStr">
        <is>
          <t>B</t>
        </is>
      </c>
      <c r="AK411"/>
      <c r="AL411"/>
      <c r="AM411" t="inlineStr">
        <is>
          <t>GOLD 人工标注对齐.xlsx</t>
        </is>
      </c>
    </row>
    <row r="412" ht="25.5" customHeight="1">
      <c r="A412" t="inlineStr">
        <is>
          <t>XHS-SOC-0231_GOLD_人工标注_人工</t>
        </is>
      </c>
      <c r="B412" t="inlineStr">
        <is>
          <t>和闺蜜喝了6瓶，完全喝醉了，第二天起床还头晕</t>
        </is>
      </c>
      <c r="C412"/>
      <c r="D412"/>
      <c r="E412"/>
      <c r="F412"/>
      <c r="G412"/>
      <c r="H412"/>
      <c r="I412"/>
      <c r="J412"/>
      <c r="K412"/>
      <c r="L412"/>
      <c r="M412"/>
      <c r="N412"/>
      <c r="O412"/>
      <c r="P412"/>
      <c r="Q412"/>
      <c r="R412"/>
      <c r="S412"/>
      <c r="T412" t="inlineStr">
        <is>
          <t>人工标注</t>
        </is>
      </c>
      <c r="U412"/>
      <c r="V412"/>
      <c r="W412"/>
      <c r="X412" t="inlineStr">
        <is>
          <t>XHS-SOC-0231</t>
        </is>
      </c>
      <c r="Y412"/>
      <c r="Z412"/>
      <c r="AA412"/>
      <c r="AB412"/>
      <c r="AC412"/>
      <c r="AD412"/>
      <c r="AE412"/>
      <c r="AF412" t="inlineStr">
        <is>
          <t>人工</t>
        </is>
      </c>
      <c r="AG412" t="inlineStr">
        <is>
          <t>GOLD</t>
        </is>
      </c>
      <c r="AH412" t="inlineStr">
        <is>
          <t>SCENE</t>
        </is>
      </c>
      <c r="AI412" t="inlineStr">
        <is>
          <t>ACTUAL_USE</t>
        </is>
      </c>
      <c r="AJ412" t="inlineStr">
        <is>
          <t>B</t>
        </is>
      </c>
      <c r="AK412"/>
      <c r="AL412"/>
      <c r="AM412" t="inlineStr">
        <is>
          <t>GOLD 人工标注对齐.xlsx</t>
        </is>
      </c>
    </row>
    <row r="413" ht="25.5" customHeight="1">
      <c r="A413" t="inlineStr">
        <is>
          <t>XHS-SOC-0010_GOLD_人工标注_人工</t>
        </is>
      </c>
      <c r="B413" t="inlineStr">
        <is>
          <t>其实你讨厌的不是敬酒，是各种恶心人的服从性测试</t>
        </is>
      </c>
      <c r="C413"/>
      <c r="D413"/>
      <c r="E413"/>
      <c r="F413"/>
      <c r="G413"/>
      <c r="H413"/>
      <c r="I413"/>
      <c r="J413"/>
      <c r="K413"/>
      <c r="L413"/>
      <c r="M413"/>
      <c r="N413"/>
      <c r="O413"/>
      <c r="P413"/>
      <c r="Q413"/>
      <c r="R413"/>
      <c r="S413"/>
      <c r="T413" t="inlineStr">
        <is>
          <t>人工标注</t>
        </is>
      </c>
      <c r="U413"/>
      <c r="V413"/>
      <c r="W413"/>
      <c r="X413" t="inlineStr">
        <is>
          <t>XHS-SOC-0010</t>
        </is>
      </c>
      <c r="Y413"/>
      <c r="Z413"/>
      <c r="AA413"/>
      <c r="AB413"/>
      <c r="AC413"/>
      <c r="AD413"/>
      <c r="AE413"/>
      <c r="AF413" t="inlineStr">
        <is>
          <t>人工</t>
        </is>
      </c>
      <c r="AG413" t="inlineStr">
        <is>
          <t>GOLD</t>
        </is>
      </c>
      <c r="AH413" t="inlineStr">
        <is>
          <t>SCENE</t>
        </is>
      </c>
      <c r="AI413" t="inlineStr">
        <is>
          <t>UNKNOWN</t>
        </is>
      </c>
      <c r="AJ413" t="inlineStr">
        <is>
          <t>C</t>
        </is>
      </c>
      <c r="AK413"/>
      <c r="AL413" t="inlineStr">
        <is>
          <t>和品牌无关</t>
        </is>
      </c>
      <c r="AM413" t="inlineStr">
        <is>
          <t>GOLD 人工标注对齐.xlsx</t>
        </is>
      </c>
    </row>
    <row r="414" ht="25.5" customHeight="1">
      <c r="A414" t="inlineStr">
        <is>
          <t>MJ-RAW-0322_GOLD_人工标注_人工</t>
        </is>
      </c>
      <c r="B414" t="inlineStr">
        <is>
          <t>酒量不好的人的福利来啦</t>
        </is>
      </c>
      <c r="C414"/>
      <c r="D414"/>
      <c r="E414"/>
      <c r="F414"/>
      <c r="G414"/>
      <c r="H414"/>
      <c r="I414"/>
      <c r="J414"/>
      <c r="K414"/>
      <c r="L414"/>
      <c r="M414"/>
      <c r="N414"/>
      <c r="O414"/>
      <c r="P414"/>
      <c r="Q414"/>
      <c r="R414"/>
      <c r="S414"/>
      <c r="T414" t="inlineStr">
        <is>
          <t>人工标注</t>
        </is>
      </c>
      <c r="U414"/>
      <c r="V414"/>
      <c r="W414"/>
      <c r="X414" t="inlineStr">
        <is>
          <t>MJ-RAW-0322</t>
        </is>
      </c>
      <c r="Y414"/>
      <c r="Z414"/>
      <c r="AA414"/>
      <c r="AB414"/>
      <c r="AC414"/>
      <c r="AD414"/>
      <c r="AE414"/>
      <c r="AF414" t="inlineStr">
        <is>
          <t>人工</t>
        </is>
      </c>
      <c r="AG414" t="inlineStr">
        <is>
          <t>GOLD</t>
        </is>
      </c>
      <c r="AH414" t="inlineStr">
        <is>
          <t>BRAND</t>
        </is>
      </c>
      <c r="AI414" t="inlineStr">
        <is>
          <t>UNKNOWN</t>
        </is>
      </c>
      <c r="AJ414" t="inlineStr">
        <is>
          <t>B</t>
        </is>
      </c>
      <c r="AK414"/>
      <c r="AL414"/>
      <c r="AM414" t="inlineStr">
        <is>
          <t>GOLD 人工标注对齐.xlsx</t>
        </is>
      </c>
    </row>
    <row r="415" ht="25.5" customHeight="1">
      <c r="A415" t="inlineStr">
        <is>
          <t>XHS-SOC-0243_GOLD_人工标注_人工</t>
        </is>
      </c>
      <c r="B415" t="inlineStr">
        <is>
          <t>昆竹，里面最贵的那个青梅酒的品，最柔和</t>
        </is>
      </c>
      <c r="C415"/>
      <c r="D415"/>
      <c r="E415"/>
      <c r="F415"/>
      <c r="G415"/>
      <c r="H415"/>
      <c r="I415"/>
      <c r="J415"/>
      <c r="K415"/>
      <c r="L415"/>
      <c r="M415"/>
      <c r="N415"/>
      <c r="O415"/>
      <c r="P415"/>
      <c r="Q415"/>
      <c r="R415"/>
      <c r="S415"/>
      <c r="T415" t="inlineStr">
        <is>
          <t>人工标注</t>
        </is>
      </c>
      <c r="U415"/>
      <c r="V415"/>
      <c r="W415"/>
      <c r="X415" t="inlineStr">
        <is>
          <t>XHS-SOC-0243</t>
        </is>
      </c>
      <c r="Y415"/>
      <c r="Z415"/>
      <c r="AA415"/>
      <c r="AB415"/>
      <c r="AC415"/>
      <c r="AD415"/>
      <c r="AE415"/>
      <c r="AF415" t="inlineStr">
        <is>
          <t>人工</t>
        </is>
      </c>
      <c r="AG415" t="inlineStr">
        <is>
          <t>GOLD</t>
        </is>
      </c>
      <c r="AH415" t="inlineStr">
        <is>
          <t>COMPETITOR</t>
        </is>
      </c>
      <c r="AI415" t="inlineStr">
        <is>
          <t>UNKNOWN</t>
        </is>
      </c>
      <c r="AJ415" t="inlineStr">
        <is>
          <t>B</t>
        </is>
      </c>
      <c r="AK415"/>
      <c r="AL415"/>
      <c r="AM415" t="inlineStr">
        <is>
          <t>GOLD 人工标注对齐.xlsx</t>
        </is>
      </c>
    </row>
    <row r="416" ht="25.5" customHeight="1">
      <c r="A416" t="inlineStr">
        <is>
          <t>TB-20260809-018_GOLD_人工标注_人工</t>
        </is>
      </c>
      <c r="B416" t="inlineStr">
        <is>
          <t>好喝爱喝经常来买。喜欢茉莉新口味和荔枝味。这俩是最爱</t>
        </is>
      </c>
      <c r="C416"/>
      <c r="D416"/>
      <c r="E416"/>
      <c r="F416"/>
      <c r="G416"/>
      <c r="H416"/>
      <c r="I416"/>
      <c r="J416"/>
      <c r="K416"/>
      <c r="L416"/>
      <c r="M416"/>
      <c r="N416"/>
      <c r="O416"/>
      <c r="P416"/>
      <c r="Q416"/>
      <c r="R416"/>
      <c r="S416"/>
      <c r="T416" t="inlineStr">
        <is>
          <t>人工标注</t>
        </is>
      </c>
      <c r="U416"/>
      <c r="V416"/>
      <c r="W416"/>
      <c r="X416" t="inlineStr">
        <is>
          <t>TB-20260809-018</t>
        </is>
      </c>
      <c r="Y416"/>
      <c r="Z416"/>
      <c r="AA416"/>
      <c r="AB416"/>
      <c r="AC416"/>
      <c r="AD416"/>
      <c r="AE416"/>
      <c r="AF416" t="inlineStr">
        <is>
          <t>人工</t>
        </is>
      </c>
      <c r="AG416" t="inlineStr">
        <is>
          <t>GOLD</t>
        </is>
      </c>
      <c r="AH416" t="inlineStr">
        <is>
          <t>COMPETITOR</t>
        </is>
      </c>
      <c r="AI416" t="inlineStr">
        <is>
          <t>ACTUAL_USE</t>
        </is>
      </c>
      <c r="AJ416" t="inlineStr">
        <is>
          <t>B</t>
        </is>
      </c>
      <c r="AK416"/>
      <c r="AL416"/>
      <c r="AM416" t="inlineStr">
        <is>
          <t>GOLD 人工标注对齐.xlsx</t>
        </is>
      </c>
    </row>
    <row r="417" ht="25.5" customHeight="1">
      <c r="A417" t="inlineStr">
        <is>
          <t>TB-20260809-033_GOLD_人工标注_人工</t>
        </is>
      </c>
      <c r="B417" t="inlineStr">
        <is>
          <t>口感不错，加冰更好，夏天来上一杯，比啤酒更爽</t>
        </is>
      </c>
      <c r="C417"/>
      <c r="D417"/>
      <c r="E417"/>
      <c r="F417"/>
      <c r="G417"/>
      <c r="H417"/>
      <c r="I417"/>
      <c r="J417"/>
      <c r="K417"/>
      <c r="L417"/>
      <c r="M417"/>
      <c r="N417"/>
      <c r="O417"/>
      <c r="P417"/>
      <c r="Q417"/>
      <c r="R417"/>
      <c r="S417"/>
      <c r="T417" t="inlineStr">
        <is>
          <t>人工标注</t>
        </is>
      </c>
      <c r="U417"/>
      <c r="V417"/>
      <c r="W417"/>
      <c r="X417" t="inlineStr">
        <is>
          <t>TB-20260809-033</t>
        </is>
      </c>
      <c r="Y417"/>
      <c r="Z417"/>
      <c r="AA417"/>
      <c r="AB417"/>
      <c r="AC417"/>
      <c r="AD417"/>
      <c r="AE417"/>
      <c r="AF417" t="inlineStr">
        <is>
          <t>人工</t>
        </is>
      </c>
      <c r="AG417" t="inlineStr">
        <is>
          <t>GOLD</t>
        </is>
      </c>
      <c r="AH417" t="inlineStr">
        <is>
          <t>PRODUCT</t>
        </is>
      </c>
      <c r="AI417" t="inlineStr">
        <is>
          <t>ACTUAL_USE</t>
        </is>
      </c>
      <c r="AJ417" t="inlineStr">
        <is>
          <t>B</t>
        </is>
      </c>
      <c r="AK417"/>
      <c r="AL417"/>
      <c r="AM417" t="inlineStr">
        <is>
          <t>GOLD 人工标注对齐.xlsx</t>
        </is>
      </c>
    </row>
    <row r="418" ht="25.5" customHeight="1">
      <c r="A418" t="inlineStr">
        <is>
          <t>XHS-SOC-0184_GOLD_人工标注_人工</t>
        </is>
      </c>
      <c r="B418" t="inlineStr">
        <is>
          <t>打开闻到味道我以为是藿香正气水。。。</t>
        </is>
      </c>
      <c r="C418"/>
      <c r="D418"/>
      <c r="E418"/>
      <c r="F418"/>
      <c r="G418"/>
      <c r="H418"/>
      <c r="I418"/>
      <c r="J418"/>
      <c r="K418"/>
      <c r="L418"/>
      <c r="M418"/>
      <c r="N418"/>
      <c r="O418"/>
      <c r="P418"/>
      <c r="Q418"/>
      <c r="R418"/>
      <c r="S418"/>
      <c r="T418" t="inlineStr">
        <is>
          <t>人工标注</t>
        </is>
      </c>
      <c r="U418"/>
      <c r="V418"/>
      <c r="W418"/>
      <c r="X418" t="inlineStr">
        <is>
          <t>XHS-SOC-0184</t>
        </is>
      </c>
      <c r="Y418"/>
      <c r="Z418"/>
      <c r="AA418"/>
      <c r="AB418"/>
      <c r="AC418"/>
      <c r="AD418"/>
      <c r="AE418"/>
      <c r="AF418" t="inlineStr">
        <is>
          <t>人工</t>
        </is>
      </c>
      <c r="AG418" t="inlineStr">
        <is>
          <t>GOLD</t>
        </is>
      </c>
      <c r="AH418" t="inlineStr">
        <is>
          <t>PRODUCT</t>
        </is>
      </c>
      <c r="AI418" t="inlineStr">
        <is>
          <t>ACTUAL_USE</t>
        </is>
      </c>
      <c r="AJ418" t="inlineStr">
        <is>
          <t>B</t>
        </is>
      </c>
      <c r="AK418"/>
      <c r="AL418"/>
      <c r="AM418" t="inlineStr">
        <is>
          <t>GOLD 人工标注对齐.xlsx</t>
        </is>
      </c>
    </row>
    <row r="419" ht="25.5" customHeight="1">
      <c r="A419" t="inlineStr">
        <is>
          <t>TB-20260809-024_GOLD_人工标注_人工</t>
        </is>
      </c>
      <c r="B419" t="inlineStr">
        <is>
          <t>挺好的，性价比很高，酸甜口味，很容易接受，被这干净的配料表圈粉了！只有青梅、白酒、糖和蜂蜜，没乱七八糟的添加。13度加冰块喝，酒味淡了，满嘴都是梅子酸甜，像喝冰镇果汁。广东30多年的老牌子，二十几块钱一瓶，性价比绝了，必须囤！</t>
        </is>
      </c>
      <c r="C419"/>
      <c r="D419"/>
      <c r="E419"/>
      <c r="F419"/>
      <c r="G419"/>
      <c r="H419"/>
      <c r="I419"/>
      <c r="J419"/>
      <c r="K419"/>
      <c r="L419"/>
      <c r="M419"/>
      <c r="N419"/>
      <c r="O419"/>
      <c r="P419"/>
      <c r="Q419"/>
      <c r="R419"/>
      <c r="S419"/>
      <c r="T419" t="inlineStr">
        <is>
          <t>人工标注</t>
        </is>
      </c>
      <c r="U419"/>
      <c r="V419"/>
      <c r="W419"/>
      <c r="X419" t="inlineStr">
        <is>
          <t>TB-20260809-024</t>
        </is>
      </c>
      <c r="Y419"/>
      <c r="Z419"/>
      <c r="AA419"/>
      <c r="AB419"/>
      <c r="AC419"/>
      <c r="AD419"/>
      <c r="AE419"/>
      <c r="AF419" t="inlineStr">
        <is>
          <t>人工</t>
        </is>
      </c>
      <c r="AG419" t="inlineStr">
        <is>
          <t>GOLD</t>
        </is>
      </c>
      <c r="AH419" t="inlineStr">
        <is>
          <t>BRAND</t>
        </is>
      </c>
      <c r="AI419" t="inlineStr">
        <is>
          <t>ACTUAL_USE</t>
        </is>
      </c>
      <c r="AJ419" t="inlineStr">
        <is>
          <t>A</t>
        </is>
      </c>
      <c r="AK419"/>
      <c r="AL419" t="inlineStr">
        <is>
          <t>brand与product</t>
        </is>
      </c>
      <c r="AM419" t="inlineStr">
        <is>
          <t>GOLD 人工标注对齐.xlsx</t>
        </is>
      </c>
    </row>
    <row r="420" ht="25.5" customHeight="1">
      <c r="A420" t="inlineStr">
        <is>
          <t>JD-RAW-0102_GOLD_人工标注_人工</t>
        </is>
      </c>
      <c r="B420" t="inlineStr">
        <is>
          <t>口感不错，加冰更好，夏天来上一杯，比啤酒更爽</t>
        </is>
      </c>
      <c r="C420"/>
      <c r="D420"/>
      <c r="E420"/>
      <c r="F420"/>
      <c r="G420"/>
      <c r="H420"/>
      <c r="I420"/>
      <c r="J420"/>
      <c r="K420"/>
      <c r="L420"/>
      <c r="M420"/>
      <c r="N420"/>
      <c r="O420"/>
      <c r="P420"/>
      <c r="Q420"/>
      <c r="R420"/>
      <c r="S420"/>
      <c r="T420" t="inlineStr">
        <is>
          <t>人工标注</t>
        </is>
      </c>
      <c r="U420"/>
      <c r="V420"/>
      <c r="W420"/>
      <c r="X420" t="inlineStr">
        <is>
          <t>JD-RAW-0102</t>
        </is>
      </c>
      <c r="Y420"/>
      <c r="Z420"/>
      <c r="AA420"/>
      <c r="AB420"/>
      <c r="AC420"/>
      <c r="AD420"/>
      <c r="AE420"/>
      <c r="AF420" t="inlineStr">
        <is>
          <t>人工</t>
        </is>
      </c>
      <c r="AG420" t="inlineStr">
        <is>
          <t>GOLD</t>
        </is>
      </c>
      <c r="AH420" t="inlineStr">
        <is>
          <t>PRODUCT</t>
        </is>
      </c>
      <c r="AI420" t="inlineStr">
        <is>
          <t>ACTUAL_USE</t>
        </is>
      </c>
      <c r="AJ420" t="inlineStr">
        <is>
          <t>B</t>
        </is>
      </c>
      <c r="AK420"/>
      <c r="AL420"/>
      <c r="AM420" t="inlineStr">
        <is>
          <t>GOLD 人工标注对齐.xlsx</t>
        </is>
      </c>
    </row>
    <row r="421" ht="25.5" customHeight="1">
      <c r="A421" t="inlineStr">
        <is>
          <t>MJ-RAW-0006_GOLD_attempt-0002_AI_矫正前</t>
        </is>
      </c>
      <c r="B421" t="inlineStr">
        <is>
          <t>“梅见，兴冲冲的下单结果满载失望。这玩意入口就像是酒精跟青梅汁勾兑的一样，酒精是酒精青梅汁是青梅汁，啥也不是。"</t>
        </is>
      </c>
      <c r="C421"/>
      <c r="D421"/>
      <c r="E421"/>
      <c r="F421"/>
      <c r="G421"/>
      <c r="H421"/>
      <c r="I421"/>
      <c r="J421"/>
      <c r="K421"/>
      <c r="L421"/>
      <c r="M421"/>
      <c r="N421"/>
      <c r="O421"/>
      <c r="P421"/>
      <c r="Q421"/>
      <c r="R421"/>
      <c r="S421">
        <v>0.9</v>
      </c>
      <c r="T421" t="inlineStr">
        <is>
          <t>attempt-0002</t>
        </is>
      </c>
      <c r="U421"/>
      <c r="V421"/>
      <c r="W421"/>
      <c r="X421" t="inlineStr">
        <is>
          <t>MJ-RAW-0006</t>
        </is>
      </c>
      <c r="Y421"/>
      <c r="Z421"/>
      <c r="AA421"/>
      <c r="AB421"/>
      <c r="AC421"/>
      <c r="AD421"/>
      <c r="AE421"/>
      <c r="AF421" t="inlineStr">
        <is>
          <t>AI_矫正前</t>
        </is>
      </c>
      <c r="AG421" t="inlineStr">
        <is>
          <t>GOLD</t>
        </is>
      </c>
      <c r="AH421" t="inlineStr">
        <is>
          <t>PRODUCT</t>
        </is>
      </c>
      <c r="AI421" t="inlineStr">
        <is>
          <t>ACTUAL_USE</t>
        </is>
      </c>
      <c r="AJ421" t="inlineStr">
        <is>
          <t>A</t>
        </is>
      </c>
      <c r="AK421" t="inlineStr">
        <is>
          <t>核心对象：梅见入口后的融合口感；体验：明确描述下单后实际入口感受；证据强度：购买结果口感依据与失望判断完整。</t>
        </is>
      </c>
      <c r="AL421"/>
      <c r="AM421" t="inlineStr">
        <is>
          <t>AI_GOLD_矫正前_50.xlsx</t>
        </is>
      </c>
    </row>
    <row r="422" ht="25.5" customHeight="1">
      <c r="A422" t="inlineStr">
        <is>
          <t>MJ-RAW-0009_GOLD_attempt-0002_AI_矫正前</t>
        </is>
      </c>
      <c r="B422" t="inlineStr">
        <is>
          <t>就现在我正在喝这个，当饮料喝了，平时都喝53五粮液和58度金门高粱酒的，这玩意喝起来口感就是个饮料，已经两瓶喝完了，酸酸的，没酒味，兑点伏特加做成40多度应该味道不错</t>
        </is>
      </c>
      <c r="C422"/>
      <c r="D422"/>
      <c r="E422"/>
      <c r="F422"/>
      <c r="G422"/>
      <c r="H422"/>
      <c r="I422"/>
      <c r="J422"/>
      <c r="K422"/>
      <c r="L422"/>
      <c r="M422"/>
      <c r="N422"/>
      <c r="O422"/>
      <c r="P422"/>
      <c r="Q422"/>
      <c r="R422"/>
      <c r="S422">
        <v>0.9</v>
      </c>
      <c r="T422" t="inlineStr">
        <is>
          <t>attempt-0002</t>
        </is>
      </c>
      <c r="U422"/>
      <c r="V422"/>
      <c r="W422"/>
      <c r="X422" t="inlineStr">
        <is>
          <t>MJ-RAW-0009</t>
        </is>
      </c>
      <c r="Y422"/>
      <c r="Z422"/>
      <c r="AA422"/>
      <c r="AB422"/>
      <c r="AC422"/>
      <c r="AD422"/>
      <c r="AE422"/>
      <c r="AF422" t="inlineStr">
        <is>
          <t>AI_矫正前</t>
        </is>
      </c>
      <c r="AG422" t="inlineStr">
        <is>
          <t>GOLD</t>
        </is>
      </c>
      <c r="AH422" t="inlineStr">
        <is>
          <t>PRODUCT</t>
        </is>
      </c>
      <c r="AI422" t="inlineStr">
        <is>
          <t>ACTUAL_USE</t>
        </is>
      </c>
      <c r="AJ422" t="inlineStr">
        <is>
          <t>A</t>
        </is>
      </c>
      <c r="AK422" t="inlineStr">
        <is>
          <t>核心对象：正在饮用的梅见口感；体验：明确正在喝且已经喝完两瓶；证据强度：饮用量口感对照与调饮设想均具体。</t>
        </is>
      </c>
      <c r="AL422"/>
      <c r="AM422" t="inlineStr">
        <is>
          <t>AI_GOLD_矫正前_50.xlsx</t>
        </is>
      </c>
    </row>
    <row r="423" ht="25.5" customHeight="1">
      <c r="A423" t="inlineStr">
        <is>
          <t>MJ-RAW-0011_GOLD_attempt-0002_AI_矫正前</t>
        </is>
      </c>
      <c r="B423" t="inlineStr">
        <is>
          <t>有点像喝止咳糖浆加酒</t>
        </is>
      </c>
      <c r="C423"/>
      <c r="D423"/>
      <c r="E423"/>
      <c r="F423"/>
      <c r="G423"/>
      <c r="H423"/>
      <c r="I423"/>
      <c r="J423"/>
      <c r="K423"/>
      <c r="L423"/>
      <c r="M423"/>
      <c r="N423"/>
      <c r="O423"/>
      <c r="P423"/>
      <c r="Q423"/>
      <c r="R423"/>
      <c r="S423">
        <v>0.9</v>
      </c>
      <c r="T423" t="inlineStr">
        <is>
          <t>attempt-0002</t>
        </is>
      </c>
      <c r="U423"/>
      <c r="V423"/>
      <c r="W423"/>
      <c r="X423" t="inlineStr">
        <is>
          <t>MJ-RAW-0011</t>
        </is>
      </c>
      <c r="Y423"/>
      <c r="Z423"/>
      <c r="AA423"/>
      <c r="AB423"/>
      <c r="AC423"/>
      <c r="AD423"/>
      <c r="AE423"/>
      <c r="AF423" t="inlineStr">
        <is>
          <t>AI_矫正前</t>
        </is>
      </c>
      <c r="AG423" t="inlineStr">
        <is>
          <t>GOLD</t>
        </is>
      </c>
      <c r="AH423" t="inlineStr">
        <is>
          <t>PRODUCT</t>
        </is>
      </c>
      <c r="AI423" t="inlineStr">
        <is>
          <t>ACTUAL_USE</t>
        </is>
      </c>
      <c r="AJ423" t="inlineStr">
        <is>
          <t>B</t>
        </is>
      </c>
      <c r="AK423" t="inlineStr">
        <is>
          <t>核心对象：酒的入口味道；体验：直接用止咳糖浆加酒形容口感；证据强度：判断明确但缺少具体饮用情境。</t>
        </is>
      </c>
      <c r="AL423"/>
      <c r="AM423" t="inlineStr">
        <is>
          <t>AI_GOLD_矫正前_50.xlsx</t>
        </is>
      </c>
    </row>
    <row r="424" ht="25.5" customHeight="1">
      <c r="A424" t="inlineStr">
        <is>
          <t>MJ-RAW-0023_GOLD_attempt-0002_AI_矫正前</t>
        </is>
      </c>
      <c r="B424" t="inlineStr">
        <is>
          <t>味道酸甜平衡：很好喝口感顺滑度：好喝酒精度数：刚刚好香气浓郁度：香</t>
        </is>
      </c>
      <c r="C424"/>
      <c r="D424"/>
      <c r="E424"/>
      <c r="F424"/>
      <c r="G424"/>
      <c r="H424"/>
      <c r="I424"/>
      <c r="J424"/>
      <c r="K424"/>
      <c r="L424"/>
      <c r="M424"/>
      <c r="N424"/>
      <c r="O424"/>
      <c r="P424"/>
      <c r="Q424"/>
      <c r="R424"/>
      <c r="S424">
        <v>0.9</v>
      </c>
      <c r="T424" t="inlineStr">
        <is>
          <t>attempt-0002</t>
        </is>
      </c>
      <c r="U424"/>
      <c r="V424"/>
      <c r="W424"/>
      <c r="X424" t="inlineStr">
        <is>
          <t>MJ-RAW-0023</t>
        </is>
      </c>
      <c r="Y424"/>
      <c r="Z424"/>
      <c r="AA424"/>
      <c r="AB424"/>
      <c r="AC424"/>
      <c r="AD424"/>
      <c r="AE424"/>
      <c r="AF424" t="inlineStr">
        <is>
          <t>AI_矫正前</t>
        </is>
      </c>
      <c r="AG424" t="inlineStr">
        <is>
          <t>GOLD</t>
        </is>
      </c>
      <c r="AH424" t="inlineStr">
        <is>
          <t>PRODUCT</t>
        </is>
      </c>
      <c r="AI424" t="inlineStr">
        <is>
          <t>ACTUAL_USE</t>
        </is>
      </c>
      <c r="AJ424" t="inlineStr">
        <is>
          <t>B</t>
        </is>
      </c>
      <c r="AK424" t="inlineStr">
        <is>
          <t>核心对象：酒的酸甜顺滑酒精感和香气；体验：直接给出多项口感判断；证据强度：判断明确但多个形容词未提供具体情境或依据。</t>
        </is>
      </c>
      <c r="AL424"/>
      <c r="AM424" t="inlineStr">
        <is>
          <t>AI_GOLD_矫正前_50.xlsx</t>
        </is>
      </c>
    </row>
    <row r="425" ht="25.5" customHeight="1">
      <c r="A425" t="inlineStr">
        <is>
          <t>MJ-RAW-0025_GOLD_attempt-0002_AI_矫正前</t>
        </is>
      </c>
      <c r="B425" t="inlineStr">
        <is>
          <t>嗯，感觉香味还是比较清淡的，配饮料没那么好喝，本身就比较清淡了，因为酒精的酒精度也不是很大，就是喝着玩都可以。加冰以后口感很好。</t>
        </is>
      </c>
      <c r="C425"/>
      <c r="D425"/>
      <c r="E425"/>
      <c r="F425"/>
      <c r="G425"/>
      <c r="H425"/>
      <c r="I425"/>
      <c r="J425"/>
      <c r="K425"/>
      <c r="L425"/>
      <c r="M425"/>
      <c r="N425"/>
      <c r="O425"/>
      <c r="P425"/>
      <c r="Q425"/>
      <c r="R425"/>
      <c r="S425">
        <v>0.9</v>
      </c>
      <c r="T425" t="inlineStr">
        <is>
          <t>attempt-0002</t>
        </is>
      </c>
      <c r="U425"/>
      <c r="V425"/>
      <c r="W425"/>
      <c r="X425" t="inlineStr">
        <is>
          <t>MJ-RAW-0025</t>
        </is>
      </c>
      <c r="Y425"/>
      <c r="Z425"/>
      <c r="AA425"/>
      <c r="AB425"/>
      <c r="AC425"/>
      <c r="AD425"/>
      <c r="AE425"/>
      <c r="AF425" t="inlineStr">
        <is>
          <t>AI_矫正前</t>
        </is>
      </c>
      <c r="AG425" t="inlineStr">
        <is>
          <t>GOLD</t>
        </is>
      </c>
      <c r="AH425" t="inlineStr">
        <is>
          <t>PRODUCT</t>
        </is>
      </c>
      <c r="AI425" t="inlineStr">
        <is>
          <t>ACTUAL_USE</t>
        </is>
      </c>
      <c r="AJ425" t="inlineStr">
        <is>
          <t>A</t>
        </is>
      </c>
      <c r="AK425" t="inlineStr">
        <is>
          <t>核心对象：酒在原饮和调饮下的口感；体验：明确比较配饮料与加冰后的效果；证据强度：不同饮法具体且结果判断可复核。</t>
        </is>
      </c>
      <c r="AL425"/>
      <c r="AM425" t="inlineStr">
        <is>
          <t>AI_GOLD_矫正前_50.xlsx</t>
        </is>
      </c>
    </row>
    <row r="426" ht="25.5" customHeight="1">
      <c r="A426" t="inlineStr">
        <is>
          <t>MJ-RAW-0038_GOLD_attempt-0002_AI_矫正前</t>
        </is>
      </c>
      <c r="B426" t="inlineStr">
        <is>
          <t>第一次买8%vol.下次再买高一点浓度的。</t>
        </is>
      </c>
      <c r="C426"/>
      <c r="D426"/>
      <c r="E426"/>
      <c r="F426"/>
      <c r="G426"/>
      <c r="H426"/>
      <c r="I426"/>
      <c r="J426"/>
      <c r="K426"/>
      <c r="L426"/>
      <c r="M426"/>
      <c r="N426"/>
      <c r="O426"/>
      <c r="P426"/>
      <c r="Q426"/>
      <c r="R426"/>
      <c r="S426">
        <v>0.9</v>
      </c>
      <c r="T426" t="inlineStr">
        <is>
          <t>attempt-0002</t>
        </is>
      </c>
      <c r="U426"/>
      <c r="V426"/>
      <c r="W426"/>
      <c r="X426" t="inlineStr">
        <is>
          <t>MJ-RAW-0038</t>
        </is>
      </c>
      <c r="Y426"/>
      <c r="Z426"/>
      <c r="AA426"/>
      <c r="AB426"/>
      <c r="AC426"/>
      <c r="AD426"/>
      <c r="AE426"/>
      <c r="AF426" t="inlineStr">
        <is>
          <t>AI_矫正前</t>
        </is>
      </c>
      <c r="AG426" t="inlineStr">
        <is>
          <t>GOLD</t>
        </is>
      </c>
      <c r="AH426" t="inlineStr">
        <is>
          <t>PRODUCT</t>
        </is>
      </c>
      <c r="AI426" t="inlineStr">
        <is>
          <t>PURCHASE_ONLY</t>
        </is>
      </c>
      <c r="AJ426" t="inlineStr">
        <is>
          <t>B</t>
        </is>
      </c>
      <c r="AK426" t="inlineStr">
        <is>
          <t>核心对象：产品酒精浓度选择；体验：明确已购买低浓度版本但未说明饮用；证据强度：购买事实和下次选择明确但缺少使用依据。</t>
        </is>
      </c>
      <c r="AL426"/>
      <c r="AM426" t="inlineStr">
        <is>
          <t>AI_GOLD_矫正前_50.xlsx</t>
        </is>
      </c>
    </row>
    <row r="427" ht="25.5" customHeight="1">
      <c r="A427" t="inlineStr">
        <is>
          <t>MJ-RAW-0047_GOLD_attempt-0002_AI_矫正前</t>
        </is>
      </c>
      <c r="B427" t="inlineStr">
        <is>
          <t>避雷:乌龙茶+梅见脉动+梅见</t>
        </is>
      </c>
      <c r="C427"/>
      <c r="D427"/>
      <c r="E427"/>
      <c r="F427"/>
      <c r="G427"/>
      <c r="H427"/>
      <c r="I427"/>
      <c r="J427"/>
      <c r="K427"/>
      <c r="L427"/>
      <c r="M427"/>
      <c r="N427"/>
      <c r="O427"/>
      <c r="P427"/>
      <c r="Q427"/>
      <c r="R427"/>
      <c r="S427">
        <v>0.7</v>
      </c>
      <c r="T427" t="inlineStr">
        <is>
          <t>attempt-0002</t>
        </is>
      </c>
      <c r="U427"/>
      <c r="V427"/>
      <c r="W427"/>
      <c r="X427" t="inlineStr">
        <is>
          <t>MJ-RAW-0047</t>
        </is>
      </c>
      <c r="Y427"/>
      <c r="Z427"/>
      <c r="AA427"/>
      <c r="AB427"/>
      <c r="AC427"/>
      <c r="AD427"/>
      <c r="AE427"/>
      <c r="AF427" t="inlineStr">
        <is>
          <t>AI_矫正前</t>
        </is>
      </c>
      <c r="AG427" t="inlineStr">
        <is>
          <t>GOLD</t>
        </is>
      </c>
      <c r="AH427" t="inlineStr">
        <is>
          <t>PRODUCT</t>
        </is>
      </c>
      <c r="AI427" t="inlineStr">
        <is>
          <t>ACTUAL_USE</t>
        </is>
      </c>
      <c r="AJ427" t="inlineStr">
        <is>
          <t>A</t>
        </is>
      </c>
      <c r="AK427" t="inlineStr">
        <is>
          <t>核心对象：乌龙茶与两种饮料加入梅见的调饮组合；体验：避雷表述指向对该组合的负面结果；证据强度：配料组合具体且负面判断明确。</t>
        </is>
      </c>
      <c r="AL427"/>
      <c r="AM427" t="inlineStr">
        <is>
          <t>AI_GOLD_矫正前_50.xlsx</t>
        </is>
      </c>
    </row>
    <row r="428" ht="25.5" customHeight="1">
      <c r="A428" t="inlineStr">
        <is>
          <t>XHS-SOC-0020_GOLD_attempt-0002_AI_矫正前</t>
        </is>
      </c>
      <c r="B428" t="inlineStr">
        <is>
          <t>自己泡的梅酒、国外的梅酒、梅见都试过，梅见我的口粮酒了。入口很顺，高粱酒的香味也够</t>
        </is>
      </c>
      <c r="C428"/>
      <c r="D428"/>
      <c r="E428"/>
      <c r="F428"/>
      <c r="G428"/>
      <c r="H428"/>
      <c r="I428"/>
      <c r="J428"/>
      <c r="K428"/>
      <c r="L428"/>
      <c r="M428"/>
      <c r="N428"/>
      <c r="O428"/>
      <c r="P428"/>
      <c r="Q428"/>
      <c r="R428"/>
      <c r="S428">
        <v>0.9</v>
      </c>
      <c r="T428" t="inlineStr">
        <is>
          <t>attempt-0002</t>
        </is>
      </c>
      <c r="U428"/>
      <c r="V428"/>
      <c r="W428"/>
      <c r="X428" t="inlineStr">
        <is>
          <t>XHS-SOC-0020</t>
        </is>
      </c>
      <c r="Y428"/>
      <c r="Z428"/>
      <c r="AA428"/>
      <c r="AB428"/>
      <c r="AC428"/>
      <c r="AD428"/>
      <c r="AE428"/>
      <c r="AF428" t="inlineStr">
        <is>
          <t>AI_矫正前</t>
        </is>
      </c>
      <c r="AG428" t="inlineStr">
        <is>
          <t>GOLD</t>
        </is>
      </c>
      <c r="AH428" t="inlineStr">
        <is>
          <t>COMPETITOR</t>
        </is>
      </c>
      <c r="AI428" t="inlineStr">
        <is>
          <t>ACTUAL_USE</t>
        </is>
      </c>
      <c r="AJ428" t="inlineStr">
        <is>
          <t>A</t>
        </is>
      </c>
      <c r="AK428" t="inlineStr">
        <is>
          <t>核心对象：多类梅酒与梅见的比较选择；体验：明确表示都试过并把梅见作为常饮酒；证据强度：比较范围选择结果和口感依据均完整。</t>
        </is>
      </c>
      <c r="AL428"/>
      <c r="AM428" t="inlineStr">
        <is>
          <t>AI_GOLD_矫正前_50.xlsx</t>
        </is>
      </c>
    </row>
    <row r="429" ht="25.5" customHeight="1">
      <c r="A429" t="inlineStr">
        <is>
          <t>XHS-SOC-0039_GOLD_attempt-0002_AI_矫正前</t>
        </is>
      </c>
      <c r="B429" t="inlineStr">
        <is>
          <t>茉莉花茶，旺旺果粒多，好喝！！！！</t>
        </is>
      </c>
      <c r="C429"/>
      <c r="D429"/>
      <c r="E429"/>
      <c r="F429"/>
      <c r="G429"/>
      <c r="H429"/>
      <c r="I429"/>
      <c r="J429"/>
      <c r="K429"/>
      <c r="L429"/>
      <c r="M429"/>
      <c r="N429"/>
      <c r="O429"/>
      <c r="P429"/>
      <c r="Q429"/>
      <c r="R429"/>
      <c r="S429">
        <v>0.7</v>
      </c>
      <c r="T429" t="inlineStr">
        <is>
          <t>attempt-0002</t>
        </is>
      </c>
      <c r="U429"/>
      <c r="V429"/>
      <c r="W429"/>
      <c r="X429" t="inlineStr">
        <is>
          <t>XHS-SOC-0039</t>
        </is>
      </c>
      <c r="Y429"/>
      <c r="Z429"/>
      <c r="AA429"/>
      <c r="AB429"/>
      <c r="AC429"/>
      <c r="AD429"/>
      <c r="AE429"/>
      <c r="AF429" t="inlineStr">
        <is>
          <t>AI_矫正前</t>
        </is>
      </c>
      <c r="AG429" t="inlineStr">
        <is>
          <t>GOLD</t>
        </is>
      </c>
      <c r="AH429" t="inlineStr">
        <is>
          <t>PRODUCT</t>
        </is>
      </c>
      <c r="AI429" t="inlineStr">
        <is>
          <t>ACTUAL_USE</t>
        </is>
      </c>
      <c r="AJ429" t="inlineStr">
        <is>
          <t>B</t>
        </is>
      </c>
      <c r="AK429" t="inlineStr">
        <is>
          <t>核心对象：茉莉花茶与果粒饮料组合的口感；体验：直接判断该组合好喝；证据强度：对象和判断明确但缺少调制情境与细节。</t>
        </is>
      </c>
      <c r="AL429"/>
      <c r="AM429" t="inlineStr">
        <is>
          <t>AI_GOLD_矫正前_50.xlsx</t>
        </is>
      </c>
    </row>
    <row r="430" ht="25.5" customHeight="1">
      <c r="A430" t="inlineStr">
        <is>
          <t>JD-20260809-056_GOLD_attempt-0002_AI_矫正前</t>
        </is>
      </c>
      <c r="B430" t="inlineStr">
        <is>
          <t>这个酒怎么说呢，平时没事的时候喝还是不错的，就是觉得还是有点甜，应该小酒量的人喝还是很不错的，可以买来偶尔喝一喝这样子的</t>
        </is>
      </c>
      <c r="C430"/>
      <c r="D430"/>
      <c r="E430"/>
      <c r="F430"/>
      <c r="G430"/>
      <c r="H430"/>
      <c r="I430"/>
      <c r="J430"/>
      <c r="K430"/>
      <c r="L430"/>
      <c r="M430"/>
      <c r="N430"/>
      <c r="O430"/>
      <c r="P430"/>
      <c r="Q430"/>
      <c r="R430"/>
      <c r="S430">
        <v>0.9</v>
      </c>
      <c r="T430" t="inlineStr">
        <is>
          <t>attempt-0002</t>
        </is>
      </c>
      <c r="U430"/>
      <c r="V430"/>
      <c r="W430"/>
      <c r="X430" t="inlineStr">
        <is>
          <t>JD-20260809-056</t>
        </is>
      </c>
      <c r="Y430"/>
      <c r="Z430"/>
      <c r="AA430"/>
      <c r="AB430"/>
      <c r="AC430"/>
      <c r="AD430"/>
      <c r="AE430"/>
      <c r="AF430" t="inlineStr">
        <is>
          <t>AI_矫正前</t>
        </is>
      </c>
      <c r="AG430" t="inlineStr">
        <is>
          <t>GOLD</t>
        </is>
      </c>
      <c r="AH430" t="inlineStr">
        <is>
          <t>PRODUCT</t>
        </is>
      </c>
      <c r="AI430" t="inlineStr">
        <is>
          <t>ACTUAL_USE</t>
        </is>
      </c>
      <c r="AJ430" t="inlineStr">
        <is>
          <t>A</t>
        </is>
      </c>
      <c r="AK430" t="inlineStr">
        <is>
          <t>核心对象：酒的甜度与日常适饮性；体验：明确表达平时饮用时觉得偏甜；证据强度：饮用情境具体且判断与建议完整。</t>
        </is>
      </c>
      <c r="AL430"/>
      <c r="AM430" t="inlineStr">
        <is>
          <t>AI_GOLD_矫正前_50.xlsx</t>
        </is>
      </c>
    </row>
    <row r="431" ht="25.5" customHeight="1">
      <c r="A431" t="inlineStr">
        <is>
          <t>JD-20260809-062_GOLD_attempt-0002_AI_矫正前</t>
        </is>
      </c>
      <c r="B431" t="inlineStr">
        <is>
          <t>超酸版本很不错，原果原酿很干净，梅香正、酸度适口，加冰超好喝。微醺不头疼，颜值高、包装精致，自饮送礼都可，无限回购。赞一个</t>
        </is>
      </c>
      <c r="C431"/>
      <c r="D431"/>
      <c r="E431"/>
      <c r="F431"/>
      <c r="G431"/>
      <c r="H431"/>
      <c r="I431"/>
      <c r="J431"/>
      <c r="K431"/>
      <c r="L431"/>
      <c r="M431"/>
      <c r="N431"/>
      <c r="O431"/>
      <c r="P431"/>
      <c r="Q431"/>
      <c r="R431"/>
      <c r="S431">
        <v>0.9</v>
      </c>
      <c r="T431" t="inlineStr">
        <is>
          <t>attempt-0002</t>
        </is>
      </c>
      <c r="U431"/>
      <c r="V431"/>
      <c r="W431"/>
      <c r="X431" t="inlineStr">
        <is>
          <t>JD-20260809-062</t>
        </is>
      </c>
      <c r="Y431"/>
      <c r="Z431"/>
      <c r="AA431"/>
      <c r="AB431"/>
      <c r="AC431"/>
      <c r="AD431"/>
      <c r="AE431"/>
      <c r="AF431" t="inlineStr">
        <is>
          <t>AI_矫正前</t>
        </is>
      </c>
      <c r="AG431" t="inlineStr">
        <is>
          <t>GOLD</t>
        </is>
      </c>
      <c r="AH431" t="inlineStr">
        <is>
          <t>PRODUCT</t>
        </is>
      </c>
      <c r="AI431" t="inlineStr">
        <is>
          <t>ACTUAL_USE</t>
        </is>
      </c>
      <c r="AJ431" t="inlineStr">
        <is>
          <t>A</t>
        </is>
      </c>
      <c r="AK431" t="inlineStr">
        <is>
          <t>核心对象：超酸版本的综合产品体验；体验：明确描述加冰口感和饮后感受；证据强度：版本饮法身体反应与购买判断均具体。</t>
        </is>
      </c>
      <c r="AL431"/>
      <c r="AM431" t="inlineStr">
        <is>
          <t>AI_GOLD_矫正前_50.xlsx</t>
        </is>
      </c>
    </row>
    <row r="432" ht="25.5" customHeight="1">
      <c r="A432" t="inlineStr">
        <is>
          <t>JD-20260809-063_GOLD_attempt-0002_AI_矫正前</t>
        </is>
      </c>
      <c r="B432" t="inlineStr">
        <is>
          <t>梅见青梅酒真的太懂女生了✨，清清爽爽的青梅果香中和了酒精的厚重感，入口酸甜柔和，度数不高很适合小聚浅酌。瓶身设计也很清新，不管是独饮小酌还是朋友聚会都很合适～</t>
        </is>
      </c>
      <c r="C432"/>
      <c r="D432"/>
      <c r="E432"/>
      <c r="F432"/>
      <c r="G432"/>
      <c r="H432"/>
      <c r="I432"/>
      <c r="J432"/>
      <c r="K432"/>
      <c r="L432"/>
      <c r="M432"/>
      <c r="N432"/>
      <c r="O432"/>
      <c r="P432"/>
      <c r="Q432"/>
      <c r="R432"/>
      <c r="S432">
        <v>0.9</v>
      </c>
      <c r="T432" t="inlineStr">
        <is>
          <t>attempt-0002</t>
        </is>
      </c>
      <c r="U432"/>
      <c r="V432"/>
      <c r="W432"/>
      <c r="X432" t="inlineStr">
        <is>
          <t>JD-20260809-063</t>
        </is>
      </c>
      <c r="Y432"/>
      <c r="Z432"/>
      <c r="AA432"/>
      <c r="AB432"/>
      <c r="AC432"/>
      <c r="AD432"/>
      <c r="AE432"/>
      <c r="AF432" t="inlineStr">
        <is>
          <t>AI_矫正前</t>
        </is>
      </c>
      <c r="AG432" t="inlineStr">
        <is>
          <t>GOLD</t>
        </is>
      </c>
      <c r="AH432" t="inlineStr">
        <is>
          <t>PRODUCT</t>
        </is>
      </c>
      <c r="AI432" t="inlineStr">
        <is>
          <t>ACTUAL_USE</t>
        </is>
      </c>
      <c r="AJ432" t="inlineStr">
        <is>
          <t>A</t>
        </is>
      </c>
      <c r="AK432" t="inlineStr">
        <is>
          <t>核心对象：青梅酒的口感与适饮性；体验：直接判断果香酸甜和入口感；证据强度：产品特征与独饮聚会情境形成完整信息链。</t>
        </is>
      </c>
      <c r="AL432"/>
      <c r="AM432" t="inlineStr">
        <is>
          <t>AI_GOLD_矫正前_50.xlsx</t>
        </is>
      </c>
    </row>
    <row r="433" ht="25.5" customHeight="1">
      <c r="A433" t="inlineStr">
        <is>
          <t>TB-20260809-039_GOLD_attempt-0002_AI_矫正前</t>
        </is>
      </c>
      <c r="B433" t="inlineStr">
        <is>
          <t>瓶子很漂亮，口感也是酸酸甜甜的，酒精度也不高很适合女孩子喝</t>
        </is>
      </c>
      <c r="C433"/>
      <c r="D433"/>
      <c r="E433"/>
      <c r="F433"/>
      <c r="G433"/>
      <c r="H433"/>
      <c r="I433"/>
      <c r="J433"/>
      <c r="K433"/>
      <c r="L433"/>
      <c r="M433"/>
      <c r="N433"/>
      <c r="O433"/>
      <c r="P433"/>
      <c r="Q433"/>
      <c r="R433"/>
      <c r="S433">
        <v>0.9</v>
      </c>
      <c r="T433" t="inlineStr">
        <is>
          <t>attempt-0002</t>
        </is>
      </c>
      <c r="U433"/>
      <c r="V433"/>
      <c r="W433"/>
      <c r="X433" t="inlineStr">
        <is>
          <t>TB-20260809-039</t>
        </is>
      </c>
      <c r="Y433"/>
      <c r="Z433"/>
      <c r="AA433"/>
      <c r="AB433"/>
      <c r="AC433"/>
      <c r="AD433"/>
      <c r="AE433"/>
      <c r="AF433" t="inlineStr">
        <is>
          <t>AI_矫正前</t>
        </is>
      </c>
      <c r="AG433" t="inlineStr">
        <is>
          <t>GOLD</t>
        </is>
      </c>
      <c r="AH433" t="inlineStr">
        <is>
          <t>PRODUCT</t>
        </is>
      </c>
      <c r="AI433" t="inlineStr">
        <is>
          <t>ACTUAL_USE</t>
        </is>
      </c>
      <c r="AJ433" t="inlineStr">
        <is>
          <t>B</t>
        </is>
      </c>
      <c r="AK433" t="inlineStr">
        <is>
          <t>核心对象：产品外观口感和酒精度；体验：直接判断酸甜口感和适饮性；证据强度：判断明确但缺少具体饮用情境或依据。</t>
        </is>
      </c>
      <c r="AL433"/>
      <c r="AM433" t="inlineStr">
        <is>
          <t>AI_GOLD_矫正前_50.xlsx</t>
        </is>
      </c>
    </row>
    <row r="434" ht="25.5" customHeight="1">
      <c r="A434" t="inlineStr">
        <is>
          <t>TB-20260809-050_GOLD_attempt-0002_AI_矫正前</t>
        </is>
      </c>
      <c r="B434" t="inlineStr">
        <is>
          <t>梅见这个品牌可以的，口感好 后劲不大 适合女生</t>
        </is>
      </c>
      <c r="C434"/>
      <c r="D434"/>
      <c r="E434"/>
      <c r="F434"/>
      <c r="G434"/>
      <c r="H434"/>
      <c r="I434"/>
      <c r="J434"/>
      <c r="K434"/>
      <c r="L434"/>
      <c r="M434"/>
      <c r="N434"/>
      <c r="O434"/>
      <c r="P434"/>
      <c r="Q434"/>
      <c r="R434"/>
      <c r="S434">
        <v>0.9</v>
      </c>
      <c r="T434" t="inlineStr">
        <is>
          <t>attempt-0002</t>
        </is>
      </c>
      <c r="U434"/>
      <c r="V434"/>
      <c r="W434"/>
      <c r="X434" t="inlineStr">
        <is>
          <t>TB-20260809-050</t>
        </is>
      </c>
      <c r="Y434"/>
      <c r="Z434"/>
      <c r="AA434"/>
      <c r="AB434"/>
      <c r="AC434"/>
      <c r="AD434"/>
      <c r="AE434"/>
      <c r="AF434" t="inlineStr">
        <is>
          <t>AI_矫正前</t>
        </is>
      </c>
      <c r="AG434" t="inlineStr">
        <is>
          <t>GOLD</t>
        </is>
      </c>
      <c r="AH434" t="inlineStr">
        <is>
          <t>BRAND</t>
        </is>
      </c>
      <c r="AI434" t="inlineStr">
        <is>
          <t>ACTUAL_USE</t>
        </is>
      </c>
      <c r="AJ434" t="inlineStr">
        <is>
          <t>B</t>
        </is>
      </c>
      <c r="AK434" t="inlineStr">
        <is>
          <t>核心对象：梅见品牌总体印象；体验：以口感和后劲描述实际感受；证据强度：品牌判断明确但缺少具体情境与可复核细节。</t>
        </is>
      </c>
      <c r="AL434"/>
      <c r="AM434" t="inlineStr">
        <is>
          <t>AI_GOLD_矫正前_50.xlsx</t>
        </is>
      </c>
    </row>
    <row r="435" ht="25.5" customHeight="1">
      <c r="A435" t="inlineStr">
        <is>
          <t>MJ-RAW-0061_GOLD_attempt-0002_AI_矫正前</t>
        </is>
      </c>
      <c r="B435" t="inlineStr">
        <is>
          <t>和好久没见的人一起喝好酒梅见，这是故事最好的结局</t>
        </is>
      </c>
      <c r="C435"/>
      <c r="D435"/>
      <c r="E435"/>
      <c r="F435"/>
      <c r="G435"/>
      <c r="H435"/>
      <c r="I435"/>
      <c r="J435"/>
      <c r="K435"/>
      <c r="L435"/>
      <c r="M435"/>
      <c r="N435"/>
      <c r="O435"/>
      <c r="P435"/>
      <c r="Q435"/>
      <c r="R435"/>
      <c r="S435">
        <v>0.9</v>
      </c>
      <c r="T435" t="inlineStr">
        <is>
          <t>attempt-0002</t>
        </is>
      </c>
      <c r="U435"/>
      <c r="V435"/>
      <c r="W435"/>
      <c r="X435" t="inlineStr">
        <is>
          <t>MJ-RAW-0061</t>
        </is>
      </c>
      <c r="Y435"/>
      <c r="Z435"/>
      <c r="AA435"/>
      <c r="AB435"/>
      <c r="AC435"/>
      <c r="AD435"/>
      <c r="AE435"/>
      <c r="AF435" t="inlineStr">
        <is>
          <t>AI_矫正前</t>
        </is>
      </c>
      <c r="AG435" t="inlineStr">
        <is>
          <t>GOLD</t>
        </is>
      </c>
      <c r="AH435" t="inlineStr">
        <is>
          <t>BRAND</t>
        </is>
      </c>
      <c r="AI435" t="inlineStr">
        <is>
          <t>UNKNOWN</t>
        </is>
      </c>
      <c r="AJ435" t="inlineStr">
        <is>
          <t>A</t>
        </is>
      </c>
      <c r="AK435" t="inlineStr">
        <is>
          <t>核心对象：梅见与久别重逢绑定的饮酒文化态度；体验：没有明示该饮酒情境已经真实发生；证据强度：品牌对象相聚情境和价值判断形成完整信息链。</t>
        </is>
      </c>
      <c r="AL435"/>
      <c r="AM435" t="inlineStr">
        <is>
          <t>AI_GOLD_矫正前_50.xlsx</t>
        </is>
      </c>
    </row>
    <row r="436" ht="25.5" customHeight="1">
      <c r="A436" t="inlineStr">
        <is>
          <t>XHS-SOC-0029_GOLD_attempt-0002_AI_矫正前</t>
        </is>
      </c>
      <c r="B436" t="inlineStr">
        <is>
          <t>有点像喝止咳糖浆加酒</t>
        </is>
      </c>
      <c r="C436"/>
      <c r="D436"/>
      <c r="E436"/>
      <c r="F436"/>
      <c r="G436"/>
      <c r="H436"/>
      <c r="I436"/>
      <c r="J436"/>
      <c r="K436"/>
      <c r="L436"/>
      <c r="M436"/>
      <c r="N436"/>
      <c r="O436"/>
      <c r="P436"/>
      <c r="Q436"/>
      <c r="R436"/>
      <c r="S436">
        <v>0.9</v>
      </c>
      <c r="T436" t="inlineStr">
        <is>
          <t>attempt-0002</t>
        </is>
      </c>
      <c r="U436"/>
      <c r="V436"/>
      <c r="W436"/>
      <c r="X436" t="inlineStr">
        <is>
          <t>XHS-SOC-0029</t>
        </is>
      </c>
      <c r="Y436"/>
      <c r="Z436"/>
      <c r="AA436"/>
      <c r="AB436"/>
      <c r="AC436"/>
      <c r="AD436"/>
      <c r="AE436"/>
      <c r="AF436" t="inlineStr">
        <is>
          <t>AI_矫正前</t>
        </is>
      </c>
      <c r="AG436" t="inlineStr">
        <is>
          <t>GOLD</t>
        </is>
      </c>
      <c r="AH436" t="inlineStr">
        <is>
          <t>PRODUCT</t>
        </is>
      </c>
      <c r="AI436" t="inlineStr">
        <is>
          <t>ACTUAL_USE</t>
        </is>
      </c>
      <c r="AJ436" t="inlineStr">
        <is>
          <t>B</t>
        </is>
      </c>
      <c r="AK436" t="inlineStr">
        <is>
          <t>核心对象：酒的入口味道；体验：直接用止咳糖浆加酒形容口感；证据强度：判断明确但缺少具体饮用情境。</t>
        </is>
      </c>
      <c r="AL436"/>
      <c r="AM436" t="inlineStr">
        <is>
          <t>AI_GOLD_矫正前_50.xlsx</t>
        </is>
      </c>
    </row>
    <row r="437" ht="25.5" customHeight="1">
      <c r="A437" t="inlineStr">
        <is>
          <t>XHS-SOC-0043_GOLD_attempt-0002_AI_矫正前</t>
        </is>
      </c>
      <c r="B437" t="inlineStr">
        <is>
          <t>喝过很多款梅子酒，感觉还是梅见最专业了，不过我个人原因不喜欢太甜的酒</t>
        </is>
      </c>
      <c r="C437"/>
      <c r="D437"/>
      <c r="E437"/>
      <c r="F437"/>
      <c r="G437"/>
      <c r="H437"/>
      <c r="I437"/>
      <c r="J437"/>
      <c r="K437"/>
      <c r="L437"/>
      <c r="M437"/>
      <c r="N437"/>
      <c r="O437"/>
      <c r="P437"/>
      <c r="Q437"/>
      <c r="R437"/>
      <c r="S437">
        <v>0.9</v>
      </c>
      <c r="T437" t="inlineStr">
        <is>
          <t>attempt-0002</t>
        </is>
      </c>
      <c r="U437"/>
      <c r="V437"/>
      <c r="W437"/>
      <c r="X437" t="inlineStr">
        <is>
          <t>XHS-SOC-0043</t>
        </is>
      </c>
      <c r="Y437"/>
      <c r="Z437"/>
      <c r="AA437"/>
      <c r="AB437"/>
      <c r="AC437"/>
      <c r="AD437"/>
      <c r="AE437"/>
      <c r="AF437" t="inlineStr">
        <is>
          <t>AI_矫正前</t>
        </is>
      </c>
      <c r="AG437" t="inlineStr">
        <is>
          <t>GOLD</t>
        </is>
      </c>
      <c r="AH437" t="inlineStr">
        <is>
          <t>COMPETITOR</t>
        </is>
      </c>
      <c r="AI437" t="inlineStr">
        <is>
          <t>ACTUAL_USE</t>
        </is>
      </c>
      <c r="AJ437" t="inlineStr">
        <is>
          <t>A</t>
        </is>
      </c>
      <c r="AK437" t="inlineStr">
        <is>
          <t>核心对象：多款梅子酒与梅见的比较评价；体验：明确喝过多款并说明个人甜度偏好；证据强度：比较经历品牌判断和偏好依据均完整。</t>
        </is>
      </c>
      <c r="AL437"/>
      <c r="AM437" t="inlineStr">
        <is>
          <t>AI_GOLD_矫正前_50.xlsx</t>
        </is>
      </c>
    </row>
    <row r="438" ht="25.5" customHeight="1">
      <c r="A438" t="inlineStr">
        <is>
          <t>DY-SOC-0145_GOLD_attempt-0002_AI_矫正前</t>
        </is>
      </c>
      <c r="B438" t="inlineStr">
        <is>
          <t>看完也想去梅见酒庄打卡了</t>
        </is>
      </c>
      <c r="C438"/>
      <c r="D438"/>
      <c r="E438"/>
      <c r="F438"/>
      <c r="G438"/>
      <c r="H438"/>
      <c r="I438"/>
      <c r="J438"/>
      <c r="K438"/>
      <c r="L438"/>
      <c r="M438"/>
      <c r="N438"/>
      <c r="O438"/>
      <c r="P438"/>
      <c r="Q438"/>
      <c r="R438"/>
      <c r="S438">
        <v>0.9</v>
      </c>
      <c r="T438" t="inlineStr">
        <is>
          <t>attempt-0002</t>
        </is>
      </c>
      <c r="U438"/>
      <c r="V438"/>
      <c r="W438"/>
      <c r="X438" t="inlineStr">
        <is>
          <t>DY-SOC-0145</t>
        </is>
      </c>
      <c r="Y438"/>
      <c r="Z438"/>
      <c r="AA438"/>
      <c r="AB438"/>
      <c r="AC438"/>
      <c r="AD438"/>
      <c r="AE438"/>
      <c r="AF438" t="inlineStr">
        <is>
          <t>AI_矫正前</t>
        </is>
      </c>
      <c r="AG438" t="inlineStr">
        <is>
          <t>GOLD</t>
        </is>
      </c>
      <c r="AH438" t="inlineStr">
        <is>
          <t>OTHER</t>
        </is>
      </c>
      <c r="AI438" t="inlineStr">
        <is>
          <t>UNKNOWN</t>
        </is>
      </c>
      <c r="AJ438" t="inlineStr">
        <is>
          <t>C</t>
        </is>
      </c>
      <c r="AK438" t="inlineStr">
        <is>
          <t>核心对象：去酒庄打卡的意向；体验：没有说明任何饮用体验；证据强度：只有尚未发生的打卡意向。</t>
        </is>
      </c>
      <c r="AL438"/>
      <c r="AM438" t="inlineStr">
        <is>
          <t>AI_GOLD_矫正前_50.xlsx</t>
        </is>
      </c>
    </row>
    <row r="439" ht="25.5" customHeight="1">
      <c r="A439" t="inlineStr">
        <is>
          <t>XHS-SOC-0191_GOLD_attempt-0002_AI_矫正前</t>
        </is>
      </c>
      <c r="B439" t="inlineStr">
        <is>
          <t>我感觉真的很好喝，但是酒味有点重，我会灌五六颗话梅泡一个晚上就老好喝了</t>
        </is>
      </c>
      <c r="C439"/>
      <c r="D439"/>
      <c r="E439"/>
      <c r="F439"/>
      <c r="G439"/>
      <c r="H439"/>
      <c r="I439"/>
      <c r="J439"/>
      <c r="K439"/>
      <c r="L439"/>
      <c r="M439"/>
      <c r="N439"/>
      <c r="O439"/>
      <c r="P439"/>
      <c r="Q439"/>
      <c r="R439"/>
      <c r="S439">
        <v>0.9</v>
      </c>
      <c r="T439" t="inlineStr">
        <is>
          <t>attempt-0002</t>
        </is>
      </c>
      <c r="U439"/>
      <c r="V439"/>
      <c r="W439"/>
      <c r="X439" t="inlineStr">
        <is>
          <t>XHS-SOC-0191</t>
        </is>
      </c>
      <c r="Y439"/>
      <c r="Z439"/>
      <c r="AA439"/>
      <c r="AB439"/>
      <c r="AC439"/>
      <c r="AD439"/>
      <c r="AE439"/>
      <c r="AF439" t="inlineStr">
        <is>
          <t>AI_矫正前</t>
        </is>
      </c>
      <c r="AG439" t="inlineStr">
        <is>
          <t>GOLD</t>
        </is>
      </c>
      <c r="AH439" t="inlineStr">
        <is>
          <t>PRODUCT</t>
        </is>
      </c>
      <c r="AI439" t="inlineStr">
        <is>
          <t>ACTUAL_USE</t>
        </is>
      </c>
      <c r="AJ439" t="inlineStr">
        <is>
          <t>A</t>
        </is>
      </c>
      <c r="AK439" t="inlineStr">
        <is>
          <t>核心对象：酒味和加入话梅后的口感；体验：明确表达实际饮用并描述浸泡做法；证据强度：原始判断具体做法和改进结果均完整。</t>
        </is>
      </c>
      <c r="AL439"/>
      <c r="AM439" t="inlineStr">
        <is>
          <t>AI_GOLD_矫正前_50.xlsx</t>
        </is>
      </c>
    </row>
    <row r="440" ht="25.5" customHeight="1">
      <c r="A440" t="inlineStr">
        <is>
          <t>XHS-SOC-0201_GOLD_attempt-0002_AI_矫正前</t>
        </is>
      </c>
      <c r="B440" t="inlineStr">
        <is>
          <t>没有人觉得喝了之后一直在上厕所吗？</t>
        </is>
      </c>
      <c r="C440"/>
      <c r="D440"/>
      <c r="E440"/>
      <c r="F440"/>
      <c r="G440"/>
      <c r="H440"/>
      <c r="I440"/>
      <c r="J440"/>
      <c r="K440"/>
      <c r="L440"/>
      <c r="M440"/>
      <c r="N440"/>
      <c r="O440"/>
      <c r="P440"/>
      <c r="Q440"/>
      <c r="R440"/>
      <c r="S440">
        <v>0.7</v>
      </c>
      <c r="T440" t="inlineStr">
        <is>
          <t>attempt-0002</t>
        </is>
      </c>
      <c r="U440"/>
      <c r="V440"/>
      <c r="W440"/>
      <c r="X440" t="inlineStr">
        <is>
          <t>XHS-SOC-0201</t>
        </is>
      </c>
      <c r="Y440"/>
      <c r="Z440"/>
      <c r="AA440"/>
      <c r="AB440"/>
      <c r="AC440"/>
      <c r="AD440"/>
      <c r="AE440"/>
      <c r="AF440" t="inlineStr">
        <is>
          <t>AI_矫正前</t>
        </is>
      </c>
      <c r="AG440" t="inlineStr">
        <is>
          <t>GOLD</t>
        </is>
      </c>
      <c r="AH440" t="inlineStr">
        <is>
          <t>SCENE</t>
        </is>
      </c>
      <c r="AI440" t="inlineStr">
        <is>
          <t>ACTUAL_USE</t>
        </is>
      </c>
      <c r="AJ440" t="inlineStr">
        <is>
          <t>B</t>
        </is>
      </c>
      <c r="AK440" t="inlineStr">
        <is>
          <t>核心对象：饮酒后的频繁如厕反应；体验：以共同体验提问方式描述饮后感受；证据强度：身体反应明确但缺少具体饮用对象和情境。</t>
        </is>
      </c>
      <c r="AL440"/>
      <c r="AM440" t="inlineStr">
        <is>
          <t>AI_GOLD_矫正前_50.xlsx</t>
        </is>
      </c>
    </row>
    <row r="441" ht="25.5" customHeight="1">
      <c r="A441" t="inlineStr">
        <is>
          <t>XHS-SOC-0221_GOLD_attempt-0002_AI_矫正前</t>
        </is>
      </c>
      <c r="B441" t="inlineStr">
        <is>
          <t>我喝一瓶刚好入睡</t>
        </is>
      </c>
      <c r="C441"/>
      <c r="D441"/>
      <c r="E441"/>
      <c r="F441"/>
      <c r="G441"/>
      <c r="H441"/>
      <c r="I441"/>
      <c r="J441"/>
      <c r="K441"/>
      <c r="L441"/>
      <c r="M441"/>
      <c r="N441"/>
      <c r="O441"/>
      <c r="P441"/>
      <c r="Q441"/>
      <c r="R441"/>
      <c r="S441">
        <v>0.9</v>
      </c>
      <c r="T441" t="inlineStr">
        <is>
          <t>attempt-0002</t>
        </is>
      </c>
      <c r="U441"/>
      <c r="V441"/>
      <c r="W441"/>
      <c r="X441" t="inlineStr">
        <is>
          <t>XHS-SOC-0221</t>
        </is>
      </c>
      <c r="Y441"/>
      <c r="Z441"/>
      <c r="AA441"/>
      <c r="AB441"/>
      <c r="AC441"/>
      <c r="AD441"/>
      <c r="AE441"/>
      <c r="AF441" t="inlineStr">
        <is>
          <t>AI_矫正前</t>
        </is>
      </c>
      <c r="AG441" t="inlineStr">
        <is>
          <t>GOLD</t>
        </is>
      </c>
      <c r="AH441" t="inlineStr">
        <is>
          <t>SCENE</t>
        </is>
      </c>
      <c r="AI441" t="inlineStr">
        <is>
          <t>ACTUAL_USE</t>
        </is>
      </c>
      <c r="AJ441" t="inlineStr">
        <is>
          <t>A</t>
        </is>
      </c>
      <c r="AK441" t="inlineStr">
        <is>
          <t>核心对象：喝一瓶后的入睡效果；体验：明确陈述本人饮用量和身体结果；证据强度：饮用行为剂量与结果完整对应。</t>
        </is>
      </c>
      <c r="AL441"/>
      <c r="AM441" t="inlineStr">
        <is>
          <t>AI_GOLD_矫正前_50.xlsx</t>
        </is>
      </c>
    </row>
    <row r="442" ht="25.5" customHeight="1">
      <c r="A442" t="inlineStr">
        <is>
          <t>JD-20260809-059_GOLD_attempt-0002_AI_矫正前</t>
        </is>
      </c>
      <c r="B442" t="inlineStr">
        <is>
          <t>🎉这款酒真的很赞呢！开瓶就能闻到浓郁的香气，酸甜比例刚刚好，喝起来很顺口～✨包装也特别牢固，瓶子看起来高端大气，无论是自己喝还是送礼都很合适。性价比超高，确认是正品无疑，已经列入回购清单啦！😊</t>
        </is>
      </c>
      <c r="C442"/>
      <c r="D442"/>
      <c r="E442"/>
      <c r="F442"/>
      <c r="G442"/>
      <c r="H442"/>
      <c r="I442"/>
      <c r="J442"/>
      <c r="K442"/>
      <c r="L442"/>
      <c r="M442"/>
      <c r="N442"/>
      <c r="O442"/>
      <c r="P442"/>
      <c r="Q442"/>
      <c r="R442"/>
      <c r="S442">
        <v>0.9</v>
      </c>
      <c r="T442" t="inlineStr">
        <is>
          <t>attempt-0002</t>
        </is>
      </c>
      <c r="U442"/>
      <c r="V442"/>
      <c r="W442"/>
      <c r="X442" t="inlineStr">
        <is>
          <t>JD-20260809-059</t>
        </is>
      </c>
      <c r="Y442"/>
      <c r="Z442"/>
      <c r="AA442"/>
      <c r="AB442"/>
      <c r="AC442"/>
      <c r="AD442"/>
      <c r="AE442"/>
      <c r="AF442" t="inlineStr">
        <is>
          <t>AI_矫正前</t>
        </is>
      </c>
      <c r="AG442" t="inlineStr">
        <is>
          <t>GOLD</t>
        </is>
      </c>
      <c r="AH442" t="inlineStr">
        <is>
          <t>PRODUCT</t>
        </is>
      </c>
      <c r="AI442" t="inlineStr">
        <is>
          <t>ACTUAL_USE</t>
        </is>
      </c>
      <c r="AJ442" t="inlineStr">
        <is>
          <t>A</t>
        </is>
      </c>
      <c r="AK442" t="inlineStr">
        <is>
          <t>核心对象：酒的口感包装与使用价值；体验：直接描述开瓶闻香和入口感受；证据强度：产品细节使用情境和回购判断均完整。</t>
        </is>
      </c>
      <c r="AL442"/>
      <c r="AM442" t="inlineStr">
        <is>
          <t>AI_GOLD_矫正前_50.xlsx</t>
        </is>
      </c>
    </row>
    <row r="443" ht="25.5" customHeight="1">
      <c r="A443" t="inlineStr">
        <is>
          <t>XHS-SOC-0045_GOLD_attempt-0002_AI_矫正前</t>
        </is>
      </c>
      <c r="B443" t="inlineStr">
        <is>
          <t>三得利还不错，梅见太难喝了</t>
        </is>
      </c>
      <c r="C443"/>
      <c r="D443"/>
      <c r="E443"/>
      <c r="F443"/>
      <c r="G443"/>
      <c r="H443"/>
      <c r="I443"/>
      <c r="J443"/>
      <c r="K443"/>
      <c r="L443"/>
      <c r="M443"/>
      <c r="N443"/>
      <c r="O443"/>
      <c r="P443"/>
      <c r="Q443"/>
      <c r="R443"/>
      <c r="S443">
        <v>0.9</v>
      </c>
      <c r="T443" t="inlineStr">
        <is>
          <t>attempt-0002</t>
        </is>
      </c>
      <c r="U443"/>
      <c r="V443"/>
      <c r="W443"/>
      <c r="X443" t="inlineStr">
        <is>
          <t>XHS-SOC-0045</t>
        </is>
      </c>
      <c r="Y443"/>
      <c r="Z443"/>
      <c r="AA443"/>
      <c r="AB443"/>
      <c r="AC443"/>
      <c r="AD443"/>
      <c r="AE443"/>
      <c r="AF443" t="inlineStr">
        <is>
          <t>AI_矫正前</t>
        </is>
      </c>
      <c r="AG443" t="inlineStr">
        <is>
          <t>GOLD</t>
        </is>
      </c>
      <c r="AH443" t="inlineStr">
        <is>
          <t>COMPETITOR</t>
        </is>
      </c>
      <c r="AI443" t="inlineStr">
        <is>
          <t>ACTUAL_USE</t>
        </is>
      </c>
      <c r="AJ443" t="inlineStr">
        <is>
          <t>B</t>
        </is>
      </c>
      <c r="AK443" t="inlineStr">
        <is>
          <t>核心对象：三得利与梅见的口感比较；体验：直接给出两个品牌的饮用判断；证据强度：比较结论明确但没有具体口感依据。</t>
        </is>
      </c>
      <c r="AL443"/>
      <c r="AM443" t="inlineStr">
        <is>
          <t>AI_GOLD_矫正前_50.xlsx</t>
        </is>
      </c>
    </row>
    <row r="444" ht="25.5" customHeight="1">
      <c r="A444" t="inlineStr">
        <is>
          <t>DY-SOC-0089_GOLD_attempt-0002_AI_矫正前</t>
        </is>
      </c>
      <c r="B444" t="inlineStr">
        <is>
          <t>放柚子汁类饮料也很好喝</t>
        </is>
      </c>
      <c r="C444"/>
      <c r="D444"/>
      <c r="E444"/>
      <c r="F444"/>
      <c r="G444"/>
      <c r="H444"/>
      <c r="I444"/>
      <c r="J444"/>
      <c r="K444"/>
      <c r="L444"/>
      <c r="M444"/>
      <c r="N444"/>
      <c r="O444"/>
      <c r="P444"/>
      <c r="Q444"/>
      <c r="R444"/>
      <c r="S444">
        <v>0.9</v>
      </c>
      <c r="T444" t="inlineStr">
        <is>
          <t>attempt-0002</t>
        </is>
      </c>
      <c r="U444"/>
      <c r="V444"/>
      <c r="W444"/>
      <c r="X444" t="inlineStr">
        <is>
          <t>DY-SOC-0089</t>
        </is>
      </c>
      <c r="Y444"/>
      <c r="Z444"/>
      <c r="AA444"/>
      <c r="AB444"/>
      <c r="AC444"/>
      <c r="AD444"/>
      <c r="AE444"/>
      <c r="AF444" t="inlineStr">
        <is>
          <t>AI_矫正前</t>
        </is>
      </c>
      <c r="AG444" t="inlineStr">
        <is>
          <t>GOLD</t>
        </is>
      </c>
      <c r="AH444" t="inlineStr">
        <is>
          <t>PRODUCT</t>
        </is>
      </c>
      <c r="AI444" t="inlineStr">
        <is>
          <t>ACTUAL_USE</t>
        </is>
      </c>
      <c r="AJ444" t="inlineStr">
        <is>
          <t>A</t>
        </is>
      </c>
      <c r="AK444" t="inlineStr">
        <is>
          <t>核心对象：加入柚子汁后的调饮口感；体验：直接判断调饮结果好喝；证据强度：具体调饮方式和明确口感形成完整信息链。</t>
        </is>
      </c>
      <c r="AL444"/>
      <c r="AM444" t="inlineStr">
        <is>
          <t>AI_GOLD_矫正前_50.xlsx</t>
        </is>
      </c>
    </row>
    <row r="445" ht="25.5" customHeight="1">
      <c r="A445" t="inlineStr">
        <is>
          <t>XHS-SOC-0185_GOLD_attempt-0002_AI_矫正前</t>
        </is>
      </c>
      <c r="B445" t="inlineStr">
        <is>
          <t>酒味太重 喜欢三得利这种酒味淡的</t>
        </is>
      </c>
      <c r="C445"/>
      <c r="D445"/>
      <c r="E445"/>
      <c r="F445"/>
      <c r="G445"/>
      <c r="H445"/>
      <c r="I445"/>
      <c r="J445"/>
      <c r="K445"/>
      <c r="L445"/>
      <c r="M445"/>
      <c r="N445"/>
      <c r="O445"/>
      <c r="P445"/>
      <c r="Q445"/>
      <c r="R445"/>
      <c r="S445">
        <v>0.9</v>
      </c>
      <c r="T445" t="inlineStr">
        <is>
          <t>attempt-0002</t>
        </is>
      </c>
      <c r="U445"/>
      <c r="V445"/>
      <c r="W445"/>
      <c r="X445" t="inlineStr">
        <is>
          <t>XHS-SOC-0185</t>
        </is>
      </c>
      <c r="Y445"/>
      <c r="Z445"/>
      <c r="AA445"/>
      <c r="AB445"/>
      <c r="AC445"/>
      <c r="AD445"/>
      <c r="AE445"/>
      <c r="AF445" t="inlineStr">
        <is>
          <t>AI_矫正前</t>
        </is>
      </c>
      <c r="AG445" t="inlineStr">
        <is>
          <t>GOLD</t>
        </is>
      </c>
      <c r="AH445" t="inlineStr">
        <is>
          <t>COMPETITOR</t>
        </is>
      </c>
      <c r="AI445" t="inlineStr">
        <is>
          <t>ACTUAL_USE</t>
        </is>
      </c>
      <c r="AJ445" t="inlineStr">
        <is>
          <t>B</t>
        </is>
      </c>
      <c r="AK445" t="inlineStr">
        <is>
          <t>核心对象：当前酒与三得利的酒味比较；体验：直接评价酒味浓淡和个人偏好；证据强度：比较判断明确但缺少具体饮用情境。</t>
        </is>
      </c>
      <c r="AL445"/>
      <c r="AM445" t="inlineStr">
        <is>
          <t>AI_GOLD_矫正前_50.xlsx</t>
        </is>
      </c>
    </row>
    <row r="446" ht="25.5" customHeight="1">
      <c r="A446" t="inlineStr">
        <is>
          <t>XHS-SOC-0225_GOLD_attempt-0002_AI_矫正前</t>
        </is>
      </c>
      <c r="B446" t="inlineStr">
        <is>
          <t>荔枝最难喝，乳酸菌，乐橘最好喝</t>
        </is>
      </c>
      <c r="C446"/>
      <c r="D446"/>
      <c r="E446"/>
      <c r="F446"/>
      <c r="G446"/>
      <c r="H446"/>
      <c r="I446"/>
      <c r="J446"/>
      <c r="K446"/>
      <c r="L446"/>
      <c r="M446"/>
      <c r="N446"/>
      <c r="O446"/>
      <c r="P446"/>
      <c r="Q446"/>
      <c r="R446"/>
      <c r="S446">
        <v>0.9</v>
      </c>
      <c r="T446" t="inlineStr">
        <is>
          <t>attempt-0002</t>
        </is>
      </c>
      <c r="U446"/>
      <c r="V446"/>
      <c r="W446"/>
      <c r="X446" t="inlineStr">
        <is>
          <t>XHS-SOC-0225</t>
        </is>
      </c>
      <c r="Y446"/>
      <c r="Z446"/>
      <c r="AA446"/>
      <c r="AB446"/>
      <c r="AC446"/>
      <c r="AD446"/>
      <c r="AE446"/>
      <c r="AF446" t="inlineStr">
        <is>
          <t>AI_矫正前</t>
        </is>
      </c>
      <c r="AG446" t="inlineStr">
        <is>
          <t>GOLD</t>
        </is>
      </c>
      <c r="AH446" t="inlineStr">
        <is>
          <t>PRODUCT</t>
        </is>
      </c>
      <c r="AI446" t="inlineStr">
        <is>
          <t>ACTUAL_USE</t>
        </is>
      </c>
      <c r="AJ446" t="inlineStr">
        <is>
          <t>B</t>
        </is>
      </c>
      <c r="AK446" t="inlineStr">
        <is>
          <t>核心对象：不同口味产品的好喝程度；体验：直接给出最难喝和最好喝的口味判断；证据强度：偏好排序明确但缺少具体口感依据与情境。</t>
        </is>
      </c>
      <c r="AL446"/>
      <c r="AM446" t="inlineStr">
        <is>
          <t>AI_GOLD_矫正前_50.xlsx</t>
        </is>
      </c>
    </row>
    <row r="447" ht="25.5" customHeight="1">
      <c r="A447" t="inlineStr">
        <is>
          <t>XHS-SOC-0227_GOLD_attempt-0002_AI_矫正前</t>
        </is>
      </c>
      <c r="B447" t="inlineStr">
        <is>
          <t>只有我觉得很难喝吗</t>
        </is>
      </c>
      <c r="C447"/>
      <c r="D447"/>
      <c r="E447"/>
      <c r="F447"/>
      <c r="G447"/>
      <c r="H447"/>
      <c r="I447"/>
      <c r="J447"/>
      <c r="K447"/>
      <c r="L447"/>
      <c r="M447"/>
      <c r="N447"/>
      <c r="O447"/>
      <c r="P447"/>
      <c r="Q447"/>
      <c r="R447"/>
      <c r="S447">
        <v>0.9</v>
      </c>
      <c r="T447" t="inlineStr">
        <is>
          <t>attempt-0002</t>
        </is>
      </c>
      <c r="U447"/>
      <c r="V447"/>
      <c r="W447"/>
      <c r="X447" t="inlineStr">
        <is>
          <t>XHS-SOC-0227</t>
        </is>
      </c>
      <c r="Y447"/>
      <c r="Z447"/>
      <c r="AA447"/>
      <c r="AB447"/>
      <c r="AC447"/>
      <c r="AD447"/>
      <c r="AE447"/>
      <c r="AF447" t="inlineStr">
        <is>
          <t>AI_矫正前</t>
        </is>
      </c>
      <c r="AG447" t="inlineStr">
        <is>
          <t>GOLD</t>
        </is>
      </c>
      <c r="AH447" t="inlineStr">
        <is>
          <t>PRODUCT</t>
        </is>
      </c>
      <c r="AI447" t="inlineStr">
        <is>
          <t>ACTUAL_USE</t>
        </is>
      </c>
      <c r="AJ447" t="inlineStr">
        <is>
          <t>C</t>
        </is>
      </c>
      <c r="AK447" t="inlineStr">
        <is>
          <t>核心对象：产品整体口感；体验：直接表达觉得难喝；证据强度：只有单一笼统负面判断。</t>
        </is>
      </c>
      <c r="AL447"/>
      <c r="AM447" t="inlineStr">
        <is>
          <t>AI_GOLD_矫正前_50.xlsx</t>
        </is>
      </c>
    </row>
    <row r="448" ht="25.5" customHeight="1">
      <c r="A448" t="inlineStr">
        <is>
          <t>JD-20260809-002_GOLD_attempt-0002_AI_矫正前</t>
        </is>
      </c>
      <c r="B448" t="inlineStr">
        <is>
          <t>加冰后口感更佳，适合配西餐。喝完嘴里留香，喝起来顺滑</t>
        </is>
      </c>
      <c r="C448"/>
      <c r="D448"/>
      <c r="E448"/>
      <c r="F448"/>
      <c r="G448"/>
      <c r="H448"/>
      <c r="I448"/>
      <c r="J448"/>
      <c r="K448"/>
      <c r="L448"/>
      <c r="M448"/>
      <c r="N448"/>
      <c r="O448"/>
      <c r="P448"/>
      <c r="Q448"/>
      <c r="R448"/>
      <c r="S448">
        <v>0.9</v>
      </c>
      <c r="T448" t="inlineStr">
        <is>
          <t>attempt-0002</t>
        </is>
      </c>
      <c r="U448"/>
      <c r="V448"/>
      <c r="W448"/>
      <c r="X448" t="inlineStr">
        <is>
          <t>JD-20260809-002</t>
        </is>
      </c>
      <c r="Y448"/>
      <c r="Z448"/>
      <c r="AA448"/>
      <c r="AB448"/>
      <c r="AC448"/>
      <c r="AD448"/>
      <c r="AE448"/>
      <c r="AF448" t="inlineStr">
        <is>
          <t>AI_矫正前</t>
        </is>
      </c>
      <c r="AG448" t="inlineStr">
        <is>
          <t>GOLD</t>
        </is>
      </c>
      <c r="AH448" t="inlineStr">
        <is>
          <t>PRODUCT</t>
        </is>
      </c>
      <c r="AI448" t="inlineStr">
        <is>
          <t>ACTUAL_USE</t>
        </is>
      </c>
      <c r="AJ448" t="inlineStr">
        <is>
          <t>A</t>
        </is>
      </c>
      <c r="AK448" t="inlineStr">
        <is>
          <t>核心对象：加冰饮用后的口感；体验：明确描述喝后留香和顺滑感；证据强度：饮用方式搭配情境和判断均具体。</t>
        </is>
      </c>
      <c r="AL448"/>
      <c r="AM448" t="inlineStr">
        <is>
          <t>AI_GOLD_矫正前_50.xlsx</t>
        </is>
      </c>
    </row>
    <row r="449" ht="25.5" customHeight="1">
      <c r="A449" t="inlineStr">
        <is>
          <t>JD-20260809-012_GOLD_attempt-0002_AI_矫正前</t>
        </is>
      </c>
      <c r="B449" t="inlineStr">
        <is>
          <t>喝起来口感很顺滑，味道酸甜平衡，酒精度数不高，香气浓郁，回味还想，毕竟不是陈酿，小瓶量比较合适，果香不错，京东快递包装不错，没有磕碰</t>
        </is>
      </c>
      <c r="C449"/>
      <c r="D449"/>
      <c r="E449"/>
      <c r="F449"/>
      <c r="G449"/>
      <c r="H449"/>
      <c r="I449"/>
      <c r="J449"/>
      <c r="K449"/>
      <c r="L449"/>
      <c r="M449"/>
      <c r="N449"/>
      <c r="O449"/>
      <c r="P449"/>
      <c r="Q449"/>
      <c r="R449"/>
      <c r="S449">
        <v>0.9</v>
      </c>
      <c r="T449" t="inlineStr">
        <is>
          <t>attempt-0002</t>
        </is>
      </c>
      <c r="U449"/>
      <c r="V449"/>
      <c r="W449"/>
      <c r="X449" t="inlineStr">
        <is>
          <t>JD-20260809-012</t>
        </is>
      </c>
      <c r="Y449"/>
      <c r="Z449"/>
      <c r="AA449"/>
      <c r="AB449"/>
      <c r="AC449"/>
      <c r="AD449"/>
      <c r="AE449"/>
      <c r="AF449" t="inlineStr">
        <is>
          <t>AI_矫正前</t>
        </is>
      </c>
      <c r="AG449" t="inlineStr">
        <is>
          <t>GOLD</t>
        </is>
      </c>
      <c r="AH449" t="inlineStr">
        <is>
          <t>PRODUCT</t>
        </is>
      </c>
      <c r="AI449" t="inlineStr">
        <is>
          <t>ACTUAL_USE</t>
        </is>
      </c>
      <c r="AJ449" t="inlineStr">
        <is>
          <t>A</t>
        </is>
      </c>
      <c r="AK449" t="inlineStr">
        <is>
          <t>核心对象：酒的综合产品体验；体验：直接描述口感香气酒精感和规格；证据强度：多项具体产品依据支撑明确判断。</t>
        </is>
      </c>
      <c r="AL449"/>
      <c r="AM449" t="inlineStr">
        <is>
          <t>AI_GOLD_矫正前_50.xlsx</t>
        </is>
      </c>
    </row>
    <row r="450" ht="25.5" customHeight="1">
      <c r="A450" t="inlineStr">
        <is>
          <t>JD-20260809-026_GOLD_attempt-0002_AI_矫正前</t>
        </is>
      </c>
      <c r="B450" t="inlineStr">
        <is>
          <t>酒精度数不高，适合大众</t>
        </is>
      </c>
      <c r="C450"/>
      <c r="D450"/>
      <c r="E450"/>
      <c r="F450"/>
      <c r="G450"/>
      <c r="H450"/>
      <c r="I450"/>
      <c r="J450"/>
      <c r="K450"/>
      <c r="L450"/>
      <c r="M450"/>
      <c r="N450"/>
      <c r="O450"/>
      <c r="P450"/>
      <c r="Q450"/>
      <c r="R450"/>
      <c r="S450">
        <v>0.9</v>
      </c>
      <c r="T450" t="inlineStr">
        <is>
          <t>attempt-0002</t>
        </is>
      </c>
      <c r="U450"/>
      <c r="V450"/>
      <c r="W450"/>
      <c r="X450" t="inlineStr">
        <is>
          <t>JD-20260809-026</t>
        </is>
      </c>
      <c r="Y450"/>
      <c r="Z450"/>
      <c r="AA450"/>
      <c r="AB450"/>
      <c r="AC450"/>
      <c r="AD450"/>
      <c r="AE450"/>
      <c r="AF450" t="inlineStr">
        <is>
          <t>AI_矫正前</t>
        </is>
      </c>
      <c r="AG450" t="inlineStr">
        <is>
          <t>GOLD</t>
        </is>
      </c>
      <c r="AH450" t="inlineStr">
        <is>
          <t>PRODUCT</t>
        </is>
      </c>
      <c r="AI450" t="inlineStr">
        <is>
          <t>UNKNOWN</t>
        </is>
      </c>
      <c r="AJ450" t="inlineStr">
        <is>
          <t>B</t>
        </is>
      </c>
      <c r="AK450" t="inlineStr">
        <is>
          <t>核心对象：产品酒精度与适饮人群；体验：没有明示本人购买或饮用；证据强度：判断明确但缺少具体体验情境和依据。</t>
        </is>
      </c>
      <c r="AL450"/>
      <c r="AM450" t="inlineStr">
        <is>
          <t>AI_GOLD_矫正前_50.xlsx</t>
        </is>
      </c>
    </row>
    <row r="451" ht="25.5" customHeight="1">
      <c r="A451" t="inlineStr">
        <is>
          <t>TB-20260809-014_GOLD_attempt-0002_AI_矫正前</t>
        </is>
      </c>
      <c r="B451" t="inlineStr">
        <is>
          <t>一直都很喜欢rio酒，以前是微醺，现在是8度，真的很不错，感觉睡眠都好了很多</t>
        </is>
      </c>
      <c r="C451"/>
      <c r="D451"/>
      <c r="E451"/>
      <c r="F451"/>
      <c r="G451"/>
      <c r="H451"/>
      <c r="I451"/>
      <c r="J451"/>
      <c r="K451"/>
      <c r="L451"/>
      <c r="M451"/>
      <c r="N451"/>
      <c r="O451"/>
      <c r="P451"/>
      <c r="Q451"/>
      <c r="R451"/>
      <c r="S451">
        <v>0.9</v>
      </c>
      <c r="T451" t="inlineStr">
        <is>
          <t>attempt-0002</t>
        </is>
      </c>
      <c r="U451"/>
      <c r="V451"/>
      <c r="W451"/>
      <c r="X451" t="inlineStr">
        <is>
          <t>TB-20260809-014</t>
        </is>
      </c>
      <c r="Y451"/>
      <c r="Z451"/>
      <c r="AA451"/>
      <c r="AB451"/>
      <c r="AC451"/>
      <c r="AD451"/>
      <c r="AE451"/>
      <c r="AF451" t="inlineStr">
        <is>
          <t>AI_矫正前</t>
        </is>
      </c>
      <c r="AG451" t="inlineStr">
        <is>
          <t>GOLD</t>
        </is>
      </c>
      <c r="AH451" t="inlineStr">
        <is>
          <t>COMPETITOR</t>
        </is>
      </c>
      <c r="AI451" t="inlineStr">
        <is>
          <t>ACTUAL_USE</t>
        </is>
      </c>
      <c r="AJ451" t="inlineStr">
        <is>
          <t>A</t>
        </is>
      </c>
      <c r="AK451" t="inlineStr">
        <is>
          <t>核心对象：锐澳不同系列的饮用体验；体验：明确长期喜欢并描述饮后睡眠变化；证据强度：品牌系列经历和身体感受均具体。</t>
        </is>
      </c>
      <c r="AL451"/>
      <c r="AM451" t="inlineStr">
        <is>
          <t>AI_GOLD_矫正前_50.xlsx</t>
        </is>
      </c>
    </row>
    <row r="452" ht="25.5" customHeight="1">
      <c r="A452" t="inlineStr">
        <is>
          <t>XHS-SOC-0230_GOLD_attempt-0002_AI_矫正前</t>
        </is>
      </c>
      <c r="B452" t="inlineStr">
        <is>
          <t>我穷苦人家只喝得起蝶矢</t>
        </is>
      </c>
      <c r="C452"/>
      <c r="D452"/>
      <c r="E452"/>
      <c r="F452"/>
      <c r="G452"/>
      <c r="H452"/>
      <c r="I452"/>
      <c r="J452"/>
      <c r="K452"/>
      <c r="L452"/>
      <c r="M452"/>
      <c r="N452"/>
      <c r="O452"/>
      <c r="P452"/>
      <c r="Q452"/>
      <c r="R452"/>
      <c r="S452">
        <v>0.9</v>
      </c>
      <c r="T452" t="inlineStr">
        <is>
          <t>attempt-0002</t>
        </is>
      </c>
      <c r="U452"/>
      <c r="V452"/>
      <c r="W452"/>
      <c r="X452" t="inlineStr">
        <is>
          <t>XHS-SOC-0230</t>
        </is>
      </c>
      <c r="Y452"/>
      <c r="Z452"/>
      <c r="AA452"/>
      <c r="AB452"/>
      <c r="AC452"/>
      <c r="AD452"/>
      <c r="AE452"/>
      <c r="AF452" t="inlineStr">
        <is>
          <t>AI_矫正前</t>
        </is>
      </c>
      <c r="AG452" t="inlineStr">
        <is>
          <t>GOLD</t>
        </is>
      </c>
      <c r="AH452" t="inlineStr">
        <is>
          <t>COMPETITOR</t>
        </is>
      </c>
      <c r="AI452" t="inlineStr">
        <is>
          <t>ACTUAL_USE</t>
        </is>
      </c>
      <c r="AJ452" t="inlineStr">
        <is>
          <t>B</t>
        </is>
      </c>
      <c r="AK452" t="inlineStr">
        <is>
          <t>核心对象：蝶矢作为价格可负担的饮酒选择；体验：明确表示自己只喝该品牌；证据强度：选择和价格理由明确但缺少具体使用细节。</t>
        </is>
      </c>
      <c r="AL452"/>
      <c r="AM452" t="inlineStr">
        <is>
          <t>AI_GOLD_矫正前_50.xlsx</t>
        </is>
      </c>
    </row>
    <row r="453" ht="25.5" customHeight="1">
      <c r="A453" t="inlineStr">
        <is>
          <t>XHS-SOC-0006_GOLD_attempt-0002_AI_矫正前</t>
        </is>
      </c>
      <c r="B453" t="inlineStr">
        <is>
          <t>我可太懂了，这个阶段持续的时间太短了，不继续喝就会逐渐清醒，再往下喝就要出洋相了</t>
        </is>
      </c>
      <c r="C453"/>
      <c r="D453"/>
      <c r="E453"/>
      <c r="F453"/>
      <c r="G453"/>
      <c r="H453"/>
      <c r="I453"/>
      <c r="J453"/>
      <c r="K453"/>
      <c r="L453"/>
      <c r="M453"/>
      <c r="N453"/>
      <c r="O453"/>
      <c r="P453"/>
      <c r="Q453"/>
      <c r="R453"/>
      <c r="S453">
        <v>0.9</v>
      </c>
      <c r="T453" t="inlineStr">
        <is>
          <t>attempt-0002</t>
        </is>
      </c>
      <c r="U453"/>
      <c r="V453"/>
      <c r="W453"/>
      <c r="X453" t="inlineStr">
        <is>
          <t>XHS-SOC-0006</t>
        </is>
      </c>
      <c r="Y453"/>
      <c r="Z453"/>
      <c r="AA453"/>
      <c r="AB453"/>
      <c r="AC453"/>
      <c r="AD453"/>
      <c r="AE453"/>
      <c r="AF453" t="inlineStr">
        <is>
          <t>AI_矫正前</t>
        </is>
      </c>
      <c r="AG453" t="inlineStr">
        <is>
          <t>GOLD</t>
        </is>
      </c>
      <c r="AH453" t="inlineStr">
        <is>
          <t>SCENE</t>
        </is>
      </c>
      <c r="AI453" t="inlineStr">
        <is>
          <t>ACTUAL_USE</t>
        </is>
      </c>
      <c r="AJ453" t="inlineStr">
        <is>
          <t>A</t>
        </is>
      </c>
      <c r="AK453" t="inlineStr">
        <is>
          <t>核心对象：微醺阶段继续饮酒的状态变化；体验：以本人理解描述清醒和失态之间的饮酒过程；证据强度：行为进程身体状态与社会后果均具体。</t>
        </is>
      </c>
      <c r="AL453"/>
      <c r="AM453" t="inlineStr">
        <is>
          <t>AI_GOLD_矫正前_50.xlsx</t>
        </is>
      </c>
    </row>
    <row r="454" ht="25.5" customHeight="1">
      <c r="A454" t="inlineStr">
        <is>
          <t>DY-SOC-0090_GOLD_attempt-0002_AI_矫正前</t>
        </is>
      </c>
      <c r="B454" t="inlineStr">
        <is>
          <t>还没有喝过梅子酒</t>
        </is>
      </c>
      <c r="C454"/>
      <c r="D454"/>
      <c r="E454"/>
      <c r="F454"/>
      <c r="G454"/>
      <c r="H454"/>
      <c r="I454"/>
      <c r="J454"/>
      <c r="K454"/>
      <c r="L454"/>
      <c r="M454"/>
      <c r="N454"/>
      <c r="O454"/>
      <c r="P454"/>
      <c r="Q454"/>
      <c r="R454"/>
      <c r="S454">
        <v>0.9</v>
      </c>
      <c r="T454" t="inlineStr">
        <is>
          <t>attempt-0002</t>
        </is>
      </c>
      <c r="U454"/>
      <c r="V454"/>
      <c r="W454"/>
      <c r="X454" t="inlineStr">
        <is>
          <t>DY-SOC-0090</t>
        </is>
      </c>
      <c r="Y454"/>
      <c r="Z454"/>
      <c r="AA454"/>
      <c r="AB454"/>
      <c r="AC454"/>
      <c r="AD454"/>
      <c r="AE454"/>
      <c r="AF454" t="inlineStr">
        <is>
          <t>AI_矫正前</t>
        </is>
      </c>
      <c r="AG454" t="inlineStr">
        <is>
          <t>GOLD</t>
        </is>
      </c>
      <c r="AH454" t="inlineStr">
        <is>
          <t>PRODUCT</t>
        </is>
      </c>
      <c r="AI454" t="inlineStr">
        <is>
          <t>NON_USE</t>
        </is>
      </c>
      <c r="AJ454" t="inlineStr">
        <is>
          <t>C</t>
        </is>
      </c>
      <c r="AK454" t="inlineStr">
        <is>
          <t>核心对象：梅子酒产品；体验：明确表示还没有喝过；证据强度：只有未饮用事实而没有产品判断。</t>
        </is>
      </c>
      <c r="AL454"/>
      <c r="AM454" t="inlineStr">
        <is>
          <t>AI_GOLD_矫正前_50.xlsx</t>
        </is>
      </c>
    </row>
    <row r="455" ht="25.5" customHeight="1">
      <c r="A455" t="inlineStr">
        <is>
          <t>XHS-SOC-0203_GOLD_attempt-0002_AI_矫正前</t>
        </is>
      </c>
      <c r="B455" t="inlineStr">
        <is>
          <t>以前我还喝两口，自从看到它是二级致癌物之后就不喝了</t>
        </is>
      </c>
      <c r="C455"/>
      <c r="D455"/>
      <c r="E455"/>
      <c r="F455"/>
      <c r="G455"/>
      <c r="H455"/>
      <c r="I455"/>
      <c r="J455"/>
      <c r="K455"/>
      <c r="L455"/>
      <c r="M455"/>
      <c r="N455"/>
      <c r="O455"/>
      <c r="P455"/>
      <c r="Q455"/>
      <c r="R455"/>
      <c r="S455">
        <v>0.9</v>
      </c>
      <c r="T455" t="inlineStr">
        <is>
          <t>attempt-0002</t>
        </is>
      </c>
      <c r="U455"/>
      <c r="V455"/>
      <c r="W455"/>
      <c r="X455" t="inlineStr">
        <is>
          <t>XHS-SOC-0203</t>
        </is>
      </c>
      <c r="Y455"/>
      <c r="Z455"/>
      <c r="AA455"/>
      <c r="AB455"/>
      <c r="AC455"/>
      <c r="AD455"/>
      <c r="AE455"/>
      <c r="AF455" t="inlineStr">
        <is>
          <t>AI_矫正前</t>
        </is>
      </c>
      <c r="AG455" t="inlineStr">
        <is>
          <t>GOLD</t>
        </is>
      </c>
      <c r="AH455" t="inlineStr">
        <is>
          <t>OTHER</t>
        </is>
      </c>
      <c r="AI455" t="inlineStr">
        <is>
          <t>ACTUAL_USE</t>
        </is>
      </c>
      <c r="AJ455" t="inlineStr">
        <is>
          <t>A</t>
        </is>
      </c>
      <c r="AK455" t="inlineStr">
        <is>
          <t>核心对象：酒精健康风险带来的戒饮决定；体验：明确过去会喝且现在不再饮用；证据强度：既往行为风险依据和行为改变判断完整。</t>
        </is>
      </c>
      <c r="AL455"/>
      <c r="AM455" t="inlineStr">
        <is>
          <t>AI_GOLD_矫正前_50.xlsx</t>
        </is>
      </c>
    </row>
    <row r="456" ht="25.5" customHeight="1">
      <c r="A456" t="inlineStr">
        <is>
          <t>DY-SOC-0267_GOLD_attempt-0002_AI_矫正前</t>
        </is>
      </c>
      <c r="B456" t="inlineStr">
        <is>
          <t>诱惑七号到底哪里可以买到</t>
        </is>
      </c>
      <c r="C456"/>
      <c r="D456"/>
      <c r="E456"/>
      <c r="F456"/>
      <c r="G456"/>
      <c r="H456"/>
      <c r="I456"/>
      <c r="J456"/>
      <c r="K456"/>
      <c r="L456"/>
      <c r="M456"/>
      <c r="N456"/>
      <c r="O456"/>
      <c r="P456"/>
      <c r="Q456"/>
      <c r="R456"/>
      <c r="S456">
        <v>0.9</v>
      </c>
      <c r="T456" t="inlineStr">
        <is>
          <t>attempt-0002</t>
        </is>
      </c>
      <c r="U456"/>
      <c r="V456"/>
      <c r="W456"/>
      <c r="X456" t="inlineStr">
        <is>
          <t>DY-SOC-0267</t>
        </is>
      </c>
      <c r="Y456"/>
      <c r="Z456"/>
      <c r="AA456"/>
      <c r="AB456"/>
      <c r="AC456"/>
      <c r="AD456"/>
      <c r="AE456"/>
      <c r="AF456" t="inlineStr">
        <is>
          <t>AI_矫正前</t>
        </is>
      </c>
      <c r="AG456" t="inlineStr">
        <is>
          <t>GOLD</t>
        </is>
      </c>
      <c r="AH456" t="inlineStr">
        <is>
          <t>SERVICE</t>
        </is>
      </c>
      <c r="AI456" t="inlineStr">
        <is>
          <t>UNKNOWN</t>
        </is>
      </c>
      <c r="AJ456" t="inlineStr">
        <is>
          <t>C</t>
        </is>
      </c>
      <c r="AK456" t="inlineStr">
        <is>
          <t>核心对象：产品购买渠道；体验：没有说明购买或饮用经历；证据强度：只有购买地点询问。</t>
        </is>
      </c>
      <c r="AL456"/>
      <c r="AM456" t="inlineStr">
        <is>
          <t>AI_GOLD_矫正前_50.xlsx</t>
        </is>
      </c>
    </row>
    <row r="457" ht="25.5" customHeight="1">
      <c r="A457" t="inlineStr">
        <is>
          <t>MJ-RAW-0227_GOLD_attempt-0002_AI_矫正前</t>
        </is>
      </c>
      <c r="B457" t="inlineStr">
        <is>
          <t>酒量不好的人的福利来啦</t>
        </is>
      </c>
      <c r="C457"/>
      <c r="D457"/>
      <c r="E457"/>
      <c r="F457"/>
      <c r="G457"/>
      <c r="H457"/>
      <c r="I457"/>
      <c r="J457"/>
      <c r="K457"/>
      <c r="L457"/>
      <c r="M457"/>
      <c r="N457"/>
      <c r="O457"/>
      <c r="P457"/>
      <c r="Q457"/>
      <c r="R457"/>
      <c r="S457">
        <v>0.7</v>
      </c>
      <c r="T457" t="inlineStr">
        <is>
          <t>attempt-0002</t>
        </is>
      </c>
      <c r="U457"/>
      <c r="V457"/>
      <c r="W457"/>
      <c r="X457" t="inlineStr">
        <is>
          <t>MJ-RAW-0227</t>
        </is>
      </c>
      <c r="Y457"/>
      <c r="Z457"/>
      <c r="AA457"/>
      <c r="AB457"/>
      <c r="AC457"/>
      <c r="AD457"/>
      <c r="AE457"/>
      <c r="AF457" t="inlineStr">
        <is>
          <t>AI_矫正前</t>
        </is>
      </c>
      <c r="AG457" t="inlineStr">
        <is>
          <t>GOLD</t>
        </is>
      </c>
      <c r="AH457" t="inlineStr">
        <is>
          <t>PRODUCT</t>
        </is>
      </c>
      <c r="AI457" t="inlineStr">
        <is>
          <t>UNKNOWN</t>
        </is>
      </c>
      <c r="AJ457" t="inlineStr">
        <is>
          <t>C</t>
        </is>
      </c>
      <c r="AK457" t="inlineStr">
        <is>
          <t>核心对象：面向低酒量人群的产品适配；体验：没有说明本人购买或饮用；证据强度：只有笼统宣传式判断。</t>
        </is>
      </c>
      <c r="AL457"/>
      <c r="AM457" t="inlineStr">
        <is>
          <t>AI_GOLD_矫正前_50.xlsx</t>
        </is>
      </c>
    </row>
    <row r="458" ht="25.5" customHeight="1">
      <c r="A458" t="inlineStr">
        <is>
          <t>DY-SOC-0102_GOLD_attempt-0002_AI_矫正前</t>
        </is>
      </c>
      <c r="B458" t="inlineStr">
        <is>
          <t>自己一个人在家微醺有推荐的吗[泪奔]</t>
        </is>
      </c>
      <c r="C458"/>
      <c r="D458"/>
      <c r="E458"/>
      <c r="F458"/>
      <c r="G458"/>
      <c r="H458"/>
      <c r="I458"/>
      <c r="J458"/>
      <c r="K458"/>
      <c r="L458"/>
      <c r="M458"/>
      <c r="N458"/>
      <c r="O458"/>
      <c r="P458"/>
      <c r="Q458"/>
      <c r="R458"/>
      <c r="S458">
        <v>0.9</v>
      </c>
      <c r="T458" t="inlineStr">
        <is>
          <t>attempt-0002</t>
        </is>
      </c>
      <c r="U458"/>
      <c r="V458"/>
      <c r="W458"/>
      <c r="X458" t="inlineStr">
        <is>
          <t>DY-SOC-0102</t>
        </is>
      </c>
      <c r="Y458"/>
      <c r="Z458"/>
      <c r="AA458"/>
      <c r="AB458"/>
      <c r="AC458"/>
      <c r="AD458"/>
      <c r="AE458"/>
      <c r="AF458" t="inlineStr">
        <is>
          <t>AI_矫正前</t>
        </is>
      </c>
      <c r="AG458" t="inlineStr">
        <is>
          <t>GOLD</t>
        </is>
      </c>
      <c r="AH458" t="inlineStr">
        <is>
          <t>OTHER</t>
        </is>
      </c>
      <c r="AI458" t="inlineStr">
        <is>
          <t>UNKNOWN</t>
        </is>
      </c>
      <c r="AJ458" t="inlineStr">
        <is>
          <t>C</t>
        </is>
      </c>
      <c r="AK458" t="inlineStr">
        <is>
          <t>核心对象：独自在家微醺的推荐请求；体验：没有说明已饮用或未饮用；证据强度：只有场景化购买意向且没有实际判断。</t>
        </is>
      </c>
      <c r="AL458"/>
      <c r="AM458" t="inlineStr">
        <is>
          <t>AI_GOLD_矫正前_50.xlsx</t>
        </is>
      </c>
    </row>
    <row r="459" ht="25.5" customHeight="1">
      <c r="A459" t="inlineStr">
        <is>
          <t>XHS-SOC-0193_GOLD_attempt-0002_AI_矫正前</t>
        </is>
      </c>
      <c r="B459" t="inlineStr">
        <is>
          <t>脑子清醒但是身体想睡觉，同时情绪敏感</t>
        </is>
      </c>
      <c r="C459"/>
      <c r="D459"/>
      <c r="E459"/>
      <c r="F459"/>
      <c r="G459"/>
      <c r="H459"/>
      <c r="I459"/>
      <c r="J459"/>
      <c r="K459"/>
      <c r="L459"/>
      <c r="M459"/>
      <c r="N459"/>
      <c r="O459"/>
      <c r="P459"/>
      <c r="Q459"/>
      <c r="R459"/>
      <c r="S459">
        <v>0.5</v>
      </c>
      <c r="T459" t="inlineStr">
        <is>
          <t>attempt-0002</t>
        </is>
      </c>
      <c r="U459"/>
      <c r="V459"/>
      <c r="W459"/>
      <c r="X459" t="inlineStr">
        <is>
          <t>XHS-SOC-0193</t>
        </is>
      </c>
      <c r="Y459"/>
      <c r="Z459"/>
      <c r="AA459"/>
      <c r="AB459"/>
      <c r="AC459"/>
      <c r="AD459"/>
      <c r="AE459"/>
      <c r="AF459" t="inlineStr">
        <is>
          <t>AI_矫正前</t>
        </is>
      </c>
      <c r="AG459" t="inlineStr">
        <is>
          <t>GOLD</t>
        </is>
      </c>
      <c r="AH459" t="inlineStr">
        <is>
          <t>SCENE</t>
        </is>
      </c>
      <c r="AI459" t="inlineStr">
        <is>
          <t>ACTUAL_USE</t>
        </is>
      </c>
      <c r="AJ459" t="inlineStr">
        <is>
          <t>B</t>
        </is>
      </c>
      <c r="AK459" t="inlineStr">
        <is>
          <t>核心对象：饮用相关的身体和情绪状态；体验：直接陈述清醒困倦和情绪敏感的状态；证据强度：状态判断明确但原文未给出饮用过程或情境。</t>
        </is>
      </c>
      <c r="AL459"/>
      <c r="AM459" t="inlineStr">
        <is>
          <t>AI_GOLD_矫正前_50.xlsx</t>
        </is>
      </c>
    </row>
    <row r="460" ht="25.5" customHeight="1">
      <c r="A460" t="inlineStr">
        <is>
          <t>XHS-SOC-0199_GOLD_attempt-0002_AI_矫正前</t>
        </is>
      </c>
      <c r="B460" t="inlineStr">
        <is>
          <t>我急性酒精中毒，3天才活过来！太可怕了，戒酒</t>
        </is>
      </c>
      <c r="C460"/>
      <c r="D460"/>
      <c r="E460"/>
      <c r="F460"/>
      <c r="G460"/>
      <c r="H460"/>
      <c r="I460"/>
      <c r="J460"/>
      <c r="K460"/>
      <c r="L460"/>
      <c r="M460"/>
      <c r="N460"/>
      <c r="O460"/>
      <c r="P460"/>
      <c r="Q460"/>
      <c r="R460"/>
      <c r="S460">
        <v>0.9</v>
      </c>
      <c r="T460" t="inlineStr">
        <is>
          <t>attempt-0002</t>
        </is>
      </c>
      <c r="U460"/>
      <c r="V460"/>
      <c r="W460"/>
      <c r="X460" t="inlineStr">
        <is>
          <t>XHS-SOC-0199</t>
        </is>
      </c>
      <c r="Y460"/>
      <c r="Z460"/>
      <c r="AA460"/>
      <c r="AB460"/>
      <c r="AC460"/>
      <c r="AD460"/>
      <c r="AE460"/>
      <c r="AF460" t="inlineStr">
        <is>
          <t>AI_矫正前</t>
        </is>
      </c>
      <c r="AG460" t="inlineStr">
        <is>
          <t>GOLD</t>
        </is>
      </c>
      <c r="AH460" t="inlineStr">
        <is>
          <t>SCENE</t>
        </is>
      </c>
      <c r="AI460" t="inlineStr">
        <is>
          <t>ACTUAL_USE</t>
        </is>
      </c>
      <c r="AJ460" t="inlineStr">
        <is>
          <t>A</t>
        </is>
      </c>
      <c r="AK460" t="inlineStr">
        <is>
          <t>核心对象：急性酒精中毒后的身体反应；体验：明确陈述本人中毒恢复和戒酒；证据强度：事件持续时间身体后果与行为判断完整。</t>
        </is>
      </c>
      <c r="AL460"/>
      <c r="AM460" t="inlineStr">
        <is>
          <t>AI_GOLD_矫正前_50.xlsx</t>
        </is>
      </c>
    </row>
    <row r="461" ht="25.5" customHeight="1">
      <c r="A461" t="inlineStr">
        <is>
          <t>XHS-SOC-0211_GOLD_attempt-0002_AI_矫正前</t>
        </is>
      </c>
      <c r="B461" t="inlineStr">
        <is>
          <t>好喜欢喝到晕晕的又不会难受头痛那种感觉，走路飘飘的</t>
        </is>
      </c>
      <c r="C461"/>
      <c r="D461"/>
      <c r="E461"/>
      <c r="F461"/>
      <c r="G461"/>
      <c r="H461"/>
      <c r="I461"/>
      <c r="J461"/>
      <c r="K461"/>
      <c r="L461"/>
      <c r="M461"/>
      <c r="N461"/>
      <c r="O461"/>
      <c r="P461"/>
      <c r="Q461"/>
      <c r="R461"/>
      <c r="S461">
        <v>0.9</v>
      </c>
      <c r="T461" t="inlineStr">
        <is>
          <t>attempt-0002</t>
        </is>
      </c>
      <c r="U461"/>
      <c r="V461"/>
      <c r="W461"/>
      <c r="X461" t="inlineStr">
        <is>
          <t>XHS-SOC-0211</t>
        </is>
      </c>
      <c r="Y461"/>
      <c r="Z461"/>
      <c r="AA461"/>
      <c r="AB461"/>
      <c r="AC461"/>
      <c r="AD461"/>
      <c r="AE461"/>
      <c r="AF461" t="inlineStr">
        <is>
          <t>AI_矫正前</t>
        </is>
      </c>
      <c r="AG461" t="inlineStr">
        <is>
          <t>GOLD</t>
        </is>
      </c>
      <c r="AH461" t="inlineStr">
        <is>
          <t>SCENE</t>
        </is>
      </c>
      <c r="AI461" t="inlineStr">
        <is>
          <t>ACTUAL_USE</t>
        </is>
      </c>
      <c r="AJ461" t="inlineStr">
        <is>
          <t>A</t>
        </is>
      </c>
      <c r="AK461" t="inlineStr">
        <is>
          <t>核心对象：醉意中的身体状态；体验：直接描述晕眩不头痛和走路发飘；证据强度：身体反应特征和明确偏好形成完整信息链。</t>
        </is>
      </c>
      <c r="AL461"/>
      <c r="AM461" t="inlineStr">
        <is>
          <t>AI_GOLD_矫正前_50.xlsx</t>
        </is>
      </c>
    </row>
    <row r="462" ht="25.5" customHeight="1">
      <c r="A462" t="inlineStr">
        <is>
          <t>XHS-SOC-0231_GOLD_attempt-0002_AI_矫正前</t>
        </is>
      </c>
      <c r="B462" t="inlineStr">
        <is>
          <t>和闺蜜喝了6瓶，完全喝醉了，第二天起床还头晕</t>
        </is>
      </c>
      <c r="C462"/>
      <c r="D462"/>
      <c r="E462"/>
      <c r="F462"/>
      <c r="G462"/>
      <c r="H462"/>
      <c r="I462"/>
      <c r="J462"/>
      <c r="K462"/>
      <c r="L462"/>
      <c r="M462"/>
      <c r="N462"/>
      <c r="O462"/>
      <c r="P462"/>
      <c r="Q462"/>
      <c r="R462"/>
      <c r="S462">
        <v>0.9</v>
      </c>
      <c r="T462" t="inlineStr">
        <is>
          <t>attempt-0002</t>
        </is>
      </c>
      <c r="U462"/>
      <c r="V462"/>
      <c r="W462"/>
      <c r="X462" t="inlineStr">
        <is>
          <t>XHS-SOC-0231</t>
        </is>
      </c>
      <c r="Y462"/>
      <c r="Z462"/>
      <c r="AA462"/>
      <c r="AB462"/>
      <c r="AC462"/>
      <c r="AD462"/>
      <c r="AE462"/>
      <c r="AF462" t="inlineStr">
        <is>
          <t>AI_矫正前</t>
        </is>
      </c>
      <c r="AG462" t="inlineStr">
        <is>
          <t>GOLD</t>
        </is>
      </c>
      <c r="AH462" t="inlineStr">
        <is>
          <t>SCENE</t>
        </is>
      </c>
      <c r="AI462" t="inlineStr">
        <is>
          <t>ACTUAL_USE</t>
        </is>
      </c>
      <c r="AJ462" t="inlineStr">
        <is>
          <t>A</t>
        </is>
      </c>
      <c r="AK462" t="inlineStr">
        <is>
          <t>核心对象：与闺蜜大量饮酒后的醉酒反应；体验：明确喝了六瓶并描述次日头晕；证据强度：同行者饮用量醉酒与次日后果均完整。</t>
        </is>
      </c>
      <c r="AL462"/>
      <c r="AM462" t="inlineStr">
        <is>
          <t>AI_GOLD_矫正前_50.xlsx</t>
        </is>
      </c>
    </row>
    <row r="463" ht="25.5" customHeight="1">
      <c r="A463" t="inlineStr">
        <is>
          <t>XHS-SOC-0010_GOLD_attempt-0002_AI_矫正前</t>
        </is>
      </c>
      <c r="B463" t="inlineStr">
        <is>
          <t>其实你讨厌的不是敬酒，是各种恶心人的服从性测试</t>
        </is>
      </c>
      <c r="C463"/>
      <c r="D463"/>
      <c r="E463"/>
      <c r="F463"/>
      <c r="G463"/>
      <c r="H463"/>
      <c r="I463"/>
      <c r="J463"/>
      <c r="K463"/>
      <c r="L463"/>
      <c r="M463"/>
      <c r="N463"/>
      <c r="O463"/>
      <c r="P463"/>
      <c r="Q463"/>
      <c r="R463"/>
      <c r="S463">
        <v>0.9</v>
      </c>
      <c r="T463" t="inlineStr">
        <is>
          <t>attempt-0002</t>
        </is>
      </c>
      <c r="U463"/>
      <c r="V463"/>
      <c r="W463"/>
      <c r="X463" t="inlineStr">
        <is>
          <t>XHS-SOC-0010</t>
        </is>
      </c>
      <c r="Y463"/>
      <c r="Z463"/>
      <c r="AA463"/>
      <c r="AB463"/>
      <c r="AC463"/>
      <c r="AD463"/>
      <c r="AE463"/>
      <c r="AF463" t="inlineStr">
        <is>
          <t>AI_矫正前</t>
        </is>
      </c>
      <c r="AG463" t="inlineStr">
        <is>
          <t>GOLD</t>
        </is>
      </c>
      <c r="AH463" t="inlineStr">
        <is>
          <t>SCENE</t>
        </is>
      </c>
      <c r="AI463" t="inlineStr">
        <is>
          <t>UNKNOWN</t>
        </is>
      </c>
      <c r="AJ463" t="inlineStr">
        <is>
          <t>B</t>
        </is>
      </c>
      <c r="AK463" t="inlineStr">
        <is>
          <t>核心对象：酒桌敬酒中的服从性行为；体验：没有说明本人参与或饮用；证据强度：社会行为判断明确但缺少具体事件依据。</t>
        </is>
      </c>
      <c r="AL463"/>
      <c r="AM463" t="inlineStr">
        <is>
          <t>AI_GOLD_矫正前_50.xlsx</t>
        </is>
      </c>
    </row>
    <row r="464" ht="25.5" customHeight="1">
      <c r="A464" t="inlineStr">
        <is>
          <t>MJ-RAW-0322_GOLD_attempt-0002_AI_矫正前</t>
        </is>
      </c>
      <c r="B464" t="inlineStr">
        <is>
          <t>酒量不好的人的福利来啦</t>
        </is>
      </c>
      <c r="C464"/>
      <c r="D464"/>
      <c r="E464"/>
      <c r="F464"/>
      <c r="G464"/>
      <c r="H464"/>
      <c r="I464"/>
      <c r="J464"/>
      <c r="K464"/>
      <c r="L464"/>
      <c r="M464"/>
      <c r="N464"/>
      <c r="O464"/>
      <c r="P464"/>
      <c r="Q464"/>
      <c r="R464"/>
      <c r="S464">
        <v>0.7</v>
      </c>
      <c r="T464" t="inlineStr">
        <is>
          <t>attempt-0002</t>
        </is>
      </c>
      <c r="U464"/>
      <c r="V464"/>
      <c r="W464"/>
      <c r="X464" t="inlineStr">
        <is>
          <t>MJ-RAW-0322</t>
        </is>
      </c>
      <c r="Y464"/>
      <c r="Z464"/>
      <c r="AA464"/>
      <c r="AB464"/>
      <c r="AC464"/>
      <c r="AD464"/>
      <c r="AE464"/>
      <c r="AF464" t="inlineStr">
        <is>
          <t>AI_矫正前</t>
        </is>
      </c>
      <c r="AG464" t="inlineStr">
        <is>
          <t>GOLD</t>
        </is>
      </c>
      <c r="AH464" t="inlineStr">
        <is>
          <t>PRODUCT</t>
        </is>
      </c>
      <c r="AI464" t="inlineStr">
        <is>
          <t>UNKNOWN</t>
        </is>
      </c>
      <c r="AJ464" t="inlineStr">
        <is>
          <t>C</t>
        </is>
      </c>
      <c r="AK464" t="inlineStr">
        <is>
          <t>核心对象：面向低酒量人群的产品适配；体验：没有说明本人购买或饮用；证据强度：只有笼统宣传式判断。</t>
        </is>
      </c>
      <c r="AL464"/>
      <c r="AM464" t="inlineStr">
        <is>
          <t>AI_GOLD_矫正前_50.xlsx</t>
        </is>
      </c>
    </row>
    <row r="465" ht="25.5" customHeight="1">
      <c r="A465" t="inlineStr">
        <is>
          <t>XHS-SOC-0243_GOLD_attempt-0002_AI_矫正前</t>
        </is>
      </c>
      <c r="B465" t="inlineStr">
        <is>
          <t>昆竹，里面最贵的那个青梅酒的品，最柔和</t>
        </is>
      </c>
      <c r="C465"/>
      <c r="D465"/>
      <c r="E465"/>
      <c r="F465"/>
      <c r="G465"/>
      <c r="H465"/>
      <c r="I465"/>
      <c r="J465"/>
      <c r="K465"/>
      <c r="L465"/>
      <c r="M465"/>
      <c r="N465"/>
      <c r="O465"/>
      <c r="P465"/>
      <c r="Q465"/>
      <c r="R465"/>
      <c r="S465">
        <v>0.9</v>
      </c>
      <c r="T465" t="inlineStr">
        <is>
          <t>attempt-0002</t>
        </is>
      </c>
      <c r="U465"/>
      <c r="V465"/>
      <c r="W465"/>
      <c r="X465" t="inlineStr">
        <is>
          <t>XHS-SOC-0243</t>
        </is>
      </c>
      <c r="Y465"/>
      <c r="Z465"/>
      <c r="AA465"/>
      <c r="AB465"/>
      <c r="AC465"/>
      <c r="AD465"/>
      <c r="AE465"/>
      <c r="AF465" t="inlineStr">
        <is>
          <t>AI_矫正前</t>
        </is>
      </c>
      <c r="AG465" t="inlineStr">
        <is>
          <t>GOLD</t>
        </is>
      </c>
      <c r="AH465" t="inlineStr">
        <is>
          <t>COMPETITOR</t>
        </is>
      </c>
      <c r="AI465" t="inlineStr">
        <is>
          <t>ACTUAL_USE</t>
        </is>
      </c>
      <c r="AJ465" t="inlineStr">
        <is>
          <t>A</t>
        </is>
      </c>
      <c r="AK465" t="inlineStr">
        <is>
          <t>核心对象：昆竹高价青梅酒的口感评价；体验：直接判断该款最柔和；证据强度：明确品牌价格位置和比较判断形成完整信息链。</t>
        </is>
      </c>
      <c r="AL465"/>
      <c r="AM465" t="inlineStr">
        <is>
          <t>AI_GOLD_矫正前_50.xlsx</t>
        </is>
      </c>
    </row>
    <row r="466" ht="25.5" customHeight="1">
      <c r="A466" t="inlineStr">
        <is>
          <t>TB-20260809-018_GOLD_attempt-0002_AI_矫正前</t>
        </is>
      </c>
      <c r="B466" t="inlineStr">
        <is>
          <t>好喝爱喝经常来买。喜欢茉莉新口味和荔枝味。这俩是最爱</t>
        </is>
      </c>
      <c r="C466"/>
      <c r="D466"/>
      <c r="E466"/>
      <c r="F466"/>
      <c r="G466"/>
      <c r="H466"/>
      <c r="I466"/>
      <c r="J466"/>
      <c r="K466"/>
      <c r="L466"/>
      <c r="M466"/>
      <c r="N466"/>
      <c r="O466"/>
      <c r="P466"/>
      <c r="Q466"/>
      <c r="R466"/>
      <c r="S466">
        <v>0.9</v>
      </c>
      <c r="T466" t="inlineStr">
        <is>
          <t>attempt-0002</t>
        </is>
      </c>
      <c r="U466"/>
      <c r="V466"/>
      <c r="W466"/>
      <c r="X466" t="inlineStr">
        <is>
          <t>TB-20260809-018</t>
        </is>
      </c>
      <c r="Y466"/>
      <c r="Z466"/>
      <c r="AA466"/>
      <c r="AB466"/>
      <c r="AC466"/>
      <c r="AD466"/>
      <c r="AE466"/>
      <c r="AF466" t="inlineStr">
        <is>
          <t>AI_矫正前</t>
        </is>
      </c>
      <c r="AG466" t="inlineStr">
        <is>
          <t>GOLD</t>
        </is>
      </c>
      <c r="AH466" t="inlineStr">
        <is>
          <t>PRODUCT</t>
        </is>
      </c>
      <c r="AI466" t="inlineStr">
        <is>
          <t>ACTUAL_USE</t>
        </is>
      </c>
      <c r="AJ466" t="inlineStr">
        <is>
          <t>A</t>
        </is>
      </c>
      <c r="AK466" t="inlineStr">
        <is>
          <t>核心对象：茉莉和荔枝口味产品；体验：明确经常购买并直接评价好喝；证据强度：复购行为口味偏好和判断形成完整信息链。</t>
        </is>
      </c>
      <c r="AL466"/>
      <c r="AM466" t="inlineStr">
        <is>
          <t>AI_GOLD_矫正前_50.xlsx</t>
        </is>
      </c>
    </row>
    <row r="467" ht="25.5" customHeight="1">
      <c r="A467" t="inlineStr">
        <is>
          <t>TB-20260809-033_GOLD_attempt-0002_AI_矫正前</t>
        </is>
      </c>
      <c r="B467" t="inlineStr">
        <is>
          <t>口感不错，加冰更好，夏天来上一杯，比啤酒更爽</t>
        </is>
      </c>
      <c r="C467"/>
      <c r="D467"/>
      <c r="E467"/>
      <c r="F467"/>
      <c r="G467"/>
      <c r="H467"/>
      <c r="I467"/>
      <c r="J467"/>
      <c r="K467"/>
      <c r="L467"/>
      <c r="M467"/>
      <c r="N467"/>
      <c r="O467"/>
      <c r="P467"/>
      <c r="Q467"/>
      <c r="R467"/>
      <c r="S467">
        <v>0.9</v>
      </c>
      <c r="T467" t="inlineStr">
        <is>
          <t>attempt-0002</t>
        </is>
      </c>
      <c r="U467"/>
      <c r="V467"/>
      <c r="W467"/>
      <c r="X467" t="inlineStr">
        <is>
          <t>TB-20260809-033</t>
        </is>
      </c>
      <c r="Y467"/>
      <c r="Z467"/>
      <c r="AA467"/>
      <c r="AB467"/>
      <c r="AC467"/>
      <c r="AD467"/>
      <c r="AE467"/>
      <c r="AF467" t="inlineStr">
        <is>
          <t>AI_矫正前</t>
        </is>
      </c>
      <c r="AG467" t="inlineStr">
        <is>
          <t>GOLD</t>
        </is>
      </c>
      <c r="AH467" t="inlineStr">
        <is>
          <t>COMPETITOR</t>
        </is>
      </c>
      <c r="AI467" t="inlineStr">
        <is>
          <t>ACTUAL_USE</t>
        </is>
      </c>
      <c r="AJ467" t="inlineStr">
        <is>
          <t>A</t>
        </is>
      </c>
      <c r="AK467" t="inlineStr">
        <is>
          <t>核心对象：该酒与啤酒的夏日饮用比较；体验：直接评价口感和加冰效果；证据强度：具体饮法季节情境与比较判断完整。</t>
        </is>
      </c>
      <c r="AL467"/>
      <c r="AM467" t="inlineStr">
        <is>
          <t>AI_GOLD_矫正前_50.xlsx</t>
        </is>
      </c>
    </row>
    <row r="468" ht="25.5" customHeight="1">
      <c r="A468" t="inlineStr">
        <is>
          <t>XHS-SOC-0184_GOLD_attempt-0002_AI_矫正前</t>
        </is>
      </c>
      <c r="B468" t="inlineStr">
        <is>
          <t>打开闻到味道我以为是藿香正气水。。。</t>
        </is>
      </c>
      <c r="C468"/>
      <c r="D468"/>
      <c r="E468"/>
      <c r="F468"/>
      <c r="G468"/>
      <c r="H468"/>
      <c r="I468"/>
      <c r="J468"/>
      <c r="K468"/>
      <c r="L468"/>
      <c r="M468"/>
      <c r="N468"/>
      <c r="O468"/>
      <c r="P468"/>
      <c r="Q468"/>
      <c r="R468"/>
      <c r="S468">
        <v>0.9</v>
      </c>
      <c r="T468" t="inlineStr">
        <is>
          <t>attempt-0002</t>
        </is>
      </c>
      <c r="U468"/>
      <c r="V468"/>
      <c r="W468"/>
      <c r="X468" t="inlineStr">
        <is>
          <t>XHS-SOC-0184</t>
        </is>
      </c>
      <c r="Y468"/>
      <c r="Z468"/>
      <c r="AA468"/>
      <c r="AB468"/>
      <c r="AC468"/>
      <c r="AD468"/>
      <c r="AE468"/>
      <c r="AF468" t="inlineStr">
        <is>
          <t>AI_矫正前</t>
        </is>
      </c>
      <c r="AG468" t="inlineStr">
        <is>
          <t>GOLD</t>
        </is>
      </c>
      <c r="AH468" t="inlineStr">
        <is>
          <t>PRODUCT</t>
        </is>
      </c>
      <c r="AI468" t="inlineStr">
        <is>
          <t>ACTUAL_USE</t>
        </is>
      </c>
      <c r="AJ468" t="inlineStr">
        <is>
          <t>B</t>
        </is>
      </c>
      <c r="AK468" t="inlineStr">
        <is>
          <t>核心对象：产品开封后的气味；体验：明确描述打开后闻到的味道；证据强度：判断明确但缺少更多使用情境和细节。</t>
        </is>
      </c>
      <c r="AL468"/>
      <c r="AM468" t="inlineStr">
        <is>
          <t>AI_GOLD_矫正前_50.xlsx</t>
        </is>
      </c>
    </row>
    <row r="469" ht="25.5" customHeight="1">
      <c r="A469" t="inlineStr">
        <is>
          <t>TB-20260809-024_GOLD_attempt-0002_AI_矫正前</t>
        </is>
      </c>
      <c r="B469" t="inlineStr">
        <is>
          <t>挺好的，性价比很高，酸甜口味，很容易接受，被这干净的配料表圈粉了！只有青梅、白酒、糖和蜂蜜，没乱七八糟的添加。13度加冰块喝，酒味淡了，满嘴都是梅子酸甜，像喝冰镇果汁。广东30多年的老牌子，二十几块钱一瓶，性价比绝了，必须囤！</t>
        </is>
      </c>
      <c r="C469"/>
      <c r="D469"/>
      <c r="E469"/>
      <c r="F469"/>
      <c r="G469"/>
      <c r="H469"/>
      <c r="I469"/>
      <c r="J469"/>
      <c r="K469"/>
      <c r="L469"/>
      <c r="M469"/>
      <c r="N469"/>
      <c r="O469"/>
      <c r="P469"/>
      <c r="Q469"/>
      <c r="R469"/>
      <c r="S469">
        <v>0.9</v>
      </c>
      <c r="T469" t="inlineStr">
        <is>
          <t>attempt-0002</t>
        </is>
      </c>
      <c r="U469"/>
      <c r="V469"/>
      <c r="W469"/>
      <c r="X469" t="inlineStr">
        <is>
          <t>TB-20260809-024</t>
        </is>
      </c>
      <c r="Y469"/>
      <c r="Z469"/>
      <c r="AA469"/>
      <c r="AB469"/>
      <c r="AC469"/>
      <c r="AD469"/>
      <c r="AE469"/>
      <c r="AF469" t="inlineStr">
        <is>
          <t>AI_矫正前</t>
        </is>
      </c>
      <c r="AG469" t="inlineStr">
        <is>
          <t>GOLD</t>
        </is>
      </c>
      <c r="AH469" t="inlineStr">
        <is>
          <t>PRODUCT</t>
        </is>
      </c>
      <c r="AI469" t="inlineStr">
        <is>
          <t>ACTUAL_USE</t>
        </is>
      </c>
      <c r="AJ469" t="inlineStr">
        <is>
          <t>A</t>
        </is>
      </c>
      <c r="AK469" t="inlineStr">
        <is>
          <t>核心对象：青梅酒的配料口感与性价比；体验：明确描述加冰后的入口感受；证据强度：配料价格饮法与囤货判断均具体。</t>
        </is>
      </c>
      <c r="AL469"/>
      <c r="AM469" t="inlineStr">
        <is>
          <t>AI_GOLD_矫正前_50.xlsx</t>
        </is>
      </c>
    </row>
    <row r="470" ht="25.5" customHeight="1">
      <c r="A470" t="inlineStr">
        <is>
          <t>JD-RAW-0102_GOLD_attempt-0002_AI_矫正前</t>
        </is>
      </c>
      <c r="B470" t="inlineStr">
        <is>
          <t>口感不错，加冰更好，夏天来上一杯，比啤酒更爽</t>
        </is>
      </c>
      <c r="C470"/>
      <c r="D470"/>
      <c r="E470"/>
      <c r="F470"/>
      <c r="G470"/>
      <c r="H470"/>
      <c r="I470"/>
      <c r="J470"/>
      <c r="K470"/>
      <c r="L470"/>
      <c r="M470"/>
      <c r="N470"/>
      <c r="O470"/>
      <c r="P470"/>
      <c r="Q470"/>
      <c r="R470"/>
      <c r="S470">
        <v>0.9</v>
      </c>
      <c r="T470" t="inlineStr">
        <is>
          <t>attempt-0002</t>
        </is>
      </c>
      <c r="U470"/>
      <c r="V470"/>
      <c r="W470"/>
      <c r="X470" t="inlineStr">
        <is>
          <t>JD-RAW-0102</t>
        </is>
      </c>
      <c r="Y470"/>
      <c r="Z470"/>
      <c r="AA470"/>
      <c r="AB470"/>
      <c r="AC470"/>
      <c r="AD470"/>
      <c r="AE470"/>
      <c r="AF470" t="inlineStr">
        <is>
          <t>AI_矫正前</t>
        </is>
      </c>
      <c r="AG470" t="inlineStr">
        <is>
          <t>GOLD</t>
        </is>
      </c>
      <c r="AH470" t="inlineStr">
        <is>
          <t>COMPETITOR</t>
        </is>
      </c>
      <c r="AI470" t="inlineStr">
        <is>
          <t>ACTUAL_USE</t>
        </is>
      </c>
      <c r="AJ470" t="inlineStr">
        <is>
          <t>A</t>
        </is>
      </c>
      <c r="AK470" t="inlineStr">
        <is>
          <t>核心对象：该酒与啤酒的夏日饮用比较；体验：直接评价口感和加冰效果；证据强度：具体饮法季节情境与比较判断完整。</t>
        </is>
      </c>
      <c r="AL470"/>
      <c r="AM470" t="inlineStr">
        <is>
          <t>AI_GOLD_矫正前_50.xlsx</t>
        </is>
      </c>
    </row>
    <row r="471" ht="25.5" customHeight="1">
      <c r="A471" t="inlineStr">
        <is>
          <t>MJ-RAW-0006_GOLD_attempt-0006_AI_矫正后</t>
        </is>
      </c>
      <c r="B471" t="inlineStr">
        <is>
          <t>“梅见，兴冲冲的下单结果满载失望。这玩意入口就像是酒精跟青梅汁勾兑的一样，酒精是酒精青梅汁是青梅汁，啥也不是。"</t>
        </is>
      </c>
      <c r="C471"/>
      <c r="D471"/>
      <c r="E471"/>
      <c r="F471"/>
      <c r="G471"/>
      <c r="H471"/>
      <c r="I471"/>
      <c r="J471"/>
      <c r="K471"/>
      <c r="L471"/>
      <c r="M471"/>
      <c r="N471"/>
      <c r="O471"/>
      <c r="P471"/>
      <c r="Q471"/>
      <c r="R471"/>
      <c r="S471">
        <v>0.9</v>
      </c>
      <c r="T471" t="inlineStr">
        <is>
          <t>attempt-0006</t>
        </is>
      </c>
      <c r="U471"/>
      <c r="V471"/>
      <c r="W471"/>
      <c r="X471" t="inlineStr">
        <is>
          <t>MJ-RAW-0006</t>
        </is>
      </c>
      <c r="Y471"/>
      <c r="Z471"/>
      <c r="AA471"/>
      <c r="AB471"/>
      <c r="AC471"/>
      <c r="AD471"/>
      <c r="AE471"/>
      <c r="AF471" t="inlineStr">
        <is>
          <t>AI_矫正后</t>
        </is>
      </c>
      <c r="AG471" t="inlineStr">
        <is>
          <t>GOLD</t>
        </is>
      </c>
      <c r="AH471" t="inlineStr">
        <is>
          <t>PRODUCT</t>
        </is>
      </c>
      <c r="AI471" t="inlineStr">
        <is>
          <t>ACTUAL_USE</t>
        </is>
      </c>
      <c r="AJ471" t="inlineStr">
        <is>
          <t>A</t>
        </is>
      </c>
      <c r="AK471" t="inlineStr">
        <is>
          <t>核心对象：PRODUCT（入口风味与口感）；体验：ACTUAL_USE（明确描述入口感受并表达失望）；证据强度：A（有购买后饮用情境、具体味觉依据和明确判断）。</t>
        </is>
      </c>
      <c r="AL471"/>
      <c r="AM471" t="inlineStr">
        <is>
          <t>AI_GOLD_矫正后_50.xlsx</t>
        </is>
      </c>
    </row>
    <row r="472" ht="25.5" customHeight="1">
      <c r="A472" t="inlineStr">
        <is>
          <t>MJ-RAW-0009_GOLD_attempt-0006_AI_矫正后</t>
        </is>
      </c>
      <c r="B472" t="inlineStr">
        <is>
          <t>就现在我正在喝这个，当饮料喝了，平时都喝53五粮液和58度金门高粱酒的，这玩意喝起来口感就是个饮料，已经两瓶喝完了，酸酸的，没酒味，兑点伏特加做成40多度应该味道不错</t>
        </is>
      </c>
      <c r="C472"/>
      <c r="D472"/>
      <c r="E472"/>
      <c r="F472"/>
      <c r="G472"/>
      <c r="H472"/>
      <c r="I472"/>
      <c r="J472"/>
      <c r="K472"/>
      <c r="L472"/>
      <c r="M472"/>
      <c r="N472"/>
      <c r="O472"/>
      <c r="P472"/>
      <c r="Q472"/>
      <c r="R472"/>
      <c r="S472">
        <v>0.9</v>
      </c>
      <c r="T472" t="inlineStr">
        <is>
          <t>attempt-0006</t>
        </is>
      </c>
      <c r="U472"/>
      <c r="V472"/>
      <c r="W472"/>
      <c r="X472" t="inlineStr">
        <is>
          <t>MJ-RAW-0009</t>
        </is>
      </c>
      <c r="Y472"/>
      <c r="Z472"/>
      <c r="AA472"/>
      <c r="AB472"/>
      <c r="AC472"/>
      <c r="AD472"/>
      <c r="AE472"/>
      <c r="AF472" t="inlineStr">
        <is>
          <t>AI_矫正后</t>
        </is>
      </c>
      <c r="AG472" t="inlineStr">
        <is>
          <t>GOLD</t>
        </is>
      </c>
      <c r="AH472" t="inlineStr">
        <is>
          <t>PRODUCT</t>
        </is>
      </c>
      <c r="AI472" t="inlineStr">
        <is>
          <t>ACTUAL_USE</t>
        </is>
      </c>
      <c r="AJ472" t="inlineStr">
        <is>
          <t>A</t>
        </is>
      </c>
      <c r="AK472" t="inlineStr">
        <is>
          <t>核心对象：PRODUCT（口感与酒精感）；体验：ACTUAL_USE（明确说明正在饮用、已喝完两瓶并描述口感）；证据强度：A（有直接饮用情境、饮用量、具体味觉判断和调饮设想）。</t>
        </is>
      </c>
      <c r="AL472"/>
      <c r="AM472" t="inlineStr">
        <is>
          <t>AI_GOLD_矫正后_50.xlsx</t>
        </is>
      </c>
    </row>
    <row r="473" ht="25.5" customHeight="1">
      <c r="A473" t="inlineStr">
        <is>
          <t>MJ-RAW-0011_GOLD_attempt-0006_AI_矫正后</t>
        </is>
      </c>
      <c r="B473" t="inlineStr">
        <is>
          <t>有点像喝止咳糖浆加酒</t>
        </is>
      </c>
      <c r="C473"/>
      <c r="D473"/>
      <c r="E473"/>
      <c r="F473"/>
      <c r="G473"/>
      <c r="H473"/>
      <c r="I473"/>
      <c r="J473"/>
      <c r="K473"/>
      <c r="L473"/>
      <c r="M473"/>
      <c r="N473"/>
      <c r="O473"/>
      <c r="P473"/>
      <c r="Q473"/>
      <c r="R473"/>
      <c r="S473">
        <v>0.9</v>
      </c>
      <c r="T473" t="inlineStr">
        <is>
          <t>attempt-0006</t>
        </is>
      </c>
      <c r="U473"/>
      <c r="V473"/>
      <c r="W473"/>
      <c r="X473" t="inlineStr">
        <is>
          <t>MJ-RAW-0011</t>
        </is>
      </c>
      <c r="Y473"/>
      <c r="Z473"/>
      <c r="AA473"/>
      <c r="AB473"/>
      <c r="AC473"/>
      <c r="AD473"/>
      <c r="AE473"/>
      <c r="AF473" t="inlineStr">
        <is>
          <t>AI_矫正后</t>
        </is>
      </c>
      <c r="AG473" t="inlineStr">
        <is>
          <t>GOLD</t>
        </is>
      </c>
      <c r="AH473" t="inlineStr">
        <is>
          <t>PRODUCT</t>
        </is>
      </c>
      <c r="AI473" t="inlineStr">
        <is>
          <t>ACTUAL_USE</t>
        </is>
      </c>
      <c r="AJ473" t="inlineStr">
        <is>
          <t>C</t>
        </is>
      </c>
      <c r="AK473" t="inlineStr">
        <is>
          <t>核心对象：PRODUCT（味道与口感）；体验：ACTUAL_USE（直接以味觉类比评价口感）；证据强度：C（仅有单一类比判断，缺少具体情境或细节）。</t>
        </is>
      </c>
      <c r="AL473"/>
      <c r="AM473" t="inlineStr">
        <is>
          <t>AI_GOLD_矫正后_50.xlsx</t>
        </is>
      </c>
    </row>
    <row r="474" ht="25.5" customHeight="1">
      <c r="A474" t="inlineStr">
        <is>
          <t>MJ-RAW-0023_GOLD_attempt-0006_AI_矫正后</t>
        </is>
      </c>
      <c r="B474" t="inlineStr">
        <is>
          <t>味道酸甜平衡：很好喝口感顺滑度：好喝酒精度数：刚刚好香气浓郁度：香</t>
        </is>
      </c>
      <c r="C474"/>
      <c r="D474"/>
      <c r="E474"/>
      <c r="F474"/>
      <c r="G474"/>
      <c r="H474"/>
      <c r="I474"/>
      <c r="J474"/>
      <c r="K474"/>
      <c r="L474"/>
      <c r="M474"/>
      <c r="N474"/>
      <c r="O474"/>
      <c r="P474"/>
      <c r="Q474"/>
      <c r="R474"/>
      <c r="S474">
        <v>0.9</v>
      </c>
      <c r="T474" t="inlineStr">
        <is>
          <t>attempt-0006</t>
        </is>
      </c>
      <c r="U474"/>
      <c r="V474"/>
      <c r="W474"/>
      <c r="X474" t="inlineStr">
        <is>
          <t>MJ-RAW-0023</t>
        </is>
      </c>
      <c r="Y474"/>
      <c r="Z474"/>
      <c r="AA474"/>
      <c r="AB474"/>
      <c r="AC474"/>
      <c r="AD474"/>
      <c r="AE474"/>
      <c r="AF474" t="inlineStr">
        <is>
          <t>AI_矫正后</t>
        </is>
      </c>
      <c r="AG474" t="inlineStr">
        <is>
          <t>GOLD</t>
        </is>
      </c>
      <c r="AH474" t="inlineStr">
        <is>
          <t>PRODUCT</t>
        </is>
      </c>
      <c r="AI474" t="inlineStr">
        <is>
          <t>ACTUAL_USE</t>
        </is>
      </c>
      <c r="AJ474" t="inlineStr">
        <is>
          <t>B</t>
        </is>
      </c>
      <c r="AK474" t="inlineStr">
        <is>
          <t>核心对象：PRODUCT（酸甜、口感、酒精度数和香气）；体验：ACTUAL_USE（直接评价各项饮用感受）；证据强度：B（评价维度明确，但缺少具体饮用情境或可复核细节）。</t>
        </is>
      </c>
      <c r="AL474"/>
      <c r="AM474" t="inlineStr">
        <is>
          <t>AI_GOLD_矫正后_50.xlsx</t>
        </is>
      </c>
    </row>
    <row r="475" ht="25.5" customHeight="1">
      <c r="A475" t="inlineStr">
        <is>
          <t>MJ-RAW-0025_GOLD_attempt-0006_AI_矫正后</t>
        </is>
      </c>
      <c r="B475" t="inlineStr">
        <is>
          <t>嗯，感觉香味还是比较清淡的，配饮料没那么好喝，本身就比较清淡了，因为酒精的酒精度也不是很大，就是喝着玩都可以。加冰以后口感很好。</t>
        </is>
      </c>
      <c r="C475"/>
      <c r="D475"/>
      <c r="E475"/>
      <c r="F475"/>
      <c r="G475"/>
      <c r="H475"/>
      <c r="I475"/>
      <c r="J475"/>
      <c r="K475"/>
      <c r="L475"/>
      <c r="M475"/>
      <c r="N475"/>
      <c r="O475"/>
      <c r="P475"/>
      <c r="Q475"/>
      <c r="R475"/>
      <c r="S475">
        <v>0.9</v>
      </c>
      <c r="T475" t="inlineStr">
        <is>
          <t>attempt-0006</t>
        </is>
      </c>
      <c r="U475"/>
      <c r="V475"/>
      <c r="W475"/>
      <c r="X475" t="inlineStr">
        <is>
          <t>MJ-RAW-0025</t>
        </is>
      </c>
      <c r="Y475"/>
      <c r="Z475"/>
      <c r="AA475"/>
      <c r="AB475"/>
      <c r="AC475"/>
      <c r="AD475"/>
      <c r="AE475"/>
      <c r="AF475" t="inlineStr">
        <is>
          <t>AI_矫正后</t>
        </is>
      </c>
      <c r="AG475" t="inlineStr">
        <is>
          <t>GOLD</t>
        </is>
      </c>
      <c r="AH475" t="inlineStr">
        <is>
          <t>PRODUCT</t>
        </is>
      </c>
      <c r="AI475" t="inlineStr">
        <is>
          <t>ACTUAL_USE</t>
        </is>
      </c>
      <c r="AJ475" t="inlineStr">
        <is>
          <t>A</t>
        </is>
      </c>
      <c r="AK475" t="inlineStr">
        <is>
          <t>核心对象：PRODUCT（香气、酒精度与调饮口感）；体验：ACTUAL_USE（直接比较配饮料和加冰后的口感）；证据强度：A（有具体调饮条件、风味判断、酒精度评价和结果）。</t>
        </is>
      </c>
      <c r="AL475"/>
      <c r="AM475" t="inlineStr">
        <is>
          <t>AI_GOLD_矫正后_50.xlsx</t>
        </is>
      </c>
    </row>
    <row r="476" ht="25.5" customHeight="1">
      <c r="A476" t="inlineStr">
        <is>
          <t>MJ-RAW-0038_GOLD_attempt-0006_AI_矫正后</t>
        </is>
      </c>
      <c r="B476" t="inlineStr">
        <is>
          <t>第一次买8%vol.下次再买高一点浓度的。</t>
        </is>
      </c>
      <c r="C476"/>
      <c r="D476"/>
      <c r="E476"/>
      <c r="F476"/>
      <c r="G476"/>
      <c r="H476"/>
      <c r="I476"/>
      <c r="J476"/>
      <c r="K476"/>
      <c r="L476"/>
      <c r="M476"/>
      <c r="N476"/>
      <c r="O476"/>
      <c r="P476"/>
      <c r="Q476"/>
      <c r="R476"/>
      <c r="S476">
        <v>0.9</v>
      </c>
      <c r="T476" t="inlineStr">
        <is>
          <t>attempt-0006</t>
        </is>
      </c>
      <c r="U476"/>
      <c r="V476"/>
      <c r="W476"/>
      <c r="X476" t="inlineStr">
        <is>
          <t>MJ-RAW-0038</t>
        </is>
      </c>
      <c r="Y476"/>
      <c r="Z476"/>
      <c r="AA476"/>
      <c r="AB476"/>
      <c r="AC476"/>
      <c r="AD476"/>
      <c r="AE476"/>
      <c r="AF476" t="inlineStr">
        <is>
          <t>AI_矫正后</t>
        </is>
      </c>
      <c r="AG476" t="inlineStr">
        <is>
          <t>GOLD</t>
        </is>
      </c>
      <c r="AH476" t="inlineStr">
        <is>
          <t>PRODUCT</t>
        </is>
      </c>
      <c r="AI476" t="inlineStr">
        <is>
          <t>PURCHASE_ONLY</t>
        </is>
      </c>
      <c r="AJ476" t="inlineStr">
        <is>
          <t>C</t>
        </is>
      </c>
      <c r="AK476" t="inlineStr">
        <is>
          <t>核心对象：PRODUCT（酒精度规格）；体验：PURCHASE_ONLY（明确表示第一次购买但未说明饮用）；证据强度：C（仅有购买与下次选择意向，缺少具体体验判断）。</t>
        </is>
      </c>
      <c r="AL476"/>
      <c r="AM476" t="inlineStr">
        <is>
          <t>AI_GOLD_矫正后_50.xlsx</t>
        </is>
      </c>
    </row>
    <row r="477" ht="25.5" customHeight="1">
      <c r="A477" t="inlineStr">
        <is>
          <t>MJ-RAW-0047_GOLD_attempt-0006_AI_矫正后</t>
        </is>
      </c>
      <c r="B477" t="inlineStr">
        <is>
          <t>避雷:乌龙茶+梅见脉动+梅见</t>
        </is>
      </c>
      <c r="C477"/>
      <c r="D477"/>
      <c r="E477"/>
      <c r="F477"/>
      <c r="G477"/>
      <c r="H477"/>
      <c r="I477"/>
      <c r="J477"/>
      <c r="K477"/>
      <c r="L477"/>
      <c r="M477"/>
      <c r="N477"/>
      <c r="O477"/>
      <c r="P477"/>
      <c r="Q477"/>
      <c r="R477"/>
      <c r="S477">
        <v>0.9</v>
      </c>
      <c r="T477" t="inlineStr">
        <is>
          <t>attempt-0006</t>
        </is>
      </c>
      <c r="U477"/>
      <c r="V477"/>
      <c r="W477"/>
      <c r="X477" t="inlineStr">
        <is>
          <t>MJ-RAW-0047</t>
        </is>
      </c>
      <c r="Y477"/>
      <c r="Z477"/>
      <c r="AA477"/>
      <c r="AB477"/>
      <c r="AC477"/>
      <c r="AD477"/>
      <c r="AE477"/>
      <c r="AF477" t="inlineStr">
        <is>
          <t>AI_矫正后</t>
        </is>
      </c>
      <c r="AG477" t="inlineStr">
        <is>
          <t>GOLD</t>
        </is>
      </c>
      <c r="AH477" t="inlineStr">
        <is>
          <t>PRODUCT</t>
        </is>
      </c>
      <c r="AI477" t="inlineStr">
        <is>
          <t>UNKNOWN</t>
        </is>
      </c>
      <c r="AJ477" t="inlineStr">
        <is>
          <t>C</t>
        </is>
      </c>
      <c r="AK477" t="inlineStr">
        <is>
          <t>核心对象：PRODUCT（含梅见的调饮组合）；体验：UNKNOWN（仅有“避雷”判断，未说明实际饮用经历）；证据强度：C（只有笼统避雷信号，缺少具体口感或情境依据）。</t>
        </is>
      </c>
      <c r="AL477"/>
      <c r="AM477" t="inlineStr">
        <is>
          <t>AI_GOLD_矫正后_50.xlsx</t>
        </is>
      </c>
    </row>
    <row r="478" ht="25.5" customHeight="1">
      <c r="A478" t="inlineStr">
        <is>
          <t>XHS-SOC-0020_GOLD_attempt-0006_AI_矫正后</t>
        </is>
      </c>
      <c r="B478" t="inlineStr">
        <is>
          <t>自己泡的梅酒、国外的梅酒、梅见都试过，梅见我的口粮酒了。入口很顺，高粱酒的香味也够</t>
        </is>
      </c>
      <c r="C478"/>
      <c r="D478"/>
      <c r="E478"/>
      <c r="F478"/>
      <c r="G478"/>
      <c r="H478"/>
      <c r="I478"/>
      <c r="J478"/>
      <c r="K478"/>
      <c r="L478"/>
      <c r="M478"/>
      <c r="N478"/>
      <c r="O478"/>
      <c r="P478"/>
      <c r="Q478"/>
      <c r="R478"/>
      <c r="S478">
        <v>0.9</v>
      </c>
      <c r="T478" t="inlineStr">
        <is>
          <t>attempt-0006</t>
        </is>
      </c>
      <c r="U478"/>
      <c r="V478"/>
      <c r="W478"/>
      <c r="X478" t="inlineStr">
        <is>
          <t>XHS-SOC-0020</t>
        </is>
      </c>
      <c r="Y478"/>
      <c r="Z478"/>
      <c r="AA478"/>
      <c r="AB478"/>
      <c r="AC478"/>
      <c r="AD478"/>
      <c r="AE478"/>
      <c r="AF478" t="inlineStr">
        <is>
          <t>AI_矫正后</t>
        </is>
      </c>
      <c r="AG478" t="inlineStr">
        <is>
          <t>GOLD</t>
        </is>
      </c>
      <c r="AH478" t="inlineStr">
        <is>
          <t>COMPETITOR</t>
        </is>
      </c>
      <c r="AI478" t="inlineStr">
        <is>
          <t>ACTUAL_USE</t>
        </is>
      </c>
      <c r="AJ478" t="inlineStr">
        <is>
          <t>A</t>
        </is>
      </c>
      <c r="AK478" t="inlineStr">
        <is>
          <t>核心对象：梅见与自泡、国外梅酒的替代选择；体验：明确表示试过多类梅酒并将梅见作为口粮酒，同时称入口顺、香味足；证据强度：有比较对象、实际体验和具体口感依据。</t>
        </is>
      </c>
      <c r="AL478"/>
      <c r="AM478" t="inlineStr">
        <is>
          <t>AI_GOLD_矫正后_50.xlsx</t>
        </is>
      </c>
    </row>
    <row r="479" ht="25.5" customHeight="1">
      <c r="A479" t="inlineStr">
        <is>
          <t>XHS-SOC-0039_GOLD_attempt-0006_AI_矫正后</t>
        </is>
      </c>
      <c r="B479" t="inlineStr">
        <is>
          <t>茉莉花茶，旺旺果粒多，好喝！！！！</t>
        </is>
      </c>
      <c r="C479"/>
      <c r="D479"/>
      <c r="E479"/>
      <c r="F479"/>
      <c r="G479"/>
      <c r="H479"/>
      <c r="I479"/>
      <c r="J479"/>
      <c r="K479"/>
      <c r="L479"/>
      <c r="M479"/>
      <c r="N479"/>
      <c r="O479"/>
      <c r="P479"/>
      <c r="Q479"/>
      <c r="R479"/>
      <c r="S479">
        <v>0.9</v>
      </c>
      <c r="T479" t="inlineStr">
        <is>
          <t>attempt-0006</t>
        </is>
      </c>
      <c r="U479"/>
      <c r="V479"/>
      <c r="W479"/>
      <c r="X479" t="inlineStr">
        <is>
          <t>XHS-SOC-0039</t>
        </is>
      </c>
      <c r="Y479"/>
      <c r="Z479"/>
      <c r="AA479"/>
      <c r="AB479"/>
      <c r="AC479"/>
      <c r="AD479"/>
      <c r="AE479"/>
      <c r="AF479" t="inlineStr">
        <is>
          <t>AI_矫正后</t>
        </is>
      </c>
      <c r="AG479" t="inlineStr">
        <is>
          <t>GOLD</t>
        </is>
      </c>
      <c r="AH479" t="inlineStr">
        <is>
          <t>PRODUCT</t>
        </is>
      </c>
      <c r="AI479" t="inlineStr">
        <is>
          <t>ACTUAL_USE</t>
        </is>
      </c>
      <c r="AJ479" t="inlineStr">
        <is>
          <t>C</t>
        </is>
      </c>
      <c r="AK479" t="inlineStr">
        <is>
          <t>核心对象：产品口感；体验：以茉莉花茶和旺旺果粒多作风味联想并称好喝；证据强度：只有简短类比和情绪化评价，缺少对象与情境细节。</t>
        </is>
      </c>
      <c r="AL479"/>
      <c r="AM479" t="inlineStr">
        <is>
          <t>AI_GOLD_矫正后_50.xlsx</t>
        </is>
      </c>
    </row>
    <row r="480" ht="25.5" customHeight="1">
      <c r="A480" t="inlineStr">
        <is>
          <t>JD-20260809-056_GOLD_attempt-0006_AI_矫正后</t>
        </is>
      </c>
      <c r="B480" t="inlineStr">
        <is>
          <t>这个酒怎么说呢，平时没事的时候喝还是不错的，就是觉得还是有点甜，应该小酒量的人喝还是很不错的，可以买来偶尔喝一喝这样子的</t>
        </is>
      </c>
      <c r="C480"/>
      <c r="D480"/>
      <c r="E480"/>
      <c r="F480"/>
      <c r="G480"/>
      <c r="H480"/>
      <c r="I480"/>
      <c r="J480"/>
      <c r="K480"/>
      <c r="L480"/>
      <c r="M480"/>
      <c r="N480"/>
      <c r="O480"/>
      <c r="P480"/>
      <c r="Q480"/>
      <c r="R480"/>
      <c r="S480">
        <v>0.9</v>
      </c>
      <c r="T480" t="inlineStr">
        <is>
          <t>attempt-0006</t>
        </is>
      </c>
      <c r="U480"/>
      <c r="V480"/>
      <c r="W480"/>
      <c r="X480" t="inlineStr">
        <is>
          <t>JD-20260809-056</t>
        </is>
      </c>
      <c r="Y480"/>
      <c r="Z480"/>
      <c r="AA480"/>
      <c r="AB480"/>
      <c r="AC480"/>
      <c r="AD480"/>
      <c r="AE480"/>
      <c r="AF480" t="inlineStr">
        <is>
          <t>AI_矫正后</t>
        </is>
      </c>
      <c r="AG480" t="inlineStr">
        <is>
          <t>GOLD</t>
        </is>
      </c>
      <c r="AH480" t="inlineStr">
        <is>
          <t>PRODUCT</t>
        </is>
      </c>
      <c r="AI480" t="inlineStr">
        <is>
          <t>ACTUAL_USE</t>
        </is>
      </c>
      <c r="AJ480" t="inlineStr">
        <is>
          <t>A</t>
        </is>
      </c>
      <c r="AK480" t="inlineStr">
        <is>
          <t>核心对象：PRODUCT（甜度与适饮性）；体验：ACTUAL_USE（直接描述饮用时的甜度及适合小酒量人群）；证据强度：A（有饮用情境、具体甜度判断和适饮性结论）。</t>
        </is>
      </c>
      <c r="AL480"/>
      <c r="AM480" t="inlineStr">
        <is>
          <t>AI_GOLD_矫正后_50.xlsx</t>
        </is>
      </c>
    </row>
    <row r="481" ht="25.5" customHeight="1">
      <c r="A481" t="inlineStr">
        <is>
          <t>JD-20260809-062_GOLD_attempt-0006_AI_矫正后</t>
        </is>
      </c>
      <c r="B481" t="inlineStr">
        <is>
          <t>超酸版本很不错，原果原酿很干净，梅香正、酸度适口，加冰超好喝。微醺不头疼，颜值高、包装精致，自饮送礼都可，无限回购。赞一个</t>
        </is>
      </c>
      <c r="C481"/>
      <c r="D481"/>
      <c r="E481"/>
      <c r="F481"/>
      <c r="G481"/>
      <c r="H481"/>
      <c r="I481"/>
      <c r="J481"/>
      <c r="K481"/>
      <c r="L481"/>
      <c r="M481"/>
      <c r="N481"/>
      <c r="O481"/>
      <c r="P481"/>
      <c r="Q481"/>
      <c r="R481"/>
      <c r="S481">
        <v>0.9</v>
      </c>
      <c r="T481" t="inlineStr">
        <is>
          <t>attempt-0006</t>
        </is>
      </c>
      <c r="U481"/>
      <c r="V481"/>
      <c r="W481"/>
      <c r="X481" t="inlineStr">
        <is>
          <t>JD-20260809-062</t>
        </is>
      </c>
      <c r="Y481"/>
      <c r="Z481"/>
      <c r="AA481"/>
      <c r="AB481"/>
      <c r="AC481"/>
      <c r="AD481"/>
      <c r="AE481"/>
      <c r="AF481" t="inlineStr">
        <is>
          <t>AI_矫正后</t>
        </is>
      </c>
      <c r="AG481" t="inlineStr">
        <is>
          <t>GOLD</t>
        </is>
      </c>
      <c r="AH481" t="inlineStr">
        <is>
          <t>PRODUCT</t>
        </is>
      </c>
      <c r="AI481" t="inlineStr">
        <is>
          <t>ACTUAL_USE</t>
        </is>
      </c>
      <c r="AJ481" t="inlineStr">
        <is>
          <t>A</t>
        </is>
      </c>
      <c r="AK481" t="inlineStr">
        <is>
          <t>核心对象：PRODUCT（酸度、风味、口感与包装）；体验：ACTUAL_USE（明确描述加冰饮用及饮后感受）；证据强度：A（有具体酸度、香气、饮后反应和包装判断）。</t>
        </is>
      </c>
      <c r="AL481"/>
      <c r="AM481" t="inlineStr">
        <is>
          <t>AI_GOLD_矫正后_50.xlsx</t>
        </is>
      </c>
    </row>
    <row r="482" ht="25.5" customHeight="1">
      <c r="A482" t="inlineStr">
        <is>
          <t>JD-20260809-063_GOLD_attempt-0006_AI_矫正后</t>
        </is>
      </c>
      <c r="B482" t="inlineStr">
        <is>
          <t>梅见青梅酒真的太懂女生了✨，清清爽爽的青梅果香中和了酒精的厚重感，入口酸甜柔和，度数不高很适合小聚浅酌。瓶身设计也很清新，不管是独饮小酌还是朋友聚会都很合适～</t>
        </is>
      </c>
      <c r="C482"/>
      <c r="D482"/>
      <c r="E482"/>
      <c r="F482"/>
      <c r="G482"/>
      <c r="H482"/>
      <c r="I482"/>
      <c r="J482"/>
      <c r="K482"/>
      <c r="L482"/>
      <c r="M482"/>
      <c r="N482"/>
      <c r="O482"/>
      <c r="P482"/>
      <c r="Q482"/>
      <c r="R482"/>
      <c r="S482">
        <v>0.9</v>
      </c>
      <c r="T482" t="inlineStr">
        <is>
          <t>attempt-0006</t>
        </is>
      </c>
      <c r="U482"/>
      <c r="V482"/>
      <c r="W482"/>
      <c r="X482" t="inlineStr">
        <is>
          <t>JD-20260809-063</t>
        </is>
      </c>
      <c r="Y482"/>
      <c r="Z482"/>
      <c r="AA482"/>
      <c r="AB482"/>
      <c r="AC482"/>
      <c r="AD482"/>
      <c r="AE482"/>
      <c r="AF482" t="inlineStr">
        <is>
          <t>AI_矫正后</t>
        </is>
      </c>
      <c r="AG482" t="inlineStr">
        <is>
          <t>GOLD</t>
        </is>
      </c>
      <c r="AH482" t="inlineStr">
        <is>
          <t>PRODUCT</t>
        </is>
      </c>
      <c r="AI482" t="inlineStr">
        <is>
          <t>ACTUAL_USE</t>
        </is>
      </c>
      <c r="AJ482" t="inlineStr">
        <is>
          <t>A</t>
        </is>
      </c>
      <c r="AK482" t="inlineStr">
        <is>
          <t>核心对象：PRODUCT（果香、口感、酒精度与瓶身设计）；体验：ACTUAL_USE（直接描述入口感受并评价独饮、小聚适用性）；证据强度：A（有具体风味、饮用方式和包装判断）。</t>
        </is>
      </c>
      <c r="AL482"/>
      <c r="AM482" t="inlineStr">
        <is>
          <t>AI_GOLD_矫正后_50.xlsx</t>
        </is>
      </c>
    </row>
    <row r="483" ht="25.5" customHeight="1">
      <c r="A483" t="inlineStr">
        <is>
          <t>TB-20260809-039_GOLD_attempt-0006_AI_矫正后</t>
        </is>
      </c>
      <c r="B483" t="inlineStr">
        <is>
          <t>瓶子很漂亮，口感也是酸酸甜甜的，酒精度也不高很适合女孩子喝</t>
        </is>
      </c>
      <c r="C483"/>
      <c r="D483"/>
      <c r="E483"/>
      <c r="F483"/>
      <c r="G483"/>
      <c r="H483"/>
      <c r="I483"/>
      <c r="J483"/>
      <c r="K483"/>
      <c r="L483"/>
      <c r="M483"/>
      <c r="N483"/>
      <c r="O483"/>
      <c r="P483"/>
      <c r="Q483"/>
      <c r="R483"/>
      <c r="S483">
        <v>0.9</v>
      </c>
      <c r="T483" t="inlineStr">
        <is>
          <t>attempt-0006</t>
        </is>
      </c>
      <c r="U483"/>
      <c r="V483"/>
      <c r="W483"/>
      <c r="X483" t="inlineStr">
        <is>
          <t>TB-20260809-039</t>
        </is>
      </c>
      <c r="Y483"/>
      <c r="Z483"/>
      <c r="AA483"/>
      <c r="AB483"/>
      <c r="AC483"/>
      <c r="AD483"/>
      <c r="AE483"/>
      <c r="AF483" t="inlineStr">
        <is>
          <t>AI_矫正后</t>
        </is>
      </c>
      <c r="AG483" t="inlineStr">
        <is>
          <t>GOLD</t>
        </is>
      </c>
      <c r="AH483" t="inlineStr">
        <is>
          <t>PRODUCT</t>
        </is>
      </c>
      <c r="AI483" t="inlineStr">
        <is>
          <t>ACTUAL_USE</t>
        </is>
      </c>
      <c r="AJ483" t="inlineStr">
        <is>
          <t>B</t>
        </is>
      </c>
      <c r="AK483" t="inlineStr">
        <is>
          <t>核心对象：产品包装、口感与酒精度；体验：明确评价瓶子、酸甜口感和低酒精度；证据强度：有多项产品感受，但缺少具体使用情境和完整来源链。</t>
        </is>
      </c>
      <c r="AL483"/>
      <c r="AM483" t="inlineStr">
        <is>
          <t>AI_GOLD_矫正后_50.xlsx</t>
        </is>
      </c>
    </row>
    <row r="484" ht="25.5" customHeight="1">
      <c r="A484" t="inlineStr">
        <is>
          <t>TB-20260809-050_GOLD_attempt-0006_AI_矫正后</t>
        </is>
      </c>
      <c r="B484" t="inlineStr">
        <is>
          <t>梅见这个品牌可以的，口感好 后劲不大 适合女生</t>
        </is>
      </c>
      <c r="C484"/>
      <c r="D484"/>
      <c r="E484"/>
      <c r="F484"/>
      <c r="G484"/>
      <c r="H484"/>
      <c r="I484"/>
      <c r="J484"/>
      <c r="K484"/>
      <c r="L484"/>
      <c r="M484"/>
      <c r="N484"/>
      <c r="O484"/>
      <c r="P484"/>
      <c r="Q484"/>
      <c r="R484"/>
      <c r="S484">
        <v>0.9</v>
      </c>
      <c r="T484" t="inlineStr">
        <is>
          <t>attempt-0006</t>
        </is>
      </c>
      <c r="U484"/>
      <c r="V484"/>
      <c r="W484"/>
      <c r="X484" t="inlineStr">
        <is>
          <t>TB-20260809-050</t>
        </is>
      </c>
      <c r="Y484"/>
      <c r="Z484"/>
      <c r="AA484"/>
      <c r="AB484"/>
      <c r="AC484"/>
      <c r="AD484"/>
      <c r="AE484"/>
      <c r="AF484" t="inlineStr">
        <is>
          <t>AI_矫正后</t>
        </is>
      </c>
      <c r="AG484" t="inlineStr">
        <is>
          <t>GOLD</t>
        </is>
      </c>
      <c r="AH484" t="inlineStr">
        <is>
          <t>PRODUCT</t>
        </is>
      </c>
      <c r="AI484" t="inlineStr">
        <is>
          <t>ACTUAL_USE</t>
        </is>
      </c>
      <c r="AJ484" t="inlineStr">
        <is>
          <t>A</t>
        </is>
      </c>
      <c r="AK484" t="inlineStr">
        <is>
          <t>核心对象：产品口感与饮后后劲；体验：明确称口感好、后劲不大并适合女生；证据强度：点明品牌并给出多项具体体验判断。</t>
        </is>
      </c>
      <c r="AL484"/>
      <c r="AM484" t="inlineStr">
        <is>
          <t>AI_GOLD_矫正后_50.xlsx</t>
        </is>
      </c>
    </row>
    <row r="485" ht="25.5" customHeight="1">
      <c r="A485" t="inlineStr">
        <is>
          <t>MJ-RAW-0061_GOLD_attempt-0006_AI_矫正后</t>
        </is>
      </c>
      <c r="B485" t="inlineStr">
        <is>
          <t>和好久没见的人一起喝好酒梅见，这是故事最好的结局</t>
        </is>
      </c>
      <c r="C485"/>
      <c r="D485"/>
      <c r="E485"/>
      <c r="F485"/>
      <c r="G485"/>
      <c r="H485"/>
      <c r="I485"/>
      <c r="J485"/>
      <c r="K485"/>
      <c r="L485"/>
      <c r="M485"/>
      <c r="N485"/>
      <c r="O485"/>
      <c r="P485"/>
      <c r="Q485"/>
      <c r="R485"/>
      <c r="S485">
        <v>0.9</v>
      </c>
      <c r="T485" t="inlineStr">
        <is>
          <t>attempt-0006</t>
        </is>
      </c>
      <c r="U485"/>
      <c r="V485"/>
      <c r="W485"/>
      <c r="X485" t="inlineStr">
        <is>
          <t>MJ-RAW-0061</t>
        </is>
      </c>
      <c r="Y485"/>
      <c r="Z485"/>
      <c r="AA485"/>
      <c r="AB485"/>
      <c r="AC485"/>
      <c r="AD485"/>
      <c r="AE485"/>
      <c r="AF485" t="inlineStr">
        <is>
          <t>AI_矫正后</t>
        </is>
      </c>
      <c r="AG485" t="inlineStr">
        <is>
          <t>GOLD</t>
        </is>
      </c>
      <c r="AH485" t="inlineStr">
        <is>
          <t>SCENE</t>
        </is>
      </c>
      <c r="AI485" t="inlineStr">
        <is>
          <t>UNKNOWN</t>
        </is>
      </c>
      <c r="AJ485" t="inlineStr">
        <is>
          <t>C</t>
        </is>
      </c>
      <c r="AK485" t="inlineStr">
        <is>
          <t>核心对象：与久未见的人饮酒的社交场景；体验：未明确本人已实际饮用，属于场景化表达；证据强度：仅有场景与情绪判断，信息量有限。</t>
        </is>
      </c>
      <c r="AL485"/>
      <c r="AM485" t="inlineStr">
        <is>
          <t>AI_GOLD_矫正后_50.xlsx</t>
        </is>
      </c>
    </row>
    <row r="486" ht="25.5" customHeight="1">
      <c r="A486" t="inlineStr">
        <is>
          <t>XHS-SOC-0029_GOLD_attempt-0006_AI_矫正后</t>
        </is>
      </c>
      <c r="B486" t="inlineStr">
        <is>
          <t>有点像喝止咳糖浆加酒</t>
        </is>
      </c>
      <c r="C486"/>
      <c r="D486"/>
      <c r="E486"/>
      <c r="F486"/>
      <c r="G486"/>
      <c r="H486"/>
      <c r="I486"/>
      <c r="J486"/>
      <c r="K486"/>
      <c r="L486"/>
      <c r="M486"/>
      <c r="N486"/>
      <c r="O486"/>
      <c r="P486"/>
      <c r="Q486"/>
      <c r="R486"/>
      <c r="S486">
        <v>0.9</v>
      </c>
      <c r="T486" t="inlineStr">
        <is>
          <t>attempt-0006</t>
        </is>
      </c>
      <c r="U486"/>
      <c r="V486"/>
      <c r="W486"/>
      <c r="X486" t="inlineStr">
        <is>
          <t>XHS-SOC-0029</t>
        </is>
      </c>
      <c r="Y486"/>
      <c r="Z486"/>
      <c r="AA486"/>
      <c r="AB486"/>
      <c r="AC486"/>
      <c r="AD486"/>
      <c r="AE486"/>
      <c r="AF486" t="inlineStr">
        <is>
          <t>AI_矫正后</t>
        </is>
      </c>
      <c r="AG486" t="inlineStr">
        <is>
          <t>GOLD</t>
        </is>
      </c>
      <c r="AH486" t="inlineStr">
        <is>
          <t>PRODUCT</t>
        </is>
      </c>
      <c r="AI486" t="inlineStr">
        <is>
          <t>ACTUAL_USE</t>
        </is>
      </c>
      <c r="AJ486" t="inlineStr">
        <is>
          <t>C</t>
        </is>
      </c>
      <c r="AK486" t="inlineStr">
        <is>
          <t>核心对象：产品口感；体验：用止咳糖浆加酒作直接味觉类比；证据强度：仅有一句简短口感判断，信息量有限。</t>
        </is>
      </c>
      <c r="AL486"/>
      <c r="AM486" t="inlineStr">
        <is>
          <t>AI_GOLD_矫正后_50.xlsx</t>
        </is>
      </c>
    </row>
    <row r="487" ht="25.5" customHeight="1">
      <c r="A487" t="inlineStr">
        <is>
          <t>XHS-SOC-0043_GOLD_attempt-0006_AI_矫正后</t>
        </is>
      </c>
      <c r="B487" t="inlineStr">
        <is>
          <t>喝过很多款梅子酒，感觉还是梅见最专业了，不过我个人原因不喜欢太甜的酒</t>
        </is>
      </c>
      <c r="C487"/>
      <c r="D487"/>
      <c r="E487"/>
      <c r="F487"/>
      <c r="G487"/>
      <c r="H487"/>
      <c r="I487"/>
      <c r="J487"/>
      <c r="K487"/>
      <c r="L487"/>
      <c r="M487"/>
      <c r="N487"/>
      <c r="O487"/>
      <c r="P487"/>
      <c r="Q487"/>
      <c r="R487"/>
      <c r="S487">
        <v>0.9</v>
      </c>
      <c r="T487" t="inlineStr">
        <is>
          <t>attempt-0006</t>
        </is>
      </c>
      <c r="U487"/>
      <c r="V487"/>
      <c r="W487"/>
      <c r="X487" t="inlineStr">
        <is>
          <t>XHS-SOC-0043</t>
        </is>
      </c>
      <c r="Y487"/>
      <c r="Z487"/>
      <c r="AA487"/>
      <c r="AB487"/>
      <c r="AC487"/>
      <c r="AD487"/>
      <c r="AE487"/>
      <c r="AF487" t="inlineStr">
        <is>
          <t>AI_矫正后</t>
        </is>
      </c>
      <c r="AG487" t="inlineStr">
        <is>
          <t>GOLD</t>
        </is>
      </c>
      <c r="AH487" t="inlineStr">
        <is>
          <t>COMPETITOR</t>
        </is>
      </c>
      <c r="AI487" t="inlineStr">
        <is>
          <t>ACTUAL_USE</t>
        </is>
      </c>
      <c r="AJ487" t="inlineStr">
        <is>
          <t>B</t>
        </is>
      </c>
      <c r="AK487" t="inlineStr">
        <is>
          <t>核心对象：梅见与其他梅子酒的比较；体验：明确表示试过多款并认为梅见最专业，但不喜欢太甜；证据强度：有比较范围和个人判断，但“专业”缺少可核查依据。</t>
        </is>
      </c>
      <c r="AL487"/>
      <c r="AM487" t="inlineStr">
        <is>
          <t>AI_GOLD_矫正后_50.xlsx</t>
        </is>
      </c>
    </row>
    <row r="488" ht="25.5" customHeight="1">
      <c r="A488" t="inlineStr">
        <is>
          <t>DY-SOC-0145_GOLD_attempt-0006_AI_矫正后</t>
        </is>
      </c>
      <c r="B488" t="inlineStr">
        <is>
          <t>看完也想去梅见酒庄打卡了</t>
        </is>
      </c>
      <c r="C488"/>
      <c r="D488"/>
      <c r="E488"/>
      <c r="F488"/>
      <c r="G488"/>
      <c r="H488"/>
      <c r="I488"/>
      <c r="J488"/>
      <c r="K488"/>
      <c r="L488"/>
      <c r="M488"/>
      <c r="N488"/>
      <c r="O488"/>
      <c r="P488"/>
      <c r="Q488"/>
      <c r="R488"/>
      <c r="S488">
        <v>0.9</v>
      </c>
      <c r="T488" t="inlineStr">
        <is>
          <t>attempt-0006</t>
        </is>
      </c>
      <c r="U488"/>
      <c r="V488"/>
      <c r="W488"/>
      <c r="X488" t="inlineStr">
        <is>
          <t>DY-SOC-0145</t>
        </is>
      </c>
      <c r="Y488"/>
      <c r="Z488"/>
      <c r="AA488"/>
      <c r="AB488"/>
      <c r="AC488"/>
      <c r="AD488"/>
      <c r="AE488"/>
      <c r="AF488" t="inlineStr">
        <is>
          <t>AI_矫正后</t>
        </is>
      </c>
      <c r="AG488" t="inlineStr">
        <is>
          <t>GOLD</t>
        </is>
      </c>
      <c r="AH488" t="inlineStr">
        <is>
          <t>OTHER</t>
        </is>
      </c>
      <c r="AI488" t="inlineStr">
        <is>
          <t>UNKNOWN</t>
        </is>
      </c>
      <c r="AJ488" t="inlineStr">
        <is>
          <t>C</t>
        </is>
      </c>
      <c r="AK488" t="inlineStr">
        <is>
          <t>核心对象：OTHER（表达未来去酒庄打卡的意愿）；体验：UNKNOWN（未表明实际饮用或未饮用）；证据强度：C（仅有尚未发生的场景意向）。</t>
        </is>
      </c>
      <c r="AL488"/>
      <c r="AM488" t="inlineStr">
        <is>
          <t>AI_GOLD_矫正后_50.xlsx</t>
        </is>
      </c>
    </row>
    <row r="489" ht="25.5" customHeight="1">
      <c r="A489" t="inlineStr">
        <is>
          <t>XHS-SOC-0191_GOLD_attempt-0006_AI_矫正后</t>
        </is>
      </c>
      <c r="B489" t="inlineStr">
        <is>
          <t>我感觉真的很好喝，但是酒味有点重，我会灌五六颗话梅泡一个晚上就老好喝了</t>
        </is>
      </c>
      <c r="C489"/>
      <c r="D489"/>
      <c r="E489"/>
      <c r="F489"/>
      <c r="G489"/>
      <c r="H489"/>
      <c r="I489"/>
      <c r="J489"/>
      <c r="K489"/>
      <c r="L489"/>
      <c r="M489"/>
      <c r="N489"/>
      <c r="O489"/>
      <c r="P489"/>
      <c r="Q489"/>
      <c r="R489"/>
      <c r="S489">
        <v>0.9</v>
      </c>
      <c r="T489" t="inlineStr">
        <is>
          <t>attempt-0006</t>
        </is>
      </c>
      <c r="U489"/>
      <c r="V489"/>
      <c r="W489"/>
      <c r="X489" t="inlineStr">
        <is>
          <t>XHS-SOC-0191</t>
        </is>
      </c>
      <c r="Y489"/>
      <c r="Z489"/>
      <c r="AA489"/>
      <c r="AB489"/>
      <c r="AC489"/>
      <c r="AD489"/>
      <c r="AE489"/>
      <c r="AF489" t="inlineStr">
        <is>
          <t>AI_矫正后</t>
        </is>
      </c>
      <c r="AG489" t="inlineStr">
        <is>
          <t>GOLD</t>
        </is>
      </c>
      <c r="AH489" t="inlineStr">
        <is>
          <t>PRODUCT</t>
        </is>
      </c>
      <c r="AI489" t="inlineStr">
        <is>
          <t>ACTUAL_USE</t>
        </is>
      </c>
      <c r="AJ489" t="inlineStr">
        <is>
          <t>A</t>
        </is>
      </c>
      <c r="AK489" t="inlineStr">
        <is>
          <t>核心对象：产品酒味与话梅浸泡后的口感结果；体验：明确称好喝、酒味偏重，并描述用五六颗话梅泡一晚后更好喝；证据强度：有第一人称、具体用法、时间和结果，信息链完整。</t>
        </is>
      </c>
      <c r="AL489"/>
      <c r="AM489" t="inlineStr">
        <is>
          <t>AI_GOLD_矫正后_50.xlsx</t>
        </is>
      </c>
    </row>
    <row r="490" ht="25.5" customHeight="1">
      <c r="A490" t="inlineStr">
        <is>
          <t>XHS-SOC-0201_GOLD_attempt-0006_AI_矫正后</t>
        </is>
      </c>
      <c r="B490" t="inlineStr">
        <is>
          <t>没有人觉得喝了之后一直在上厕所吗？</t>
        </is>
      </c>
      <c r="C490"/>
      <c r="D490"/>
      <c r="E490"/>
      <c r="F490"/>
      <c r="G490"/>
      <c r="H490"/>
      <c r="I490"/>
      <c r="J490"/>
      <c r="K490"/>
      <c r="L490"/>
      <c r="M490"/>
      <c r="N490"/>
      <c r="O490"/>
      <c r="P490"/>
      <c r="Q490"/>
      <c r="R490"/>
      <c r="S490">
        <v>0.9</v>
      </c>
      <c r="T490" t="inlineStr">
        <is>
          <t>attempt-0006</t>
        </is>
      </c>
      <c r="U490"/>
      <c r="V490"/>
      <c r="W490"/>
      <c r="X490" t="inlineStr">
        <is>
          <t>XHS-SOC-0201</t>
        </is>
      </c>
      <c r="Y490"/>
      <c r="Z490"/>
      <c r="AA490"/>
      <c r="AB490"/>
      <c r="AC490"/>
      <c r="AD490"/>
      <c r="AE490"/>
      <c r="AF490" t="inlineStr">
        <is>
          <t>AI_矫正后</t>
        </is>
      </c>
      <c r="AG490" t="inlineStr">
        <is>
          <t>GOLD</t>
        </is>
      </c>
      <c r="AH490" t="inlineStr">
        <is>
          <t>SCENE</t>
        </is>
      </c>
      <c r="AI490" t="inlineStr">
        <is>
          <t>ACTUAL_USE</t>
        </is>
      </c>
      <c r="AJ490" t="inlineStr">
        <is>
          <t>B</t>
        </is>
      </c>
      <c r="AK490" t="inlineStr">
        <is>
          <t>核心对象：饮酒后身体反应；体验：ACTUAL_USE；证据强度：B。</t>
        </is>
      </c>
      <c r="AL490"/>
      <c r="AM490" t="inlineStr">
        <is>
          <t>AI_GOLD_矫正后_50.xlsx</t>
        </is>
      </c>
    </row>
    <row r="491" ht="25.5" customHeight="1">
      <c r="A491" t="inlineStr">
        <is>
          <t>XHS-SOC-0221_GOLD_attempt-0006_AI_矫正后</t>
        </is>
      </c>
      <c r="B491" t="inlineStr">
        <is>
          <t>我喝一瓶刚好入睡</t>
        </is>
      </c>
      <c r="C491"/>
      <c r="D491"/>
      <c r="E491"/>
      <c r="F491"/>
      <c r="G491"/>
      <c r="H491"/>
      <c r="I491"/>
      <c r="J491"/>
      <c r="K491"/>
      <c r="L491"/>
      <c r="M491"/>
      <c r="N491"/>
      <c r="O491"/>
      <c r="P491"/>
      <c r="Q491"/>
      <c r="R491"/>
      <c r="S491">
        <v>0.9</v>
      </c>
      <c r="T491" t="inlineStr">
        <is>
          <t>attempt-0006</t>
        </is>
      </c>
      <c r="U491"/>
      <c r="V491"/>
      <c r="W491"/>
      <c r="X491" t="inlineStr">
        <is>
          <t>XHS-SOC-0221</t>
        </is>
      </c>
      <c r="Y491"/>
      <c r="Z491"/>
      <c r="AA491"/>
      <c r="AB491"/>
      <c r="AC491"/>
      <c r="AD491"/>
      <c r="AE491"/>
      <c r="AF491" t="inlineStr">
        <is>
          <t>AI_矫正后</t>
        </is>
      </c>
      <c r="AG491" t="inlineStr">
        <is>
          <t>GOLD</t>
        </is>
      </c>
      <c r="AH491" t="inlineStr">
        <is>
          <t>SCENE</t>
        </is>
      </c>
      <c r="AI491" t="inlineStr">
        <is>
          <t>ACTUAL_USE</t>
        </is>
      </c>
      <c r="AJ491" t="inlineStr">
        <is>
          <t>A</t>
        </is>
      </c>
      <c r="AK491" t="inlineStr">
        <is>
          <t>核心对象：饮酒后状态；体验：ACTUAL_USE；证据强度：A。</t>
        </is>
      </c>
      <c r="AL491"/>
      <c r="AM491" t="inlineStr">
        <is>
          <t>AI_GOLD_矫正后_50.xlsx</t>
        </is>
      </c>
    </row>
    <row r="492" ht="25.5" customHeight="1">
      <c r="A492" t="inlineStr">
        <is>
          <t>JD-20260809-059_GOLD_attempt-0006_AI_矫正后</t>
        </is>
      </c>
      <c r="B492" t="inlineStr">
        <is>
          <t>🎉这款酒真的很赞呢！开瓶就能闻到浓郁的香气，酸甜比例刚刚好，喝起来很顺口～✨包装也特别牢固，瓶子看起来高端大气，无论是自己喝还是送礼都很合适。性价比超高，确认是正品无疑，已经列入回购清单啦！😊</t>
        </is>
      </c>
      <c r="C492"/>
      <c r="D492"/>
      <c r="E492"/>
      <c r="F492"/>
      <c r="G492"/>
      <c r="H492"/>
      <c r="I492"/>
      <c r="J492"/>
      <c r="K492"/>
      <c r="L492"/>
      <c r="M492"/>
      <c r="N492"/>
      <c r="O492"/>
      <c r="P492"/>
      <c r="Q492"/>
      <c r="R492"/>
      <c r="S492">
        <v>0.9</v>
      </c>
      <c r="T492" t="inlineStr">
        <is>
          <t>attempt-0006</t>
        </is>
      </c>
      <c r="U492"/>
      <c r="V492"/>
      <c r="W492"/>
      <c r="X492" t="inlineStr">
        <is>
          <t>JD-20260809-059</t>
        </is>
      </c>
      <c r="Y492"/>
      <c r="Z492"/>
      <c r="AA492"/>
      <c r="AB492"/>
      <c r="AC492"/>
      <c r="AD492"/>
      <c r="AE492"/>
      <c r="AF492" t="inlineStr">
        <is>
          <t>AI_矫正后</t>
        </is>
      </c>
      <c r="AG492" t="inlineStr">
        <is>
          <t>GOLD</t>
        </is>
      </c>
      <c r="AH492" t="inlineStr">
        <is>
          <t>PRODUCT</t>
        </is>
      </c>
      <c r="AI492" t="inlineStr">
        <is>
          <t>ACTUAL_USE</t>
        </is>
      </c>
      <c r="AJ492" t="inlineStr">
        <is>
          <t>A</t>
        </is>
      </c>
      <c r="AK492" t="inlineStr">
        <is>
          <t>核心对象：PRODUCT（风味、口感与包装体验）；体验：ACTUAL_USE（明确描述开瓶、饮用及自饮送礼体验）；证据强度：A（有香气、酸甜、顺口、包装和回购等具体判断）。</t>
        </is>
      </c>
      <c r="AL492"/>
      <c r="AM492" t="inlineStr">
        <is>
          <t>AI_GOLD_矫正后_50.xlsx</t>
        </is>
      </c>
    </row>
    <row r="493" ht="25.5" customHeight="1">
      <c r="A493" t="inlineStr">
        <is>
          <t>XHS-SOC-0045_GOLD_attempt-0006_AI_矫正后</t>
        </is>
      </c>
      <c r="B493" t="inlineStr">
        <is>
          <t>三得利还不错，梅见太难喝了</t>
        </is>
      </c>
      <c r="C493"/>
      <c r="D493"/>
      <c r="E493"/>
      <c r="F493"/>
      <c r="G493"/>
      <c r="H493"/>
      <c r="I493"/>
      <c r="J493"/>
      <c r="K493"/>
      <c r="L493"/>
      <c r="M493"/>
      <c r="N493"/>
      <c r="O493"/>
      <c r="P493"/>
      <c r="Q493"/>
      <c r="R493"/>
      <c r="S493">
        <v>0.9</v>
      </c>
      <c r="T493" t="inlineStr">
        <is>
          <t>attempt-0006</t>
        </is>
      </c>
      <c r="U493"/>
      <c r="V493"/>
      <c r="W493"/>
      <c r="X493" t="inlineStr">
        <is>
          <t>XHS-SOC-0045</t>
        </is>
      </c>
      <c r="Y493"/>
      <c r="Z493"/>
      <c r="AA493"/>
      <c r="AB493"/>
      <c r="AC493"/>
      <c r="AD493"/>
      <c r="AE493"/>
      <c r="AF493" t="inlineStr">
        <is>
          <t>AI_矫正后</t>
        </is>
      </c>
      <c r="AG493" t="inlineStr">
        <is>
          <t>GOLD</t>
        </is>
      </c>
      <c r="AH493" t="inlineStr">
        <is>
          <t>COMPETITOR</t>
        </is>
      </c>
      <c r="AI493" t="inlineStr">
        <is>
          <t>ACTUAL_USE</t>
        </is>
      </c>
      <c r="AJ493" t="inlineStr">
        <is>
          <t>B</t>
        </is>
      </c>
      <c r="AK493" t="inlineStr">
        <is>
          <t>核心对象：梅见与三得利的产品比较；体验：明确称三得利尚可、梅见难喝；证据强度：比较结论清楚，但没有具体口感或使用情境依据。</t>
        </is>
      </c>
      <c r="AL493"/>
      <c r="AM493" t="inlineStr">
        <is>
          <t>AI_GOLD_矫正后_50.xlsx</t>
        </is>
      </c>
    </row>
    <row r="494" ht="25.5" customHeight="1">
      <c r="A494" t="inlineStr">
        <is>
          <t>DY-SOC-0089_GOLD_attempt-0006_AI_矫正后</t>
        </is>
      </c>
      <c r="B494" t="inlineStr">
        <is>
          <t>放柚子汁类饮料也很好喝</t>
        </is>
      </c>
      <c r="C494"/>
      <c r="D494"/>
      <c r="E494"/>
      <c r="F494"/>
      <c r="G494"/>
      <c r="H494"/>
      <c r="I494"/>
      <c r="J494"/>
      <c r="K494"/>
      <c r="L494"/>
      <c r="M494"/>
      <c r="N494"/>
      <c r="O494"/>
      <c r="P494"/>
      <c r="Q494"/>
      <c r="R494"/>
      <c r="S494">
        <v>0.9</v>
      </c>
      <c r="T494" t="inlineStr">
        <is>
          <t>attempt-0006</t>
        </is>
      </c>
      <c r="U494"/>
      <c r="V494"/>
      <c r="W494"/>
      <c r="X494" t="inlineStr">
        <is>
          <t>DY-SOC-0089</t>
        </is>
      </c>
      <c r="Y494"/>
      <c r="Z494"/>
      <c r="AA494"/>
      <c r="AB494"/>
      <c r="AC494"/>
      <c r="AD494"/>
      <c r="AE494"/>
      <c r="AF494" t="inlineStr">
        <is>
          <t>AI_矫正后</t>
        </is>
      </c>
      <c r="AG494" t="inlineStr">
        <is>
          <t>GOLD</t>
        </is>
      </c>
      <c r="AH494" t="inlineStr">
        <is>
          <t>PRODUCT</t>
        </is>
      </c>
      <c r="AI494" t="inlineStr">
        <is>
          <t>ACTUAL_USE</t>
        </is>
      </c>
      <c r="AJ494" t="inlineStr">
        <is>
          <t>B</t>
        </is>
      </c>
      <c r="AK494" t="inlineStr">
        <is>
          <t>核心对象：PRODUCT（调饮结果）；体验：ACTUAL_USE（直接评价加入柚子汁类饮料后的口感）；证据强度：B（有明确好喝判断，但缺少更具体的产品与体验细节）。</t>
        </is>
      </c>
      <c r="AL494"/>
      <c r="AM494" t="inlineStr">
        <is>
          <t>AI_GOLD_矫正后_50.xlsx</t>
        </is>
      </c>
    </row>
    <row r="495" ht="25.5" customHeight="1">
      <c r="A495" t="inlineStr">
        <is>
          <t>XHS-SOC-0185_GOLD_attempt-0006_AI_矫正后</t>
        </is>
      </c>
      <c r="B495" t="inlineStr">
        <is>
          <t>酒味太重 喜欢三得利这种酒味淡的</t>
        </is>
      </c>
      <c r="C495"/>
      <c r="D495"/>
      <c r="E495"/>
      <c r="F495"/>
      <c r="G495"/>
      <c r="H495"/>
      <c r="I495"/>
      <c r="J495"/>
      <c r="K495"/>
      <c r="L495"/>
      <c r="M495"/>
      <c r="N495"/>
      <c r="O495"/>
      <c r="P495"/>
      <c r="Q495"/>
      <c r="R495"/>
      <c r="S495">
        <v>0.9</v>
      </c>
      <c r="T495" t="inlineStr">
        <is>
          <t>attempt-0006</t>
        </is>
      </c>
      <c r="U495"/>
      <c r="V495"/>
      <c r="W495"/>
      <c r="X495" t="inlineStr">
        <is>
          <t>XHS-SOC-0185</t>
        </is>
      </c>
      <c r="Y495"/>
      <c r="Z495"/>
      <c r="AA495"/>
      <c r="AB495"/>
      <c r="AC495"/>
      <c r="AD495"/>
      <c r="AE495"/>
      <c r="AF495" t="inlineStr">
        <is>
          <t>AI_矫正后</t>
        </is>
      </c>
      <c r="AG495" t="inlineStr">
        <is>
          <t>GOLD</t>
        </is>
      </c>
      <c r="AH495" t="inlineStr">
        <is>
          <t>COMPETITOR</t>
        </is>
      </c>
      <c r="AI495" t="inlineStr">
        <is>
          <t>ACTUAL_USE</t>
        </is>
      </c>
      <c r="AJ495" t="inlineStr">
        <is>
          <t>B</t>
        </is>
      </c>
      <c r="AK495" t="inlineStr">
        <is>
          <t>核心对象：梅见与三得利的酒味比较；体验：认为酒味太重并偏好三得利的淡酒味；证据强度：比较和偏好明确，但目标产品名称及更多情境信息不完整。</t>
        </is>
      </c>
      <c r="AL495"/>
      <c r="AM495" t="inlineStr">
        <is>
          <t>AI_GOLD_矫正后_50.xlsx</t>
        </is>
      </c>
    </row>
    <row r="496" ht="25.5" customHeight="1">
      <c r="A496" t="inlineStr">
        <is>
          <t>XHS-SOC-0225_GOLD_attempt-0006_AI_矫正后</t>
        </is>
      </c>
      <c r="B496" t="inlineStr">
        <is>
          <t>荔枝最难喝，乳酸菌，乐橘最好喝</t>
        </is>
      </c>
      <c r="C496"/>
      <c r="D496"/>
      <c r="E496"/>
      <c r="F496"/>
      <c r="G496"/>
      <c r="H496"/>
      <c r="I496"/>
      <c r="J496"/>
      <c r="K496"/>
      <c r="L496"/>
      <c r="M496"/>
      <c r="N496"/>
      <c r="O496"/>
      <c r="P496"/>
      <c r="Q496"/>
      <c r="R496"/>
      <c r="S496">
        <v>0.9</v>
      </c>
      <c r="T496" t="inlineStr">
        <is>
          <t>attempt-0006</t>
        </is>
      </c>
      <c r="U496"/>
      <c r="V496"/>
      <c r="W496"/>
      <c r="X496" t="inlineStr">
        <is>
          <t>XHS-SOC-0225</t>
        </is>
      </c>
      <c r="Y496"/>
      <c r="Z496"/>
      <c r="AA496"/>
      <c r="AB496"/>
      <c r="AC496"/>
      <c r="AD496"/>
      <c r="AE496"/>
      <c r="AF496" t="inlineStr">
        <is>
          <t>AI_矫正后</t>
        </is>
      </c>
      <c r="AG496" t="inlineStr">
        <is>
          <t>GOLD</t>
        </is>
      </c>
      <c r="AH496" t="inlineStr">
        <is>
          <t>PRODUCT</t>
        </is>
      </c>
      <c r="AI496" t="inlineStr">
        <is>
          <t>ACTUAL_USE</t>
        </is>
      </c>
      <c r="AJ496" t="inlineStr">
        <is>
          <t>B</t>
        </is>
      </c>
      <c r="AK496" t="inlineStr">
        <is>
          <t>核心对象：产品口味；体验：ACTUAL_USE；证据强度：B。</t>
        </is>
      </c>
      <c r="AL496"/>
      <c r="AM496" t="inlineStr">
        <is>
          <t>AI_GOLD_矫正后_50.xlsx</t>
        </is>
      </c>
    </row>
    <row r="497" ht="25.5" customHeight="1">
      <c r="A497" t="inlineStr">
        <is>
          <t>XHS-SOC-0227_GOLD_attempt-0006_AI_矫正后</t>
        </is>
      </c>
      <c r="B497" t="inlineStr">
        <is>
          <t>只有我觉得很难喝吗</t>
        </is>
      </c>
      <c r="C497"/>
      <c r="D497"/>
      <c r="E497"/>
      <c r="F497"/>
      <c r="G497"/>
      <c r="H497"/>
      <c r="I497"/>
      <c r="J497"/>
      <c r="K497"/>
      <c r="L497"/>
      <c r="M497"/>
      <c r="N497"/>
      <c r="O497"/>
      <c r="P497"/>
      <c r="Q497"/>
      <c r="R497"/>
      <c r="S497">
        <v>0.9</v>
      </c>
      <c r="T497" t="inlineStr">
        <is>
          <t>attempt-0006</t>
        </is>
      </c>
      <c r="U497"/>
      <c r="V497"/>
      <c r="W497"/>
      <c r="X497" t="inlineStr">
        <is>
          <t>XHS-SOC-0227</t>
        </is>
      </c>
      <c r="Y497"/>
      <c r="Z497"/>
      <c r="AA497"/>
      <c r="AB497"/>
      <c r="AC497"/>
      <c r="AD497"/>
      <c r="AE497"/>
      <c r="AF497" t="inlineStr">
        <is>
          <t>AI_矫正后</t>
        </is>
      </c>
      <c r="AG497" t="inlineStr">
        <is>
          <t>GOLD</t>
        </is>
      </c>
      <c r="AH497" t="inlineStr">
        <is>
          <t>PRODUCT</t>
        </is>
      </c>
      <c r="AI497" t="inlineStr">
        <is>
          <t>ACTUAL_USE</t>
        </is>
      </c>
      <c r="AJ497" t="inlineStr">
        <is>
          <t>C</t>
        </is>
      </c>
      <c r="AK497" t="inlineStr">
        <is>
          <t>核心对象：产品口味；体验：ACTUAL_USE；证据强度：C。</t>
        </is>
      </c>
      <c r="AL497"/>
      <c r="AM497" t="inlineStr">
        <is>
          <t>AI_GOLD_矫正后_50.xlsx</t>
        </is>
      </c>
    </row>
    <row r="498" ht="25.5" customHeight="1">
      <c r="A498" t="inlineStr">
        <is>
          <t>JD-20260809-002_GOLD_attempt-0006_AI_矫正后</t>
        </is>
      </c>
      <c r="B498" t="inlineStr">
        <is>
          <t>加冰后口感更佳，适合配西餐。喝完嘴里留香，喝起来顺滑</t>
        </is>
      </c>
      <c r="C498"/>
      <c r="D498"/>
      <c r="E498"/>
      <c r="F498"/>
      <c r="G498"/>
      <c r="H498"/>
      <c r="I498"/>
      <c r="J498"/>
      <c r="K498"/>
      <c r="L498"/>
      <c r="M498"/>
      <c r="N498"/>
      <c r="O498"/>
      <c r="P498"/>
      <c r="Q498"/>
      <c r="R498"/>
      <c r="S498">
        <v>0.9</v>
      </c>
      <c r="T498" t="inlineStr">
        <is>
          <t>attempt-0006</t>
        </is>
      </c>
      <c r="U498"/>
      <c r="V498"/>
      <c r="W498"/>
      <c r="X498" t="inlineStr">
        <is>
          <t>JD-20260809-002</t>
        </is>
      </c>
      <c r="Y498"/>
      <c r="Z498"/>
      <c r="AA498"/>
      <c r="AB498"/>
      <c r="AC498"/>
      <c r="AD498"/>
      <c r="AE498"/>
      <c r="AF498" t="inlineStr">
        <is>
          <t>AI_矫正后</t>
        </is>
      </c>
      <c r="AG498" t="inlineStr">
        <is>
          <t>GOLD</t>
        </is>
      </c>
      <c r="AH498" t="inlineStr">
        <is>
          <t>PRODUCT</t>
        </is>
      </c>
      <c r="AI498" t="inlineStr">
        <is>
          <t>ACTUAL_USE</t>
        </is>
      </c>
      <c r="AJ498" t="inlineStr">
        <is>
          <t>A</t>
        </is>
      </c>
      <c r="AK498" t="inlineStr">
        <is>
          <t>核心对象：PRODUCT（加冰后的口感与饮用结果）；体验：ACTUAL_USE（直接评价加冰、配餐及饮后感受）；证据强度：A（包含调饮方式、配餐情境、具体感受和明确判断）。</t>
        </is>
      </c>
      <c r="AL498"/>
      <c r="AM498" t="inlineStr">
        <is>
          <t>AI_GOLD_矫正后_50.xlsx</t>
        </is>
      </c>
    </row>
    <row r="499" ht="25.5" customHeight="1">
      <c r="A499" t="inlineStr">
        <is>
          <t>JD-20260809-012_GOLD_attempt-0006_AI_矫正后</t>
        </is>
      </c>
      <c r="B499" t="inlineStr">
        <is>
          <t>喝起来口感很顺滑，味道酸甜平衡，酒精度数不高，香气浓郁，回味还想，毕竟不是陈酿，小瓶量比较合适，果香不错，京东快递包装不错，没有磕碰</t>
        </is>
      </c>
      <c r="C499"/>
      <c r="D499"/>
      <c r="E499"/>
      <c r="F499"/>
      <c r="G499"/>
      <c r="H499"/>
      <c r="I499"/>
      <c r="J499"/>
      <c r="K499"/>
      <c r="L499"/>
      <c r="M499"/>
      <c r="N499"/>
      <c r="O499"/>
      <c r="P499"/>
      <c r="Q499"/>
      <c r="R499"/>
      <c r="S499">
        <v>0.9</v>
      </c>
      <c r="T499" t="inlineStr">
        <is>
          <t>attempt-0006</t>
        </is>
      </c>
      <c r="U499"/>
      <c r="V499"/>
      <c r="W499"/>
      <c r="X499" t="inlineStr">
        <is>
          <t>JD-20260809-012</t>
        </is>
      </c>
      <c r="Y499"/>
      <c r="Z499"/>
      <c r="AA499"/>
      <c r="AB499"/>
      <c r="AC499"/>
      <c r="AD499"/>
      <c r="AE499"/>
      <c r="AF499" t="inlineStr">
        <is>
          <t>AI_矫正后</t>
        </is>
      </c>
      <c r="AG499" t="inlineStr">
        <is>
          <t>GOLD</t>
        </is>
      </c>
      <c r="AH499" t="inlineStr">
        <is>
          <t>PRODUCT</t>
        </is>
      </c>
      <c r="AI499" t="inlineStr">
        <is>
          <t>ACTUAL_USE</t>
        </is>
      </c>
      <c r="AJ499" t="inlineStr">
        <is>
          <t>A</t>
        </is>
      </c>
      <c r="AK499" t="inlineStr">
        <is>
          <t>核心对象：PRODUCT（口感、风味与规格）；体验：ACTUAL_USE（明确描述饮用后的口感、香气和回味）；证据强度：A（有多项具体感受、规格判断及包装细节支撑）。</t>
        </is>
      </c>
      <c r="AL499"/>
      <c r="AM499" t="inlineStr">
        <is>
          <t>AI_GOLD_矫正后_50.xlsx</t>
        </is>
      </c>
    </row>
    <row r="500" ht="25.5" customHeight="1">
      <c r="A500" t="inlineStr">
        <is>
          <t>JD-20260809-026_GOLD_attempt-0006_AI_矫正后</t>
        </is>
      </c>
      <c r="B500" t="inlineStr">
        <is>
          <t>酒精度数不高，适合大众</t>
        </is>
      </c>
      <c r="C500"/>
      <c r="D500"/>
      <c r="E500"/>
      <c r="F500"/>
      <c r="G500"/>
      <c r="H500"/>
      <c r="I500"/>
      <c r="J500"/>
      <c r="K500"/>
      <c r="L500"/>
      <c r="M500"/>
      <c r="N500"/>
      <c r="O500"/>
      <c r="P500"/>
      <c r="Q500"/>
      <c r="R500"/>
      <c r="S500">
        <v>0.9</v>
      </c>
      <c r="T500" t="inlineStr">
        <is>
          <t>attempt-0006</t>
        </is>
      </c>
      <c r="U500"/>
      <c r="V500"/>
      <c r="W500"/>
      <c r="X500" t="inlineStr">
        <is>
          <t>JD-20260809-026</t>
        </is>
      </c>
      <c r="Y500"/>
      <c r="Z500"/>
      <c r="AA500"/>
      <c r="AB500"/>
      <c r="AC500"/>
      <c r="AD500"/>
      <c r="AE500"/>
      <c r="AF500" t="inlineStr">
        <is>
          <t>AI_矫正后</t>
        </is>
      </c>
      <c r="AG500" t="inlineStr">
        <is>
          <t>GOLD</t>
        </is>
      </c>
      <c r="AH500" t="inlineStr">
        <is>
          <t>PRODUCT</t>
        </is>
      </c>
      <c r="AI500" t="inlineStr">
        <is>
          <t>ACTUAL_USE</t>
        </is>
      </c>
      <c r="AJ500" t="inlineStr">
        <is>
          <t>B</t>
        </is>
      </c>
      <c r="AK500" t="inlineStr">
        <is>
          <t>核心对象：PRODUCT（酒精度数与适饮性）；体验：ACTUAL_USE（直接评价酒精度数及适饮性）；证据强度：B（判断明确，但缺少具体饮用情境或更多依据）。</t>
        </is>
      </c>
      <c r="AL500"/>
      <c r="AM500" t="inlineStr">
        <is>
          <t>AI_GOLD_矫正后_50.xlsx</t>
        </is>
      </c>
    </row>
    <row r="501" ht="25.5" customHeight="1">
      <c r="A501" t="inlineStr">
        <is>
          <t>TB-20260809-014_GOLD_attempt-0006_AI_矫正后</t>
        </is>
      </c>
      <c r="B501" t="inlineStr">
        <is>
          <t>一直都很喜欢rio酒，以前是微醺，现在是8度，真的很不错，感觉睡眠都好了很多</t>
        </is>
      </c>
      <c r="C501"/>
      <c r="D501"/>
      <c r="E501"/>
      <c r="F501"/>
      <c r="G501"/>
      <c r="H501"/>
      <c r="I501"/>
      <c r="J501"/>
      <c r="K501"/>
      <c r="L501"/>
      <c r="M501"/>
      <c r="N501"/>
      <c r="O501"/>
      <c r="P501"/>
      <c r="Q501"/>
      <c r="R501"/>
      <c r="S501">
        <v>0.7</v>
      </c>
      <c r="T501" t="inlineStr">
        <is>
          <t>attempt-0006</t>
        </is>
      </c>
      <c r="U501"/>
      <c r="V501"/>
      <c r="W501"/>
      <c r="X501" t="inlineStr">
        <is>
          <t>TB-20260809-014</t>
        </is>
      </c>
      <c r="Y501"/>
      <c r="Z501"/>
      <c r="AA501"/>
      <c r="AB501"/>
      <c r="AC501"/>
      <c r="AD501"/>
      <c r="AE501"/>
      <c r="AF501" t="inlineStr">
        <is>
          <t>AI_矫正后</t>
        </is>
      </c>
      <c r="AG501" t="inlineStr">
        <is>
          <t>GOLD</t>
        </is>
      </c>
      <c r="AH501" t="inlineStr">
        <is>
          <t>SCENE</t>
        </is>
      </c>
      <c r="AI501" t="inlineStr">
        <is>
          <t>ACTUAL_USE</t>
        </is>
      </c>
      <c r="AJ501" t="inlineStr">
        <is>
          <t>A</t>
        </is>
      </c>
      <c r="AK501" t="inlineStr">
        <is>
          <t>核心对象：饮酒后的身体状态；体验：明确表达喜欢某酒并称睡眠变好；证据强度：有酒精度和身体感受等具体依据，判断较完整。</t>
        </is>
      </c>
      <c r="AL501"/>
      <c r="AM501" t="inlineStr">
        <is>
          <t>AI_GOLD_矫正后_50.xlsx</t>
        </is>
      </c>
    </row>
    <row r="502" ht="25.5" customHeight="1">
      <c r="A502" t="inlineStr">
        <is>
          <t>XHS-SOC-0230_GOLD_attempt-0006_AI_矫正后</t>
        </is>
      </c>
      <c r="B502" t="inlineStr">
        <is>
          <t>我穷苦人家只喝得起蝶矢</t>
        </is>
      </c>
      <c r="C502"/>
      <c r="D502"/>
      <c r="E502"/>
      <c r="F502"/>
      <c r="G502"/>
      <c r="H502"/>
      <c r="I502"/>
      <c r="J502"/>
      <c r="K502"/>
      <c r="L502"/>
      <c r="M502"/>
      <c r="N502"/>
      <c r="O502"/>
      <c r="P502"/>
      <c r="Q502"/>
      <c r="R502"/>
      <c r="S502">
        <v>0.7</v>
      </c>
      <c r="T502" t="inlineStr">
        <is>
          <t>attempt-0006</t>
        </is>
      </c>
      <c r="U502"/>
      <c r="V502"/>
      <c r="W502"/>
      <c r="X502" t="inlineStr">
        <is>
          <t>XHS-SOC-0230</t>
        </is>
      </c>
      <c r="Y502"/>
      <c r="Z502"/>
      <c r="AA502"/>
      <c r="AB502"/>
      <c r="AC502"/>
      <c r="AD502"/>
      <c r="AE502"/>
      <c r="AF502" t="inlineStr">
        <is>
          <t>AI_矫正后</t>
        </is>
      </c>
      <c r="AG502" t="inlineStr">
        <is>
          <t>GOLD</t>
        </is>
      </c>
      <c r="AH502" t="inlineStr">
        <is>
          <t>COMPETITOR</t>
        </is>
      </c>
      <c r="AI502" t="inlineStr">
        <is>
          <t>ACTUAL_USE</t>
        </is>
      </c>
      <c r="AJ502" t="inlineStr">
        <is>
          <t>C</t>
        </is>
      </c>
      <c r="AK502" t="inlineStr">
        <is>
          <t>核心对象：替代品牌选择；体验：ACTUAL_USE；证据强度：C。</t>
        </is>
      </c>
      <c r="AL502"/>
      <c r="AM502" t="inlineStr">
        <is>
          <t>AI_GOLD_矫正后_50.xlsx</t>
        </is>
      </c>
    </row>
    <row r="503" ht="25.5" customHeight="1">
      <c r="A503" t="inlineStr">
        <is>
          <t>XHS-SOC-0006_GOLD_attempt-0006_AI_矫正后</t>
        </is>
      </c>
      <c r="B503" t="inlineStr">
        <is>
          <t>我可太懂了，这个阶段持续的时间太短了，不继续喝就会逐渐清醒，再往下喝就要出洋相了</t>
        </is>
      </c>
      <c r="C503"/>
      <c r="D503"/>
      <c r="E503"/>
      <c r="F503"/>
      <c r="G503"/>
      <c r="H503"/>
      <c r="I503"/>
      <c r="J503"/>
      <c r="K503"/>
      <c r="L503"/>
      <c r="M503"/>
      <c r="N503"/>
      <c r="O503"/>
      <c r="P503"/>
      <c r="Q503"/>
      <c r="R503"/>
      <c r="S503">
        <v>0.9</v>
      </c>
      <c r="T503" t="inlineStr">
        <is>
          <t>attempt-0006</t>
        </is>
      </c>
      <c r="U503"/>
      <c r="V503"/>
      <c r="W503"/>
      <c r="X503" t="inlineStr">
        <is>
          <t>XHS-SOC-0006</t>
        </is>
      </c>
      <c r="Y503"/>
      <c r="Z503"/>
      <c r="AA503"/>
      <c r="AB503"/>
      <c r="AC503"/>
      <c r="AD503"/>
      <c r="AE503"/>
      <c r="AF503" t="inlineStr">
        <is>
          <t>AI_矫正后</t>
        </is>
      </c>
      <c r="AG503" t="inlineStr">
        <is>
          <t>GOLD</t>
        </is>
      </c>
      <c r="AH503" t="inlineStr">
        <is>
          <t>SCENE</t>
        </is>
      </c>
      <c r="AI503" t="inlineStr">
        <is>
          <t>ACTUAL_USE</t>
        </is>
      </c>
      <c r="AJ503" t="inlineStr">
        <is>
          <t>B</t>
        </is>
      </c>
      <c r="AK503" t="inlineStr">
        <is>
          <t>核心对象：饮酒阶段与继续饮酒的行为后果；体验：第一人称描述不继续喝会清醒、继续喝可能出洋相；证据强度：有直接体验和行为条件，但缺少具体时间地点等情境。</t>
        </is>
      </c>
      <c r="AL503"/>
      <c r="AM503" t="inlineStr">
        <is>
          <t>AI_GOLD_矫正后_50.xlsx</t>
        </is>
      </c>
    </row>
    <row r="504" ht="25.5" customHeight="1">
      <c r="A504" t="inlineStr">
        <is>
          <t>DY-SOC-0090_GOLD_attempt-0006_AI_矫正后</t>
        </is>
      </c>
      <c r="B504" t="inlineStr">
        <is>
          <t>还没有喝过梅子酒</t>
        </is>
      </c>
      <c r="C504"/>
      <c r="D504"/>
      <c r="E504"/>
      <c r="F504"/>
      <c r="G504"/>
      <c r="H504"/>
      <c r="I504"/>
      <c r="J504"/>
      <c r="K504"/>
      <c r="L504"/>
      <c r="M504"/>
      <c r="N504"/>
      <c r="O504"/>
      <c r="P504"/>
      <c r="Q504"/>
      <c r="R504"/>
      <c r="S504">
        <v>0.9</v>
      </c>
      <c r="T504" t="inlineStr">
        <is>
          <t>attempt-0006</t>
        </is>
      </c>
      <c r="U504"/>
      <c r="V504"/>
      <c r="W504"/>
      <c r="X504" t="inlineStr">
        <is>
          <t>DY-SOC-0090</t>
        </is>
      </c>
      <c r="Y504"/>
      <c r="Z504"/>
      <c r="AA504"/>
      <c r="AB504"/>
      <c r="AC504"/>
      <c r="AD504"/>
      <c r="AE504"/>
      <c r="AF504" t="inlineStr">
        <is>
          <t>AI_矫正后</t>
        </is>
      </c>
      <c r="AG504" t="inlineStr">
        <is>
          <t>GOLD</t>
        </is>
      </c>
      <c r="AH504" t="inlineStr">
        <is>
          <t>OTHER</t>
        </is>
      </c>
      <c r="AI504" t="inlineStr">
        <is>
          <t>NON_USE</t>
        </is>
      </c>
      <c r="AJ504" t="inlineStr">
        <is>
          <t>C</t>
        </is>
      </c>
      <c r="AK504" t="inlineStr">
        <is>
          <t>核心对象：OTHER（未发生饮用）；体验：NON_USE（明确表示尚未喝过梅子酒）；证据强度：C（仅有未饮用状态，缺少具体评价与依据）。</t>
        </is>
      </c>
      <c r="AL504"/>
      <c r="AM504" t="inlineStr">
        <is>
          <t>AI_GOLD_矫正后_50.xlsx</t>
        </is>
      </c>
    </row>
    <row r="505" ht="25.5" customHeight="1">
      <c r="A505" t="inlineStr">
        <is>
          <t>XHS-SOC-0203_GOLD_attempt-0006_AI_矫正后</t>
        </is>
      </c>
      <c r="B505" t="inlineStr">
        <is>
          <t>以前我还喝两口，自从看到它是二级致癌物之后就不喝了</t>
        </is>
      </c>
      <c r="C505"/>
      <c r="D505"/>
      <c r="E505"/>
      <c r="F505"/>
      <c r="G505"/>
      <c r="H505"/>
      <c r="I505"/>
      <c r="J505"/>
      <c r="K505"/>
      <c r="L505"/>
      <c r="M505"/>
      <c r="N505"/>
      <c r="O505"/>
      <c r="P505"/>
      <c r="Q505"/>
      <c r="R505"/>
      <c r="S505">
        <v>0.7</v>
      </c>
      <c r="T505" t="inlineStr">
        <is>
          <t>attempt-0006</t>
        </is>
      </c>
      <c r="U505"/>
      <c r="V505"/>
      <c r="W505"/>
      <c r="X505" t="inlineStr">
        <is>
          <t>XHS-SOC-0203</t>
        </is>
      </c>
      <c r="Y505"/>
      <c r="Z505"/>
      <c r="AA505"/>
      <c r="AB505"/>
      <c r="AC505"/>
      <c r="AD505"/>
      <c r="AE505"/>
      <c r="AF505" t="inlineStr">
        <is>
          <t>AI_矫正后</t>
        </is>
      </c>
      <c r="AG505" t="inlineStr">
        <is>
          <t>GOLD</t>
        </is>
      </c>
      <c r="AH505" t="inlineStr">
        <is>
          <t>OTHER</t>
        </is>
      </c>
      <c r="AI505" t="inlineStr">
        <is>
          <t>NON_USE</t>
        </is>
      </c>
      <c r="AJ505" t="inlineStr">
        <is>
          <t>A</t>
        </is>
      </c>
      <c r="AK505" t="inlineStr">
        <is>
          <t>核心对象：酒精健康安全；体验：NON_USE；证据强度：A。</t>
        </is>
      </c>
      <c r="AL505"/>
      <c r="AM505" t="inlineStr">
        <is>
          <t>AI_GOLD_矫正后_50.xlsx</t>
        </is>
      </c>
    </row>
    <row r="506" ht="25.5" customHeight="1">
      <c r="A506" t="inlineStr">
        <is>
          <t>DY-SOC-0267_GOLD_attempt-0006_AI_矫正后</t>
        </is>
      </c>
      <c r="B506" t="inlineStr">
        <is>
          <t>诱惑七号到底哪里可以买到</t>
        </is>
      </c>
      <c r="C506"/>
      <c r="D506"/>
      <c r="E506"/>
      <c r="F506"/>
      <c r="G506"/>
      <c r="H506"/>
      <c r="I506"/>
      <c r="J506"/>
      <c r="K506"/>
      <c r="L506"/>
      <c r="M506"/>
      <c r="N506"/>
      <c r="O506"/>
      <c r="P506"/>
      <c r="Q506"/>
      <c r="R506"/>
      <c r="S506">
        <v>0.9</v>
      </c>
      <c r="T506" t="inlineStr">
        <is>
          <t>attempt-0006</t>
        </is>
      </c>
      <c r="U506"/>
      <c r="V506"/>
      <c r="W506"/>
      <c r="X506" t="inlineStr">
        <is>
          <t>DY-SOC-0267</t>
        </is>
      </c>
      <c r="Y506"/>
      <c r="Z506"/>
      <c r="AA506"/>
      <c r="AB506"/>
      <c r="AC506"/>
      <c r="AD506"/>
      <c r="AE506"/>
      <c r="AF506" t="inlineStr">
        <is>
          <t>AI_矫正后</t>
        </is>
      </c>
      <c r="AG506" t="inlineStr">
        <is>
          <t>GOLD</t>
        </is>
      </c>
      <c r="AH506" t="inlineStr">
        <is>
          <t>SERVICE</t>
        </is>
      </c>
      <c r="AI506" t="inlineStr">
        <is>
          <t>UNKNOWN</t>
        </is>
      </c>
      <c r="AJ506" t="inlineStr">
        <is>
          <t>C</t>
        </is>
      </c>
      <c r="AK506" t="inlineStr">
        <is>
          <t>核心对象：SERVICE（询问购买渠道）；体验：UNKNOWN（未说明已购买或饮用）；证据强度：C（仅有购买询问，缺少实际购买或体验信息）。</t>
        </is>
      </c>
      <c r="AL506"/>
      <c r="AM506" t="inlineStr">
        <is>
          <t>AI_GOLD_矫正后_50.xlsx</t>
        </is>
      </c>
    </row>
    <row r="507" ht="25.5" customHeight="1">
      <c r="A507" t="inlineStr">
        <is>
          <t>MJ-RAW-0227_GOLD_attempt-0006_AI_矫正后</t>
        </is>
      </c>
      <c r="B507" t="inlineStr">
        <is>
          <t>酒量不好的人的福利来啦</t>
        </is>
      </c>
      <c r="C507"/>
      <c r="D507"/>
      <c r="E507"/>
      <c r="F507"/>
      <c r="G507"/>
      <c r="H507"/>
      <c r="I507"/>
      <c r="J507"/>
      <c r="K507"/>
      <c r="L507"/>
      <c r="M507"/>
      <c r="N507"/>
      <c r="O507"/>
      <c r="P507"/>
      <c r="Q507"/>
      <c r="R507"/>
      <c r="S507">
        <v>0.9</v>
      </c>
      <c r="T507" t="inlineStr">
        <is>
          <t>attempt-0006</t>
        </is>
      </c>
      <c r="U507"/>
      <c r="V507"/>
      <c r="W507"/>
      <c r="X507" t="inlineStr">
        <is>
          <t>MJ-RAW-0227</t>
        </is>
      </c>
      <c r="Y507"/>
      <c r="Z507"/>
      <c r="AA507"/>
      <c r="AB507"/>
      <c r="AC507"/>
      <c r="AD507"/>
      <c r="AE507"/>
      <c r="AF507" t="inlineStr">
        <is>
          <t>AI_矫正后</t>
        </is>
      </c>
      <c r="AG507" t="inlineStr">
        <is>
          <t>GOLD</t>
        </is>
      </c>
      <c r="AH507" t="inlineStr">
        <is>
          <t>SCENE</t>
        </is>
      </c>
      <c r="AI507" t="inlineStr">
        <is>
          <t>UNKNOWN</t>
        </is>
      </c>
      <c r="AJ507" t="inlineStr">
        <is>
          <t>C</t>
        </is>
      </c>
      <c r="AK507" t="inlineStr">
        <is>
          <t>核心对象：酒量不好人群的饮用相关表达；体验：未说明本人实际饮用，属于泛化宣传式表达；证据强度：只有一句福利口号，信息量有限。</t>
        </is>
      </c>
      <c r="AL507"/>
      <c r="AM507" t="inlineStr">
        <is>
          <t>AI_GOLD_矫正后_50.xlsx</t>
        </is>
      </c>
    </row>
    <row r="508" ht="25.5" customHeight="1">
      <c r="A508" t="inlineStr">
        <is>
          <t>DY-SOC-0102_GOLD_attempt-0006_AI_矫正后</t>
        </is>
      </c>
      <c r="B508" t="inlineStr">
        <is>
          <t>自己一个人在家微醺有推荐的吗[泪奔]</t>
        </is>
      </c>
      <c r="C508"/>
      <c r="D508"/>
      <c r="E508"/>
      <c r="F508"/>
      <c r="G508"/>
      <c r="H508"/>
      <c r="I508"/>
      <c r="J508"/>
      <c r="K508"/>
      <c r="L508"/>
      <c r="M508"/>
      <c r="N508"/>
      <c r="O508"/>
      <c r="P508"/>
      <c r="Q508"/>
      <c r="R508"/>
      <c r="S508">
        <v>0.9</v>
      </c>
      <c r="T508" t="inlineStr">
        <is>
          <t>attempt-0006</t>
        </is>
      </c>
      <c r="U508"/>
      <c r="V508"/>
      <c r="W508"/>
      <c r="X508" t="inlineStr">
        <is>
          <t>DY-SOC-0102</t>
        </is>
      </c>
      <c r="Y508"/>
      <c r="Z508"/>
      <c r="AA508"/>
      <c r="AB508"/>
      <c r="AC508"/>
      <c r="AD508"/>
      <c r="AE508"/>
      <c r="AF508" t="inlineStr">
        <is>
          <t>AI_矫正后</t>
        </is>
      </c>
      <c r="AG508" t="inlineStr">
        <is>
          <t>GOLD</t>
        </is>
      </c>
      <c r="AH508" t="inlineStr">
        <is>
          <t>OTHER</t>
        </is>
      </c>
      <c r="AI508" t="inlineStr">
        <is>
          <t>UNKNOWN</t>
        </is>
      </c>
      <c r="AJ508" t="inlineStr">
        <is>
          <t>C</t>
        </is>
      </c>
      <c r="AK508" t="inlineStr">
        <is>
          <t>核心对象：OTHER（仅询问独自在家微醺的推荐）；体验：UNKNOWN（未表明已经饮用或未饮用）；证据强度：C（仅有推荐意向，缺少实际体验判断）。</t>
        </is>
      </c>
      <c r="AL508"/>
      <c r="AM508" t="inlineStr">
        <is>
          <t>AI_GOLD_矫正后_50.xlsx</t>
        </is>
      </c>
    </row>
    <row r="509" ht="25.5" customHeight="1">
      <c r="A509" t="inlineStr">
        <is>
          <t>XHS-SOC-0193_GOLD_attempt-0006_AI_矫正后</t>
        </is>
      </c>
      <c r="B509" t="inlineStr">
        <is>
          <t>脑子清醒但是身体想睡觉，同时情绪敏感</t>
        </is>
      </c>
      <c r="C509"/>
      <c r="D509"/>
      <c r="E509"/>
      <c r="F509"/>
      <c r="G509"/>
      <c r="H509"/>
      <c r="I509"/>
      <c r="J509"/>
      <c r="K509"/>
      <c r="L509"/>
      <c r="M509"/>
      <c r="N509"/>
      <c r="O509"/>
      <c r="P509"/>
      <c r="Q509"/>
      <c r="R509"/>
      <c r="S509">
        <v>0.9</v>
      </c>
      <c r="T509" t="inlineStr">
        <is>
          <t>attempt-0006</t>
        </is>
      </c>
      <c r="U509"/>
      <c r="V509"/>
      <c r="W509"/>
      <c r="X509" t="inlineStr">
        <is>
          <t>XHS-SOC-0193</t>
        </is>
      </c>
      <c r="Y509"/>
      <c r="Z509"/>
      <c r="AA509"/>
      <c r="AB509"/>
      <c r="AC509"/>
      <c r="AD509"/>
      <c r="AE509"/>
      <c r="AF509" t="inlineStr">
        <is>
          <t>AI_矫正后</t>
        </is>
      </c>
      <c r="AG509" t="inlineStr">
        <is>
          <t>GOLD</t>
        </is>
      </c>
      <c r="AH509" t="inlineStr">
        <is>
          <t>SCENE</t>
        </is>
      </c>
      <c r="AI509" t="inlineStr">
        <is>
          <t>UNKNOWN</t>
        </is>
      </c>
      <c r="AJ509" t="inlineStr">
        <is>
          <t>C</t>
        </is>
      </c>
      <c r="AK509" t="inlineStr">
        <is>
          <t>核心对象：饮酒后的身体与情绪状态；体验：未说明本人饮用或具体场景，只给出清醒、困倦和情绪敏感的状态描述；证据强度：信息量低，缺少体验主体、情境和依据。</t>
        </is>
      </c>
      <c r="AL509"/>
      <c r="AM509" t="inlineStr">
        <is>
          <t>AI_GOLD_矫正后_50.xlsx</t>
        </is>
      </c>
    </row>
    <row r="510" ht="25.5" customHeight="1">
      <c r="A510" t="inlineStr">
        <is>
          <t>XHS-SOC-0199_GOLD_attempt-0006_AI_矫正后</t>
        </is>
      </c>
      <c r="B510" t="inlineStr">
        <is>
          <t>我急性酒精中毒，3天才活过来！太可怕了，戒酒</t>
        </is>
      </c>
      <c r="C510"/>
      <c r="D510"/>
      <c r="E510"/>
      <c r="F510"/>
      <c r="G510"/>
      <c r="H510"/>
      <c r="I510"/>
      <c r="J510"/>
      <c r="K510"/>
      <c r="L510"/>
      <c r="M510"/>
      <c r="N510"/>
      <c r="O510"/>
      <c r="P510"/>
      <c r="Q510"/>
      <c r="R510"/>
      <c r="S510">
        <v>0.9</v>
      </c>
      <c r="T510" t="inlineStr">
        <is>
          <t>attempt-0006</t>
        </is>
      </c>
      <c r="U510"/>
      <c r="V510"/>
      <c r="W510"/>
      <c r="X510" t="inlineStr">
        <is>
          <t>XHS-SOC-0199</t>
        </is>
      </c>
      <c r="Y510"/>
      <c r="Z510"/>
      <c r="AA510"/>
      <c r="AB510"/>
      <c r="AC510"/>
      <c r="AD510"/>
      <c r="AE510"/>
      <c r="AF510" t="inlineStr">
        <is>
          <t>AI_矫正后</t>
        </is>
      </c>
      <c r="AG510" t="inlineStr">
        <is>
          <t>GOLD</t>
        </is>
      </c>
      <c r="AH510" t="inlineStr">
        <is>
          <t>SCENE</t>
        </is>
      </c>
      <c r="AI510" t="inlineStr">
        <is>
          <t>ACTUAL_USE</t>
        </is>
      </c>
      <c r="AJ510" t="inlineStr">
        <is>
          <t>A</t>
        </is>
      </c>
      <c r="AK510" t="inlineStr">
        <is>
          <t>核心对象：饮酒后身体状态；体验：ACTUAL_USE；证据强度：A。</t>
        </is>
      </c>
      <c r="AL510"/>
      <c r="AM510" t="inlineStr">
        <is>
          <t>AI_GOLD_矫正后_50.xlsx</t>
        </is>
      </c>
    </row>
    <row r="511" ht="25.5" customHeight="1">
      <c r="A511" t="inlineStr">
        <is>
          <t>XHS-SOC-0211_GOLD_attempt-0006_AI_矫正后</t>
        </is>
      </c>
      <c r="B511" t="inlineStr">
        <is>
          <t>好喜欢喝到晕晕的又不会难受头痛那种感觉，走路飘飘的</t>
        </is>
      </c>
      <c r="C511"/>
      <c r="D511"/>
      <c r="E511"/>
      <c r="F511"/>
      <c r="G511"/>
      <c r="H511"/>
      <c r="I511"/>
      <c r="J511"/>
      <c r="K511"/>
      <c r="L511"/>
      <c r="M511"/>
      <c r="N511"/>
      <c r="O511"/>
      <c r="P511"/>
      <c r="Q511"/>
      <c r="R511"/>
      <c r="S511">
        <v>0.9</v>
      </c>
      <c r="T511" t="inlineStr">
        <is>
          <t>attempt-0006</t>
        </is>
      </c>
      <c r="U511"/>
      <c r="V511"/>
      <c r="W511"/>
      <c r="X511" t="inlineStr">
        <is>
          <t>XHS-SOC-0211</t>
        </is>
      </c>
      <c r="Y511"/>
      <c r="Z511"/>
      <c r="AA511"/>
      <c r="AB511"/>
      <c r="AC511"/>
      <c r="AD511"/>
      <c r="AE511"/>
      <c r="AF511" t="inlineStr">
        <is>
          <t>AI_矫正后</t>
        </is>
      </c>
      <c r="AG511" t="inlineStr">
        <is>
          <t>GOLD</t>
        </is>
      </c>
      <c r="AH511" t="inlineStr">
        <is>
          <t>SCENE</t>
        </is>
      </c>
      <c r="AI511" t="inlineStr">
        <is>
          <t>ACTUAL_USE</t>
        </is>
      </c>
      <c r="AJ511" t="inlineStr">
        <is>
          <t>A</t>
        </is>
      </c>
      <c r="AK511" t="inlineStr">
        <is>
          <t>核心对象：饮酒后身体状态；体验：ACTUAL_USE；证据强度：A。</t>
        </is>
      </c>
      <c r="AL511"/>
      <c r="AM511" t="inlineStr">
        <is>
          <t>AI_GOLD_矫正后_50.xlsx</t>
        </is>
      </c>
    </row>
    <row r="512" ht="25.5" customHeight="1">
      <c r="A512" t="inlineStr">
        <is>
          <t>XHS-SOC-0231_GOLD_attempt-0006_AI_矫正后</t>
        </is>
      </c>
      <c r="B512" t="inlineStr">
        <is>
          <t>和闺蜜喝了6瓶，完全喝醉了，第二天起床还头晕</t>
        </is>
      </c>
      <c r="C512"/>
      <c r="D512"/>
      <c r="E512"/>
      <c r="F512"/>
      <c r="G512"/>
      <c r="H512"/>
      <c r="I512"/>
      <c r="J512"/>
      <c r="K512"/>
      <c r="L512"/>
      <c r="M512"/>
      <c r="N512"/>
      <c r="O512"/>
      <c r="P512"/>
      <c r="Q512"/>
      <c r="R512"/>
      <c r="S512">
        <v>0.9</v>
      </c>
      <c r="T512" t="inlineStr">
        <is>
          <t>attempt-0006</t>
        </is>
      </c>
      <c r="U512"/>
      <c r="V512"/>
      <c r="W512"/>
      <c r="X512" t="inlineStr">
        <is>
          <t>XHS-SOC-0231</t>
        </is>
      </c>
      <c r="Y512"/>
      <c r="Z512"/>
      <c r="AA512"/>
      <c r="AB512"/>
      <c r="AC512"/>
      <c r="AD512"/>
      <c r="AE512"/>
      <c r="AF512" t="inlineStr">
        <is>
          <t>AI_矫正后</t>
        </is>
      </c>
      <c r="AG512" t="inlineStr">
        <is>
          <t>GOLD</t>
        </is>
      </c>
      <c r="AH512" t="inlineStr">
        <is>
          <t>SCENE</t>
        </is>
      </c>
      <c r="AI512" t="inlineStr">
        <is>
          <t>ACTUAL_USE</t>
        </is>
      </c>
      <c r="AJ512" t="inlineStr">
        <is>
          <t>A</t>
        </is>
      </c>
      <c r="AK512" t="inlineStr">
        <is>
          <t>核心对象：饮酒后身体状态；体验：ACTUAL_USE；证据强度：A。</t>
        </is>
      </c>
      <c r="AL512"/>
      <c r="AM512" t="inlineStr">
        <is>
          <t>AI_GOLD_矫正后_50.xlsx</t>
        </is>
      </c>
    </row>
    <row r="513" ht="25.5" customHeight="1">
      <c r="A513" t="inlineStr">
        <is>
          <t>XHS-SOC-0010_GOLD_attempt-0006_AI_矫正后</t>
        </is>
      </c>
      <c r="B513" t="inlineStr">
        <is>
          <t>其实你讨厌的不是敬酒，是各种恶心人的服从性测试</t>
        </is>
      </c>
      <c r="C513"/>
      <c r="D513"/>
      <c r="E513"/>
      <c r="F513"/>
      <c r="G513"/>
      <c r="H513"/>
      <c r="I513"/>
      <c r="J513"/>
      <c r="K513"/>
      <c r="L513"/>
      <c r="M513"/>
      <c r="N513"/>
      <c r="O513"/>
      <c r="P513"/>
      <c r="Q513"/>
      <c r="R513"/>
      <c r="S513">
        <v>0.9</v>
      </c>
      <c r="T513" t="inlineStr">
        <is>
          <t>attempt-0006</t>
        </is>
      </c>
      <c r="U513"/>
      <c r="V513"/>
      <c r="W513"/>
      <c r="X513" t="inlineStr">
        <is>
          <t>XHS-SOC-0010</t>
        </is>
      </c>
      <c r="Y513"/>
      <c r="Z513"/>
      <c r="AA513"/>
      <c r="AB513"/>
      <c r="AC513"/>
      <c r="AD513"/>
      <c r="AE513"/>
      <c r="AF513" t="inlineStr">
        <is>
          <t>AI_矫正后</t>
        </is>
      </c>
      <c r="AG513" t="inlineStr">
        <is>
          <t>GOLD</t>
        </is>
      </c>
      <c r="AH513" t="inlineStr">
        <is>
          <t>SCENE</t>
        </is>
      </c>
      <c r="AI513" t="inlineStr">
        <is>
          <t>UNKNOWN</t>
        </is>
      </c>
      <c r="AJ513" t="inlineStr">
        <is>
          <t>C</t>
        </is>
      </c>
      <c r="AK513" t="inlineStr">
        <is>
          <t>核心对象：敬酒中的社会行为；体验：未表达本人实际经历，属于对服从性测试的概括判断；证据强度：只有抽象判断，缺少具体场景或依据。</t>
        </is>
      </c>
      <c r="AL513"/>
      <c r="AM513" t="inlineStr">
        <is>
          <t>AI_GOLD_矫正后_50.xlsx</t>
        </is>
      </c>
    </row>
    <row r="514" ht="25.5" customHeight="1">
      <c r="A514" t="inlineStr">
        <is>
          <t>MJ-RAW-0322_GOLD_attempt-0006_AI_矫正后</t>
        </is>
      </c>
      <c r="B514" t="inlineStr">
        <is>
          <t>酒量不好的人的福利来啦</t>
        </is>
      </c>
      <c r="C514"/>
      <c r="D514"/>
      <c r="E514"/>
      <c r="F514"/>
      <c r="G514"/>
      <c r="H514"/>
      <c r="I514"/>
      <c r="J514"/>
      <c r="K514"/>
      <c r="L514"/>
      <c r="M514"/>
      <c r="N514"/>
      <c r="O514"/>
      <c r="P514"/>
      <c r="Q514"/>
      <c r="R514"/>
      <c r="S514">
        <v>0.9</v>
      </c>
      <c r="T514" t="inlineStr">
        <is>
          <t>attempt-0006</t>
        </is>
      </c>
      <c r="U514"/>
      <c r="V514"/>
      <c r="W514"/>
      <c r="X514" t="inlineStr">
        <is>
          <t>MJ-RAW-0322</t>
        </is>
      </c>
      <c r="Y514"/>
      <c r="Z514"/>
      <c r="AA514"/>
      <c r="AB514"/>
      <c r="AC514"/>
      <c r="AD514"/>
      <c r="AE514"/>
      <c r="AF514" t="inlineStr">
        <is>
          <t>AI_矫正后</t>
        </is>
      </c>
      <c r="AG514" t="inlineStr">
        <is>
          <t>GOLD</t>
        </is>
      </c>
      <c r="AH514" t="inlineStr">
        <is>
          <t>SCENE</t>
        </is>
      </c>
      <c r="AI514" t="inlineStr">
        <is>
          <t>UNKNOWN</t>
        </is>
      </c>
      <c r="AJ514" t="inlineStr">
        <is>
          <t>C</t>
        </is>
      </c>
      <c r="AK514" t="inlineStr">
        <is>
          <t>核心对象：酒量不好人群的饮用相关表达；体验：未说明本人实际饮用，属于泛化宣传式表达；证据强度：只有一句福利口号，信息量有限。</t>
        </is>
      </c>
      <c r="AL514"/>
      <c r="AM514" t="inlineStr">
        <is>
          <t>AI_GOLD_矫正后_50.xlsx</t>
        </is>
      </c>
    </row>
    <row r="515" ht="25.5" customHeight="1">
      <c r="A515" t="inlineStr">
        <is>
          <t>XHS-SOC-0243_GOLD_attempt-0006_AI_矫正后</t>
        </is>
      </c>
      <c r="B515" t="inlineStr">
        <is>
          <t>昆竹，里面最贵的那个青梅酒的品，最柔和</t>
        </is>
      </c>
      <c r="C515"/>
      <c r="D515"/>
      <c r="E515"/>
      <c r="F515"/>
      <c r="G515"/>
      <c r="H515"/>
      <c r="I515"/>
      <c r="J515"/>
      <c r="K515"/>
      <c r="L515"/>
      <c r="M515"/>
      <c r="N515"/>
      <c r="O515"/>
      <c r="P515"/>
      <c r="Q515"/>
      <c r="R515"/>
      <c r="S515">
        <v>0.7</v>
      </c>
      <c r="T515" t="inlineStr">
        <is>
          <t>attempt-0006</t>
        </is>
      </c>
      <c r="U515"/>
      <c r="V515"/>
      <c r="W515"/>
      <c r="X515" t="inlineStr">
        <is>
          <t>XHS-SOC-0243</t>
        </is>
      </c>
      <c r="Y515"/>
      <c r="Z515"/>
      <c r="AA515"/>
      <c r="AB515"/>
      <c r="AC515"/>
      <c r="AD515"/>
      <c r="AE515"/>
      <c r="AF515" t="inlineStr">
        <is>
          <t>AI_矫正后</t>
        </is>
      </c>
      <c r="AG515" t="inlineStr">
        <is>
          <t>GOLD</t>
        </is>
      </c>
      <c r="AH515" t="inlineStr">
        <is>
          <t>PRODUCT</t>
        </is>
      </c>
      <c r="AI515" t="inlineStr">
        <is>
          <t>ACTUAL_USE</t>
        </is>
      </c>
      <c r="AJ515" t="inlineStr">
        <is>
          <t>B</t>
        </is>
      </c>
      <c r="AK515" t="inlineStr">
        <is>
          <t>核心对象：青梅酒口感；体验：ACTUAL_USE；证据强度：B。</t>
        </is>
      </c>
      <c r="AL515"/>
      <c r="AM515" t="inlineStr">
        <is>
          <t>AI_GOLD_矫正后_50.xlsx</t>
        </is>
      </c>
    </row>
    <row r="516" ht="25.5" customHeight="1">
      <c r="A516" t="inlineStr">
        <is>
          <t>TB-20260809-018_GOLD_attempt-0006_AI_矫正后</t>
        </is>
      </c>
      <c r="B516" t="inlineStr">
        <is>
          <t>好喝爱喝经常来买。喜欢茉莉新口味和荔枝味。这俩是最爱</t>
        </is>
      </c>
      <c r="C516"/>
      <c r="D516"/>
      <c r="E516"/>
      <c r="F516"/>
      <c r="G516"/>
      <c r="H516"/>
      <c r="I516"/>
      <c r="J516"/>
      <c r="K516"/>
      <c r="L516"/>
      <c r="M516"/>
      <c r="N516"/>
      <c r="O516"/>
      <c r="P516"/>
      <c r="Q516"/>
      <c r="R516"/>
      <c r="S516">
        <v>0.9</v>
      </c>
      <c r="T516" t="inlineStr">
        <is>
          <t>attempt-0006</t>
        </is>
      </c>
      <c r="U516"/>
      <c r="V516"/>
      <c r="W516"/>
      <c r="X516" t="inlineStr">
        <is>
          <t>TB-20260809-018</t>
        </is>
      </c>
      <c r="Y516"/>
      <c r="Z516"/>
      <c r="AA516"/>
      <c r="AB516"/>
      <c r="AC516"/>
      <c r="AD516"/>
      <c r="AE516"/>
      <c r="AF516" t="inlineStr">
        <is>
          <t>AI_矫正后</t>
        </is>
      </c>
      <c r="AG516" t="inlineStr">
        <is>
          <t>GOLD</t>
        </is>
      </c>
      <c r="AH516" t="inlineStr">
        <is>
          <t>PRODUCT</t>
        </is>
      </c>
      <c r="AI516" t="inlineStr">
        <is>
          <t>ACTUAL_USE</t>
        </is>
      </c>
      <c r="AJ516" t="inlineStr">
        <is>
          <t>A</t>
        </is>
      </c>
      <c r="AK516" t="inlineStr">
        <is>
          <t>核心对象：产品口味；体验：明确喜欢茉莉新口味和荔枝味并称好喝；证据强度：给出具体口味和明确偏好，信息链完整。</t>
        </is>
      </c>
      <c r="AL516"/>
      <c r="AM516" t="inlineStr">
        <is>
          <t>AI_GOLD_矫正后_50.xlsx</t>
        </is>
      </c>
    </row>
    <row r="517" ht="25.5" customHeight="1">
      <c r="A517" t="inlineStr">
        <is>
          <t>TB-20260809-033_GOLD_attempt-0006_AI_矫正后</t>
        </is>
      </c>
      <c r="B517" t="inlineStr">
        <is>
          <t>口感不错，加冰更好，夏天来上一杯，比啤酒更爽</t>
        </is>
      </c>
      <c r="C517"/>
      <c r="D517"/>
      <c r="E517"/>
      <c r="F517"/>
      <c r="G517"/>
      <c r="H517"/>
      <c r="I517"/>
      <c r="J517"/>
      <c r="K517"/>
      <c r="L517"/>
      <c r="M517"/>
      <c r="N517"/>
      <c r="O517"/>
      <c r="P517"/>
      <c r="Q517"/>
      <c r="R517"/>
      <c r="S517">
        <v>0.9</v>
      </c>
      <c r="T517" t="inlineStr">
        <is>
          <t>attempt-0006</t>
        </is>
      </c>
      <c r="U517"/>
      <c r="V517"/>
      <c r="W517"/>
      <c r="X517" t="inlineStr">
        <is>
          <t>TB-20260809-033</t>
        </is>
      </c>
      <c r="Y517"/>
      <c r="Z517"/>
      <c r="AA517"/>
      <c r="AB517"/>
      <c r="AC517"/>
      <c r="AD517"/>
      <c r="AE517"/>
      <c r="AF517" t="inlineStr">
        <is>
          <t>AI_矫正后</t>
        </is>
      </c>
      <c r="AG517" t="inlineStr">
        <is>
          <t>GOLD</t>
        </is>
      </c>
      <c r="AH517" t="inlineStr">
        <is>
          <t>PRODUCT</t>
        </is>
      </c>
      <c r="AI517" t="inlineStr">
        <is>
          <t>ACTUAL_USE</t>
        </is>
      </c>
      <c r="AJ517" t="inlineStr">
        <is>
          <t>B</t>
        </is>
      </c>
      <c r="AK517" t="inlineStr">
        <is>
          <t>核心对象：产品口感与加冰后的调饮结果；体验：明确称口感不错且加冰更好；证据强度：判断清楚，但未明确写出评价对象和更多可核查细节。</t>
        </is>
      </c>
      <c r="AL517"/>
      <c r="AM517" t="inlineStr">
        <is>
          <t>AI_GOLD_矫正后_50.xlsx</t>
        </is>
      </c>
    </row>
    <row r="518" ht="25.5" customHeight="1">
      <c r="A518" t="inlineStr">
        <is>
          <t>XHS-SOC-0184_GOLD_attempt-0006_AI_矫正后</t>
        </is>
      </c>
      <c r="B518" t="inlineStr">
        <is>
          <t>打开闻到味道我以为是藿香正气水。。。</t>
        </is>
      </c>
      <c r="C518"/>
      <c r="D518"/>
      <c r="E518"/>
      <c r="F518"/>
      <c r="G518"/>
      <c r="H518"/>
      <c r="I518"/>
      <c r="J518"/>
      <c r="K518"/>
      <c r="L518"/>
      <c r="M518"/>
      <c r="N518"/>
      <c r="O518"/>
      <c r="P518"/>
      <c r="Q518"/>
      <c r="R518"/>
      <c r="S518">
        <v>0.9</v>
      </c>
      <c r="T518" t="inlineStr">
        <is>
          <t>attempt-0006</t>
        </is>
      </c>
      <c r="U518"/>
      <c r="V518"/>
      <c r="W518"/>
      <c r="X518" t="inlineStr">
        <is>
          <t>XHS-SOC-0184</t>
        </is>
      </c>
      <c r="Y518"/>
      <c r="Z518"/>
      <c r="AA518"/>
      <c r="AB518"/>
      <c r="AC518"/>
      <c r="AD518"/>
      <c r="AE518"/>
      <c r="AF518" t="inlineStr">
        <is>
          <t>AI_矫正后</t>
        </is>
      </c>
      <c r="AG518" t="inlineStr">
        <is>
          <t>GOLD</t>
        </is>
      </c>
      <c r="AH518" t="inlineStr">
        <is>
          <t>PRODUCT</t>
        </is>
      </c>
      <c r="AI518" t="inlineStr">
        <is>
          <t>ACTUAL_USE</t>
        </is>
      </c>
      <c r="AJ518" t="inlineStr">
        <is>
          <t>B</t>
        </is>
      </c>
      <c r="AK518" t="inlineStr">
        <is>
          <t>核心对象：产品气味；体验：明确描述打开后闻到气味并联想到藿香正气水；证据强度：有开封闻味的具体依据，但缺少明确的总体评价。</t>
        </is>
      </c>
      <c r="AL518"/>
      <c r="AM518" t="inlineStr">
        <is>
          <t>AI_GOLD_矫正后_50.xlsx</t>
        </is>
      </c>
    </row>
    <row r="519" ht="25.5" customHeight="1">
      <c r="A519" t="inlineStr">
        <is>
          <t>TB-20260809-024_GOLD_attempt-0006_AI_矫正后</t>
        </is>
      </c>
      <c r="B519" t="inlineStr">
        <is>
          <t>挺好的，性价比很高，酸甜口味，很容易接受，被这干净的配料表圈粉了！只有青梅、白酒、糖和蜂蜜，没乱七八糟的添加。13度加冰块喝，酒味淡了，满嘴都是梅子酸甜，像喝冰镇果汁。广东30多年的老牌子，二十几块钱一瓶，性价比绝了，必须囤！</t>
        </is>
      </c>
      <c r="C519"/>
      <c r="D519"/>
      <c r="E519"/>
      <c r="F519"/>
      <c r="G519"/>
      <c r="H519"/>
      <c r="I519"/>
      <c r="J519"/>
      <c r="K519"/>
      <c r="L519"/>
      <c r="M519"/>
      <c r="N519"/>
      <c r="O519"/>
      <c r="P519"/>
      <c r="Q519"/>
      <c r="R519"/>
      <c r="S519">
        <v>0.9</v>
      </c>
      <c r="T519" t="inlineStr">
        <is>
          <t>attempt-0006</t>
        </is>
      </c>
      <c r="U519"/>
      <c r="V519"/>
      <c r="W519"/>
      <c r="X519" t="inlineStr">
        <is>
          <t>TB-20260809-024</t>
        </is>
      </c>
      <c r="Y519"/>
      <c r="Z519"/>
      <c r="AA519"/>
      <c r="AB519"/>
      <c r="AC519"/>
      <c r="AD519"/>
      <c r="AE519"/>
      <c r="AF519" t="inlineStr">
        <is>
          <t>AI_矫正后</t>
        </is>
      </c>
      <c r="AG519" t="inlineStr">
        <is>
          <t>GOLD</t>
        </is>
      </c>
      <c r="AH519" t="inlineStr">
        <is>
          <t>PRODUCT</t>
        </is>
      </c>
      <c r="AI519" t="inlineStr">
        <is>
          <t>ACTUAL_USE</t>
        </is>
      </c>
      <c r="AJ519" t="inlineStr">
        <is>
          <t>A</t>
        </is>
      </c>
      <c r="AK519" t="inlineStr">
        <is>
          <t>核心对象：产品配料、酒精度与调饮口感；体验：明确描述13度加冰后的酒味和梅子酸甜口感；证据强度：有配料、度数、调饮方式和价格等具体依据，判断完整。</t>
        </is>
      </c>
      <c r="AL519"/>
      <c r="AM519" t="inlineStr">
        <is>
          <t>AI_GOLD_矫正后_50.xlsx</t>
        </is>
      </c>
    </row>
    <row r="520" ht="25.5" customHeight="1">
      <c r="A520" t="inlineStr">
        <is>
          <t>JD-RAW-0102_GOLD_attempt-0006_AI_矫正后</t>
        </is>
      </c>
      <c r="B520" t="inlineStr">
        <is>
          <t>口感不错，加冰更好，夏天来上一杯，比啤酒更爽</t>
        </is>
      </c>
      <c r="C520"/>
      <c r="D520"/>
      <c r="E520"/>
      <c r="F520"/>
      <c r="G520"/>
      <c r="H520"/>
      <c r="I520"/>
      <c r="J520"/>
      <c r="K520"/>
      <c r="L520"/>
      <c r="M520"/>
      <c r="N520"/>
      <c r="O520"/>
      <c r="P520"/>
      <c r="Q520"/>
      <c r="R520"/>
      <c r="S520">
        <v>0.9</v>
      </c>
      <c r="T520" t="inlineStr">
        <is>
          <t>attempt-0006</t>
        </is>
      </c>
      <c r="U520"/>
      <c r="V520"/>
      <c r="W520"/>
      <c r="X520" t="inlineStr">
        <is>
          <t>JD-RAW-0102</t>
        </is>
      </c>
      <c r="Y520"/>
      <c r="Z520"/>
      <c r="AA520"/>
      <c r="AB520"/>
      <c r="AC520"/>
      <c r="AD520"/>
      <c r="AE520"/>
      <c r="AF520" t="inlineStr">
        <is>
          <t>AI_矫正后</t>
        </is>
      </c>
      <c r="AG520" t="inlineStr">
        <is>
          <t>GOLD</t>
        </is>
      </c>
      <c r="AH520" t="inlineStr">
        <is>
          <t>PRODUCT</t>
        </is>
      </c>
      <c r="AI520" t="inlineStr">
        <is>
          <t>ACTUAL_USE</t>
        </is>
      </c>
      <c r="AJ520" t="inlineStr">
        <is>
          <t>A</t>
        </is>
      </c>
      <c r="AK520" t="inlineStr">
        <is>
          <t>核心对象：PRODUCT（口感与加冰后的饮用体验）；体验：ACTUAL_USE（明确评价饮用口感和加冰效果）；证据强度：A（有具体饮用方式、季节情境和比较性判断）。</t>
        </is>
      </c>
      <c r="AL520"/>
      <c r="AM520" t="inlineStr">
        <is>
          <t>AI_GOLD_矫正后_50.xlsx</t>
        </is>
      </c>
    </row>
  </sheetData>
  <dataValidations count="9">
    <dataValidation allowBlank="false" sqref="C2:C519" type="list">
      <formula1>"稳定饮酒者,低度酒用户,偶尔饮酒者,想尝试但有顾虑者,明确拒酒者,无法判断"</formula1>
    </dataValidation>
    <dataValidation allowBlank="false" sqref="R2:R519" type="list">
      <formula1>"高,中,低,无效"</formula1>
    </dataValidation>
    <dataValidation allowBlank="false" sqref="U2:U519" type="list">
      <formula1>"通过,修改,拒绝,待复核"</formula1>
    </dataValidation>
    <dataValidation allowBlank="false" sqref="AA2:AA519" type="list">
      <formula1>"支持已有洞察,挑战或修正,新需求候选,重复,无关,暂时无法判断"</formula1>
    </dataValidation>
    <dataValidation allowBlank="false" sqref="AF2:AF519" type="list">
      <formula1>"AI,人工,AI_矫正前,AI_矫正后"</formula1>
    </dataValidation>
    <dataValidation allowBlank="false" sqref="AG2:AG519" type="list">
      <formula1>"ANALYSIS_BASELINE,ANALYSIS_DEMO_DELTA,CHALLENGE_POOL,HOLDOUT,GOLD"</formula1>
    </dataValidation>
    <dataValidation allowBlank="false" sqref="AH2:AH519" type="list">
      <formula1>"PRODUCT,SCENE,EMOTION,BRAND,COMPETITOR,SERVICE,OTHER"</formula1>
    </dataValidation>
    <dataValidation allowBlank="false" sqref="AI2:AI519" type="list">
      <formula1>"ACTUAL_USE,EXPECTED_USE,PURCHASE_ONLY,NON_USE,UNKNOWN"</formula1>
    </dataValidation>
    <dataValidation allowBlank="false" sqref="AJ2:AJ519" type="list">
      <formula1>"A,B,C"</formula1>
    </dataValidation>
  </dataValidation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s>
  <sheetData>
    <row r="1" ht="13" customHeight="1">
      <c r="A1" s="1" t="inlineStr">
        <is>
          <t>洞察编号</t>
        </is>
      </c>
      <c r="B1" s="1" t="inlineStr">
        <is>
          <t>洞察名称</t>
        </is>
      </c>
      <c r="C1" s="1" t="inlineStr">
        <is>
          <t>核心冲突描述</t>
        </is>
      </c>
      <c r="D1" s="1" t="inlineStr">
        <is>
          <t>核心用户类型</t>
        </is>
      </c>
      <c r="E1" s="1" t="inlineStr">
        <is>
          <t>主要使用场景</t>
        </is>
      </c>
      <c r="F1" s="1" t="inlineStr">
        <is>
          <t>主要情绪</t>
        </is>
      </c>
      <c r="G1" s="1" t="inlineStr">
        <is>
          <t>身份需求</t>
        </is>
      </c>
      <c r="H1" s="1" t="inlineStr">
        <is>
          <t>支持语料数量</t>
        </is>
      </c>
      <c r="I1" s="1" t="inlineStr">
        <is>
          <t>独立用户数量</t>
        </is>
      </c>
      <c r="J1" s="1" t="inlineStr">
        <is>
          <t>语料占比</t>
        </is>
      </c>
      <c r="K1" s="1" t="inlineStr">
        <is>
          <t>来源平台分布</t>
        </is>
      </c>
      <c r="L1" s="1" t="inlineStr">
        <is>
          <t>代表性原话</t>
        </is>
      </c>
      <c r="M1" s="1" t="inlineStr">
        <is>
          <t>反例数量</t>
        </is>
      </c>
      <c r="N1" s="1" t="inlineStr">
        <is>
          <t>反例说明</t>
        </is>
      </c>
      <c r="O1" s="1" t="inlineStr">
        <is>
          <t>可能的其他解释</t>
        </is>
      </c>
      <c r="P1" s="1" t="inlineStr">
        <is>
          <t>洞察置信度</t>
        </is>
      </c>
      <c r="Q1" s="1" t="inlineStr">
        <is>
          <t>对市场的意义</t>
        </is>
      </c>
      <c r="R1" s="1" t="inlineStr">
        <is>
          <t>对目标品牌的意义</t>
        </is>
      </c>
      <c r="S1" s="1" t="inlineStr">
        <is>
          <t>适用业务模块</t>
        </is>
      </c>
      <c r="T1" s="1" t="inlineStr">
        <is>
          <t>当前状态</t>
        </is>
      </c>
      <c r="U1" s="1" t="inlineStr">
        <is>
          <t>人工判断</t>
        </is>
      </c>
      <c r="V1" s="1" t="inlineStr">
        <is>
          <t>对应分析记录</t>
        </is>
      </c>
      <c r="W1" s="1" t="inlineStr">
        <is>
          <t>支持语料编号</t>
        </is>
      </c>
      <c r="X1" s="1" t="inlineStr">
        <is>
          <t>反例语料编号</t>
        </is>
      </c>
      <c r="Y1" s="1" t="inlineStr">
        <is>
          <t>聚类版本</t>
        </is>
      </c>
      <c r="Z1" s="1" t="inlineStr">
        <is>
          <t>生成日期</t>
        </is>
      </c>
      <c r="AA1" s="1" t="inlineStr">
        <is>
          <t>相对上一版本变化</t>
        </is>
      </c>
      <c r="AB1" s="1" t="inlineStr">
        <is>
          <t>变化原因</t>
        </is>
      </c>
      <c r="AC1" s="1" t="inlineStr">
        <is>
          <t>关联叙事机会</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s>
  <sheetData>
    <row r="1" ht="13" customHeight="1">
      <c r="A1" s="1" t="inlineStr">
        <is>
          <t>机会编号</t>
        </is>
      </c>
      <c r="B1" s="1" t="inlineStr">
        <is>
          <t>叙事机会名称</t>
        </is>
      </c>
      <c r="C1" s="1" t="inlineStr">
        <is>
          <t>支撑语料数量</t>
        </is>
      </c>
      <c r="D1" s="1" t="inlineStr">
        <is>
          <t>核心人群</t>
        </is>
      </c>
      <c r="E1" s="1" t="inlineStr">
        <is>
          <t>核心用户冲突</t>
        </is>
      </c>
      <c r="F1" s="1" t="inlineStr">
        <is>
          <t>未被满足的价值</t>
        </is>
      </c>
      <c r="G1" s="1" t="inlineStr">
        <is>
          <t>目标品牌现有资产</t>
        </is>
      </c>
      <c r="H1" s="1" t="inlineStr">
        <is>
          <t>目标品牌角色</t>
        </is>
      </c>
      <c r="I1" s="1" t="inlineStr">
        <is>
          <t>竞品已占据方向</t>
        </is>
      </c>
      <c r="J1" s="1" t="inlineStr">
        <is>
          <t>竞品未解决问题</t>
        </is>
      </c>
      <c r="K1" s="1" t="inlineStr">
        <is>
          <t>品牌差异来源</t>
        </is>
      </c>
      <c r="L1" s="1" t="inlineStr">
        <is>
          <t>候选品牌世界观</t>
        </is>
      </c>
      <c r="M1" s="1" t="inlineStr">
        <is>
          <t>候选品牌主张</t>
        </is>
      </c>
      <c r="N1" s="1" t="inlineStr">
        <is>
          <t>场景意义</t>
        </is>
      </c>
      <c r="O1" s="1" t="inlineStr">
        <is>
          <t>内容母题</t>
        </is>
      </c>
      <c r="P1" s="1" t="inlineStr">
        <is>
          <t>Campaign Idea</t>
        </is>
      </c>
      <c r="Q1" s="1" t="inlineStr">
        <is>
          <t>产品或体验前提</t>
        </is>
      </c>
      <c r="R1" s="1" t="inlineStr">
        <is>
          <t>不适合表达的方向</t>
        </is>
      </c>
      <c r="S1" s="1" t="inlineStr">
        <is>
          <t>反例与潜在风险</t>
        </is>
      </c>
      <c r="T1" s="1" t="inlineStr">
        <is>
          <t>数据局限</t>
        </is>
      </c>
      <c r="U1" s="1" t="inlineStr">
        <is>
          <t>生成版本</t>
        </is>
      </c>
      <c r="V1" s="1" t="inlineStr">
        <is>
          <t>当前状态</t>
        </is>
      </c>
      <c r="W1" s="1" t="inlineStr">
        <is>
          <t>人工判断</t>
        </is>
      </c>
      <c r="X1" s="1" t="inlineStr">
        <is>
          <t>支撑洞察编号</t>
        </is>
      </c>
      <c r="Y1" s="1" t="inlineStr">
        <is>
          <t>支撑语料编号</t>
        </is>
      </c>
      <c r="Z1" s="1" t="inlineStr">
        <is>
          <t>关联压力测试</t>
        </is>
      </c>
      <c r="AA1" s="1" t="inlineStr">
        <is>
          <t>关联反模板检查</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s>
  <sheetData>
    <row r="1" ht="13" customHeight="1">
      <c r="A1" s="1" t="inlineStr">
        <is>
          <t>测试记录编号</t>
        </is>
      </c>
      <c r="B1" s="1" t="inlineStr">
        <is>
          <t>叙事机会名称</t>
        </is>
      </c>
      <c r="C1" s="1" t="inlineStr">
        <is>
          <t>测试类型</t>
        </is>
      </c>
      <c r="D1" s="1" t="inlineStr">
        <is>
          <t>核心测试问题</t>
        </is>
      </c>
      <c r="E1" s="1" t="inlineStr">
        <is>
          <t>支持证据</t>
        </is>
      </c>
      <c r="F1" s="1" t="inlineStr">
        <is>
          <t>反对证据</t>
        </is>
      </c>
      <c r="G1" s="1" t="inlineStr">
        <is>
          <t>测试评分</t>
        </is>
      </c>
      <c r="H1" s="1" t="inlineStr">
        <is>
          <t>通过标准</t>
        </is>
      </c>
      <c r="I1" s="1" t="inlineStr">
        <is>
          <t>测试结果</t>
        </is>
      </c>
      <c r="J1" s="1" t="inlineStr">
        <is>
          <t>主要问题</t>
        </is>
      </c>
      <c r="K1" s="1" t="inlineStr">
        <is>
          <t>修改建议</t>
        </is>
      </c>
      <c r="L1" s="1" t="inlineStr">
        <is>
          <t>修改后方向</t>
        </is>
      </c>
      <c r="M1" s="1" t="inlineStr">
        <is>
          <t>测试人员</t>
        </is>
      </c>
      <c r="N1" s="1" t="inlineStr">
        <is>
          <t>复核人员</t>
        </is>
      </c>
      <c r="O1" s="1" t="inlineStr">
        <is>
          <t>测试版本</t>
        </is>
      </c>
      <c r="P1" s="1" t="inlineStr">
        <is>
          <t>最终处理</t>
        </is>
      </c>
      <c r="Q1" s="1" t="inlineStr">
        <is>
          <t>机会编号</t>
        </is>
      </c>
      <c r="R1" s="1" t="inlineStr">
        <is>
          <t>测试权重</t>
        </is>
      </c>
      <c r="S1" s="1" t="inlineStr">
        <is>
          <t>加权得分</t>
        </is>
      </c>
      <c r="T1" s="1" t="inlineStr">
        <is>
          <t>是否触发一票否决</t>
        </is>
      </c>
      <c r="U1" s="1" t="inlineStr">
        <is>
          <t>综合得分</t>
        </is>
      </c>
      <c r="V1" s="1" t="inlineStr">
        <is>
          <t>是否进入小范围验证</t>
        </is>
      </c>
      <c r="W1" s="1" t="inlineStr">
        <is>
          <t>挑战类型</t>
        </is>
      </c>
      <c r="X1" s="1" t="inlineStr">
        <is>
          <t>预期行为</t>
        </is>
      </c>
      <c r="Y1" s="1" t="inlineStr">
        <is>
          <t>raw_id</t>
        </is>
      </c>
      <c r="Z1" s="1" t="inlineStr">
        <is>
          <t>实际结果</t>
        </is>
      </c>
      <c r="AA1" s="1" t="inlineStr">
        <is>
          <t>是否通过</t>
        </is>
      </c>
      <c r="AB1" s="1" t="inlineStr">
        <is>
          <t>错误类型</t>
        </is>
      </c>
      <c r="AC1" s="1" t="inlineStr">
        <is>
          <t>是否需要修改规则</t>
        </is>
      </c>
      <c r="AD1" s="1" t="inlineStr">
        <is>
          <t>人工处理意见</t>
        </is>
      </c>
      <c r="AE1" s="1" t="inlineStr">
        <is>
          <t>来源文件</t>
        </is>
      </c>
    </row>
    <row r="2" ht="25.5" customHeight="1">
      <c r="A2" t="inlineStr">
        <is>
          <t>TPL-001</t>
        </is>
      </c>
      <c r="B2"/>
      <c r="C2" t="inlineStr">
        <is>
          <t>证据充分性测试</t>
        </is>
      </c>
      <c r="D2" t="inlineStr">
        <is>
          <t>该叙事方向是否有足够多的语料证据支持？证据是否来自多个独立来源？是否存在明显的样本偏差？</t>
        </is>
      </c>
      <c r="E2"/>
      <c r="F2"/>
      <c r="G2"/>
      <c r="H2"/>
      <c r="I2" t="inlineStr">
        <is>
          <t>待测试</t>
        </is>
      </c>
      <c r="J2"/>
      <c r="K2"/>
      <c r="L2"/>
      <c r="M2"/>
      <c r="N2"/>
      <c r="O2" t="inlineStr">
        <is>
          <t>V1.0</t>
        </is>
      </c>
      <c r="P2"/>
      <c r="Q2"/>
      <c r="R2"/>
      <c r="S2" t="inlineStr">
        <is>
          <t>0</t>
        </is>
      </c>
      <c r="T2"/>
      <c r="U2"/>
      <c r="V2"/>
      <c r="W2"/>
      <c r="X2"/>
      <c r="Y2"/>
      <c r="Z2"/>
      <c r="AA2"/>
      <c r="AB2"/>
      <c r="AC2"/>
      <c r="AD2"/>
      <c r="AE2"/>
    </row>
    <row r="3" ht="25.5" customHeight="1">
      <c r="A3" t="inlineStr">
        <is>
          <t>TPL-002</t>
        </is>
      </c>
      <c r="B3"/>
      <c r="C3" t="inlineStr">
        <is>
          <t>用户冲突真实性测试</t>
        </is>
      </c>
      <c r="D3" t="inlineStr">
        <is>
          <t>该方向所基于的用户冲突是否真实存在？是否有足够的真实语料佐证？冲突的强度和普遍性如何？</t>
        </is>
      </c>
      <c r="E3"/>
      <c r="F3"/>
      <c r="G3"/>
      <c r="H3"/>
      <c r="I3" t="inlineStr">
        <is>
          <t>待测试</t>
        </is>
      </c>
      <c r="J3"/>
      <c r="K3"/>
      <c r="L3"/>
      <c r="M3"/>
      <c r="N3"/>
      <c r="O3" t="inlineStr">
        <is>
          <t>V1.0</t>
        </is>
      </c>
      <c r="P3"/>
      <c r="Q3"/>
      <c r="R3"/>
      <c r="S3" t="inlineStr">
        <is>
          <t>0</t>
        </is>
      </c>
      <c r="T3"/>
      <c r="U3"/>
      <c r="V3"/>
      <c r="W3"/>
      <c r="X3"/>
      <c r="Y3"/>
      <c r="Z3"/>
      <c r="AA3"/>
      <c r="AB3"/>
      <c r="AC3"/>
      <c r="AD3"/>
      <c r="AE3"/>
    </row>
    <row r="4" ht="25.5" customHeight="1">
      <c r="A4" t="inlineStr">
        <is>
          <t>TPL-003</t>
        </is>
      </c>
      <c r="B4"/>
      <c r="C4" t="inlineStr">
        <is>
          <t>品牌资产适配性测试</t>
        </is>
      </c>
      <c r="D4" t="inlineStr">
        <is>
          <t>该叙事方向是否与目标品牌的现有资产、调性、产品特点相匹配？品牌是否有能力支撑这个方向？</t>
        </is>
      </c>
      <c r="E4"/>
      <c r="F4"/>
      <c r="G4"/>
      <c r="H4"/>
      <c r="I4" t="inlineStr">
        <is>
          <t>待测试</t>
        </is>
      </c>
      <c r="J4"/>
      <c r="K4"/>
      <c r="L4"/>
      <c r="M4"/>
      <c r="N4"/>
      <c r="O4" t="inlineStr">
        <is>
          <t>V1.0</t>
        </is>
      </c>
      <c r="P4"/>
      <c r="Q4"/>
      <c r="R4"/>
      <c r="S4" t="inlineStr">
        <is>
          <t>0</t>
        </is>
      </c>
      <c r="T4"/>
      <c r="U4"/>
      <c r="V4"/>
      <c r="W4"/>
      <c r="X4"/>
      <c r="Y4"/>
      <c r="Z4"/>
      <c r="AA4"/>
      <c r="AB4"/>
      <c r="AC4"/>
      <c r="AD4"/>
      <c r="AE4"/>
    </row>
    <row r="5" ht="25.5" customHeight="1">
      <c r="A5" t="inlineStr">
        <is>
          <t>TPL-004</t>
        </is>
      </c>
      <c r="B5"/>
      <c r="C5" t="inlineStr">
        <is>
          <t>竞品替换性测试</t>
        </is>
      </c>
      <c r="D5" t="inlineStr">
        <is>
          <t>将品牌替换为竞品后，该叙事方向是否仍然成立？是否具有品牌独特性和不可替代性？</t>
        </is>
      </c>
      <c r="E5"/>
      <c r="F5"/>
      <c r="G5"/>
      <c r="H5"/>
      <c r="I5" t="inlineStr">
        <is>
          <t>待测试</t>
        </is>
      </c>
      <c r="J5"/>
      <c r="K5"/>
      <c r="L5"/>
      <c r="M5"/>
      <c r="N5"/>
      <c r="O5" t="inlineStr">
        <is>
          <t>V1.0</t>
        </is>
      </c>
      <c r="P5"/>
      <c r="Q5"/>
      <c r="R5"/>
      <c r="S5" t="inlineStr">
        <is>
          <t>0</t>
        </is>
      </c>
      <c r="T5"/>
      <c r="U5"/>
      <c r="V5"/>
      <c r="W5"/>
      <c r="X5"/>
      <c r="Y5"/>
      <c r="Z5"/>
      <c r="AA5"/>
      <c r="AB5"/>
      <c r="AC5"/>
      <c r="AD5"/>
      <c r="AE5"/>
    </row>
    <row r="6" ht="25.5" customHeight="1">
      <c r="A6" t="inlineStr">
        <is>
          <t>TPL-005</t>
        </is>
      </c>
      <c r="B6"/>
      <c r="C6" t="inlineStr">
        <is>
          <t>小范围可验证性测试</t>
        </is>
      </c>
      <c r="D6" t="inlineStr">
        <is>
          <t>该叙事方向是否可以通过小范围测试快速验证？验证成本是否可控？验证周期有多长？</t>
        </is>
      </c>
      <c r="E6"/>
      <c r="F6"/>
      <c r="G6"/>
      <c r="H6"/>
      <c r="I6" t="inlineStr">
        <is>
          <t>待测试</t>
        </is>
      </c>
      <c r="J6"/>
      <c r="K6"/>
      <c r="L6"/>
      <c r="M6"/>
      <c r="N6"/>
      <c r="O6" t="inlineStr">
        <is>
          <t>V1.0</t>
        </is>
      </c>
      <c r="P6"/>
      <c r="Q6"/>
      <c r="R6"/>
      <c r="S6" t="inlineStr">
        <is>
          <t>0</t>
        </is>
      </c>
      <c r="T6"/>
      <c r="U6"/>
      <c r="V6"/>
      <c r="W6"/>
      <c r="X6"/>
      <c r="Y6"/>
      <c r="Z6"/>
      <c r="AA6"/>
      <c r="AB6"/>
      <c r="AC6"/>
      <c r="AD6"/>
      <c r="AE6"/>
    </row>
    <row r="7" ht="25.5" customHeight="1">
      <c r="A7" t="inlineStr">
        <is>
          <t>CHL-001</t>
        </is>
      </c>
      <c r="B7"/>
      <c r="C7"/>
      <c r="D7"/>
      <c r="E7"/>
      <c r="F7"/>
      <c r="G7"/>
      <c r="H7"/>
      <c r="I7"/>
      <c r="J7"/>
      <c r="K7"/>
      <c r="L7"/>
      <c r="M7"/>
      <c r="N7"/>
      <c r="O7" t="inlineStr">
        <is>
          <t>formal-attempt-0001</t>
        </is>
      </c>
      <c r="P7"/>
      <c r="Q7"/>
      <c r="R7"/>
      <c r="S7" t="inlineStr">
        <is>
          <t>0</t>
        </is>
      </c>
      <c r="T7"/>
      <c r="U7"/>
      <c r="V7"/>
      <c r="W7"/>
      <c r="X7" t="inlineStr">
        <is>
          <t>附件未提供</t>
        </is>
      </c>
      <c r="Y7" t="inlineStr">
        <is>
          <t>DY-SOC-0052</t>
        </is>
      </c>
      <c r="Z7" t="inlineStr">
        <is>
          <t>route=PRODUCT; experience_scope=ACTUAL_USE; evidence_grade=C; ai_confidence=0.9; explanation=核心对象：产品口味；体验：原文直接表达好喝和喜欢，判为 ACTUAL_USE；证据强度：仅有笼统正向判断，信息链不完整，判为 C。</t>
        </is>
      </c>
      <c r="AA7"/>
      <c r="AB7"/>
      <c r="AC7"/>
      <c r="AD7" t="inlineStr">
        <is>
          <t>附件未提供</t>
        </is>
      </c>
      <c r="AE7" t="inlineStr">
        <is>
          <t>CHALLENGE_POOL_60.xlsx</t>
        </is>
      </c>
    </row>
    <row r="8" ht="25.5" customHeight="1">
      <c r="A8" t="inlineStr">
        <is>
          <t>CHL-002</t>
        </is>
      </c>
      <c r="B8"/>
      <c r="C8"/>
      <c r="D8"/>
      <c r="E8"/>
      <c r="F8"/>
      <c r="G8"/>
      <c r="H8"/>
      <c r="I8"/>
      <c r="J8"/>
      <c r="K8"/>
      <c r="L8"/>
      <c r="M8"/>
      <c r="N8"/>
      <c r="O8" t="inlineStr">
        <is>
          <t>formal-attempt-0001</t>
        </is>
      </c>
      <c r="P8"/>
      <c r="Q8"/>
      <c r="R8"/>
      <c r="S8" t="inlineStr">
        <is>
          <t>0</t>
        </is>
      </c>
      <c r="T8"/>
      <c r="U8"/>
      <c r="V8"/>
      <c r="W8"/>
      <c r="X8" t="inlineStr">
        <is>
          <t>附件未提供</t>
        </is>
      </c>
      <c r="Y8" t="inlineStr">
        <is>
          <t>DY-SOC-0066</t>
        </is>
      </c>
      <c r="Z8" t="inlineStr">
        <is>
          <t>route=COMPETITOR; experience_scope=UNKNOWN; evidence_grade=C; ai_confidence=0.7; explanation=核心对象：三鞭补酒这一替代选择；体验：原文仅发出尝试建议，没有实际体验立场，判为 UNKNOWN；证据强度：仅有尝试建议，判为 C。</t>
        </is>
      </c>
      <c r="AA8"/>
      <c r="AB8"/>
      <c r="AC8"/>
      <c r="AD8" t="inlineStr">
        <is>
          <t>附件未提供</t>
        </is>
      </c>
      <c r="AE8" t="inlineStr">
        <is>
          <t>CHALLENGE_POOL_60.xlsx</t>
        </is>
      </c>
    </row>
    <row r="9" ht="25.5" customHeight="1">
      <c r="A9" t="inlineStr">
        <is>
          <t>CHL-003</t>
        </is>
      </c>
      <c r="B9"/>
      <c r="C9"/>
      <c r="D9"/>
      <c r="E9"/>
      <c r="F9"/>
      <c r="G9"/>
      <c r="H9"/>
      <c r="I9"/>
      <c r="J9"/>
      <c r="K9"/>
      <c r="L9"/>
      <c r="M9"/>
      <c r="N9"/>
      <c r="O9" t="inlineStr">
        <is>
          <t>formal-attempt-0001</t>
        </is>
      </c>
      <c r="P9"/>
      <c r="Q9"/>
      <c r="R9"/>
      <c r="S9" t="inlineStr">
        <is>
          <t>0</t>
        </is>
      </c>
      <c r="T9"/>
      <c r="U9"/>
      <c r="V9"/>
      <c r="W9"/>
      <c r="X9" t="inlineStr">
        <is>
          <t>附件未提供</t>
        </is>
      </c>
      <c r="Y9" t="inlineStr">
        <is>
          <t>DY-SOC-0070</t>
        </is>
      </c>
      <c r="Z9" t="inlineStr">
        <is>
          <t>route=PRODUCT; experience_scope=UNKNOWN; evidence_grade=C; ai_confidence=0.9; explanation=核心对象：产品规格；体验：原文仅询问容量，没有体验立场，判为 UNKNOWN；证据强度：仅有规格询问，没有完整评价判断，判为 C。</t>
        </is>
      </c>
      <c r="AA9"/>
      <c r="AB9"/>
      <c r="AC9"/>
      <c r="AD9" t="inlineStr">
        <is>
          <t>附件未提供</t>
        </is>
      </c>
      <c r="AE9" t="inlineStr">
        <is>
          <t>CHALLENGE_POOL_60.xlsx</t>
        </is>
      </c>
    </row>
    <row r="10" ht="25.5" customHeight="1">
      <c r="A10" t="inlineStr">
        <is>
          <t>CHL-004</t>
        </is>
      </c>
      <c r="B10"/>
      <c r="C10"/>
      <c r="D10"/>
      <c r="E10"/>
      <c r="F10"/>
      <c r="G10"/>
      <c r="H10"/>
      <c r="I10"/>
      <c r="J10"/>
      <c r="K10"/>
      <c r="L10"/>
      <c r="M10"/>
      <c r="N10"/>
      <c r="O10" t="inlineStr">
        <is>
          <t>formal-attempt-0001</t>
        </is>
      </c>
      <c r="P10"/>
      <c r="Q10"/>
      <c r="R10"/>
      <c r="S10" t="inlineStr">
        <is>
          <t>0</t>
        </is>
      </c>
      <c r="T10"/>
      <c r="U10"/>
      <c r="V10"/>
      <c r="W10"/>
      <c r="X10" t="inlineStr">
        <is>
          <t>附件未提供</t>
        </is>
      </c>
      <c r="Y10" t="inlineStr">
        <is>
          <t>DY-SOC-0106</t>
        </is>
      </c>
      <c r="Z10" t="inlineStr">
        <is>
          <t>route=SCENE; experience_scope=ACTUAL_USE; evidence_grade=B; ai_confidence=0.9; explanation=核心对象：饮后微醺状态；体验：原文明确刚刚喝完并表达饮后状态，判为 ACTUAL_USE；证据强度：饮用与饮后感受明确，但缺少更完整的评价依据，判为 B。</t>
        </is>
      </c>
      <c r="AA10"/>
      <c r="AB10"/>
      <c r="AC10"/>
      <c r="AD10" t="inlineStr">
        <is>
          <t>附件未提供</t>
        </is>
      </c>
      <c r="AE10" t="inlineStr">
        <is>
          <t>CHALLENGE_POOL_60.xlsx</t>
        </is>
      </c>
    </row>
    <row r="11" ht="25.5" customHeight="1">
      <c r="A11" t="inlineStr">
        <is>
          <t>CHL-005</t>
        </is>
      </c>
      <c r="B11"/>
      <c r="C11"/>
      <c r="D11"/>
      <c r="E11"/>
      <c r="F11"/>
      <c r="G11"/>
      <c r="H11"/>
      <c r="I11"/>
      <c r="J11"/>
      <c r="K11"/>
      <c r="L11"/>
      <c r="M11"/>
      <c r="N11"/>
      <c r="O11" t="inlineStr">
        <is>
          <t>formal-attempt-0001</t>
        </is>
      </c>
      <c r="P11"/>
      <c r="Q11"/>
      <c r="R11"/>
      <c r="S11" t="inlineStr">
        <is>
          <t>0</t>
        </is>
      </c>
      <c r="T11"/>
      <c r="U11"/>
      <c r="V11"/>
      <c r="W11"/>
      <c r="X11" t="inlineStr">
        <is>
          <t>附件未提供</t>
        </is>
      </c>
      <c r="Y11" t="inlineStr">
        <is>
          <t>DY-SOC-0112</t>
        </is>
      </c>
      <c r="Z11" t="inlineStr">
        <is>
          <t>route=SCENE; experience_scope=ACTUAL_USE; evidence_grade=B; ai_confidence=0.9; explanation=核心对象：饮后微醺状态；体验：原文直接表达对微醺感觉的喜爱，判为 ACTUAL_USE；证据强度：状态判断明确，但缺少具体情境或依据，判为 B。</t>
        </is>
      </c>
      <c r="AA11"/>
      <c r="AB11"/>
      <c r="AC11"/>
      <c r="AD11" t="inlineStr">
        <is>
          <t>附件未提供</t>
        </is>
      </c>
      <c r="AE11" t="inlineStr">
        <is>
          <t>CHALLENGE_POOL_60.xlsx</t>
        </is>
      </c>
    </row>
    <row r="12" ht="25.5" customHeight="1">
      <c r="A12" t="inlineStr">
        <is>
          <t>CHL-006</t>
        </is>
      </c>
      <c r="B12"/>
      <c r="C12"/>
      <c r="D12"/>
      <c r="E12"/>
      <c r="F12"/>
      <c r="G12"/>
      <c r="H12"/>
      <c r="I12"/>
      <c r="J12"/>
      <c r="K12"/>
      <c r="L12"/>
      <c r="M12"/>
      <c r="N12"/>
      <c r="O12" t="inlineStr">
        <is>
          <t>formal-attempt-0001</t>
        </is>
      </c>
      <c r="P12"/>
      <c r="Q12"/>
      <c r="R12"/>
      <c r="S12" t="inlineStr">
        <is>
          <t>0</t>
        </is>
      </c>
      <c r="T12"/>
      <c r="U12"/>
      <c r="V12"/>
      <c r="W12"/>
      <c r="X12" t="inlineStr">
        <is>
          <t>附件未提供</t>
        </is>
      </c>
      <c r="Y12" t="inlineStr">
        <is>
          <t>DY-SOC-0120</t>
        </is>
      </c>
      <c r="Z12" t="inlineStr">
        <is>
          <t>route=SCENE; experience_scope=ACTUAL_USE; evidence_grade=A; ai_confidence=0.9; explanation=核心对象：酒桌社会行为；体验：原文描述领导和同事聚餐饮酒并主张量力而行，判为 ACTUAL_USE；证据强度：对象、聚餐饮酒情境和判断均明确，信息链完整，判为 A。</t>
        </is>
      </c>
      <c r="AA12"/>
      <c r="AB12"/>
      <c r="AC12"/>
      <c r="AD12" t="inlineStr">
        <is>
          <t>附件未提供</t>
        </is>
      </c>
      <c r="AE12" t="inlineStr">
        <is>
          <t>CHALLENGE_POOL_60.xlsx</t>
        </is>
      </c>
    </row>
    <row r="13" ht="25.5" customHeight="1">
      <c r="A13" t="inlineStr">
        <is>
          <t>CHL-007</t>
        </is>
      </c>
      <c r="B13"/>
      <c r="C13"/>
      <c r="D13"/>
      <c r="E13"/>
      <c r="F13"/>
      <c r="G13"/>
      <c r="H13"/>
      <c r="I13"/>
      <c r="J13"/>
      <c r="K13"/>
      <c r="L13"/>
      <c r="M13"/>
      <c r="N13"/>
      <c r="O13" t="inlineStr">
        <is>
          <t>formal-attempt-0001</t>
        </is>
      </c>
      <c r="P13"/>
      <c r="Q13"/>
      <c r="R13"/>
      <c r="S13" t="inlineStr">
        <is>
          <t>0</t>
        </is>
      </c>
      <c r="T13"/>
      <c r="U13"/>
      <c r="V13"/>
      <c r="W13"/>
      <c r="X13" t="inlineStr">
        <is>
          <t>附件未提供</t>
        </is>
      </c>
      <c r="Y13" t="inlineStr">
        <is>
          <t>DY-SOC-0127</t>
        </is>
      </c>
      <c r="Z13" t="inlineStr">
        <is>
          <t>route=SCENE; experience_scope=UNKNOWN; evidence_grade=C; ai_confidence=0.9; explanation=核心对象：边吃火锅边喝酒的饮用场景；体验：原文没有第一人称体验立场，判为 UNKNOWN；证据强度：以口号式概括表达场景，缺少可复核细节，判为 C。</t>
        </is>
      </c>
      <c r="AA13"/>
      <c r="AB13"/>
      <c r="AC13"/>
      <c r="AD13" t="inlineStr">
        <is>
          <t>附件未提供</t>
        </is>
      </c>
      <c r="AE13" t="inlineStr">
        <is>
          <t>CHALLENGE_POOL_60.xlsx</t>
        </is>
      </c>
    </row>
    <row r="14" ht="25.5" customHeight="1">
      <c r="A14" t="inlineStr">
        <is>
          <t>CHL-008</t>
        </is>
      </c>
      <c r="B14"/>
      <c r="C14"/>
      <c r="D14"/>
      <c r="E14"/>
      <c r="F14"/>
      <c r="G14"/>
      <c r="H14"/>
      <c r="I14"/>
      <c r="J14"/>
      <c r="K14"/>
      <c r="L14"/>
      <c r="M14"/>
      <c r="N14"/>
      <c r="O14" t="inlineStr">
        <is>
          <t>formal-attempt-0001</t>
        </is>
      </c>
      <c r="P14"/>
      <c r="Q14"/>
      <c r="R14"/>
      <c r="S14" t="inlineStr">
        <is>
          <t>0</t>
        </is>
      </c>
      <c r="T14"/>
      <c r="U14"/>
      <c r="V14"/>
      <c r="W14"/>
      <c r="X14" t="inlineStr">
        <is>
          <t>附件未提供</t>
        </is>
      </c>
      <c r="Y14" t="inlineStr">
        <is>
          <t>DY-SOC-0133</t>
        </is>
      </c>
      <c r="Z14" t="inlineStr">
        <is>
          <t>route=COMPETITOR; experience_scope=UNKNOWN; evidence_grade=C; ai_confidence=0.9; explanation=核心对象：五粮液这一竞品选择；体验：原文仅表达将要购买，没有饮用体验立场，判为 UNKNOWN；证据强度：只有购买意向，判为 C。</t>
        </is>
      </c>
      <c r="AA14"/>
      <c r="AB14"/>
      <c r="AC14"/>
      <c r="AD14" t="inlineStr">
        <is>
          <t>附件未提供</t>
        </is>
      </c>
      <c r="AE14" t="inlineStr">
        <is>
          <t>CHALLENGE_POOL_60.xlsx</t>
        </is>
      </c>
    </row>
    <row r="15" ht="25.5" customHeight="1">
      <c r="A15" t="inlineStr">
        <is>
          <t>CHL-009</t>
        </is>
      </c>
      <c r="B15"/>
      <c r="C15"/>
      <c r="D15"/>
      <c r="E15"/>
      <c r="F15"/>
      <c r="G15"/>
      <c r="H15"/>
      <c r="I15"/>
      <c r="J15"/>
      <c r="K15"/>
      <c r="L15"/>
      <c r="M15"/>
      <c r="N15"/>
      <c r="O15" t="inlineStr">
        <is>
          <t>formal-attempt-0001</t>
        </is>
      </c>
      <c r="P15"/>
      <c r="Q15"/>
      <c r="R15"/>
      <c r="S15" t="inlineStr">
        <is>
          <t>0</t>
        </is>
      </c>
      <c r="T15"/>
      <c r="U15"/>
      <c r="V15"/>
      <c r="W15"/>
      <c r="X15" t="inlineStr">
        <is>
          <t>附件未提供</t>
        </is>
      </c>
      <c r="Y15" t="inlineStr">
        <is>
          <t>DY-SOC-0143</t>
        </is>
      </c>
      <c r="Z15" t="inlineStr">
        <is>
          <t>route=OTHER; experience_scope=UNKNOWN; evidence_grade=A; ai_confidence=0.7; explanation=核心对象：酒庄陶坛展示场面；体验：原文仅表达对场面的观感，没有饮用体验立场，判为 UNKNOWN；证据强度：地点、数量依据和明确观感均有，信息链完整，判为 A。</t>
        </is>
      </c>
      <c r="AA15"/>
      <c r="AB15"/>
      <c r="AC15"/>
      <c r="AD15" t="inlineStr">
        <is>
          <t>附件未提供</t>
        </is>
      </c>
      <c r="AE15" t="inlineStr">
        <is>
          <t>CHALLENGE_POOL_60.xlsx</t>
        </is>
      </c>
    </row>
    <row r="16" ht="25.5" customHeight="1">
      <c r="A16" t="inlineStr">
        <is>
          <t>CHL-010</t>
        </is>
      </c>
      <c r="B16"/>
      <c r="C16"/>
      <c r="D16"/>
      <c r="E16"/>
      <c r="F16"/>
      <c r="G16"/>
      <c r="H16"/>
      <c r="I16"/>
      <c r="J16"/>
      <c r="K16"/>
      <c r="L16"/>
      <c r="M16"/>
      <c r="N16"/>
      <c r="O16" t="inlineStr">
        <is>
          <t>formal-attempt-0001</t>
        </is>
      </c>
      <c r="P16"/>
      <c r="Q16"/>
      <c r="R16"/>
      <c r="S16" t="inlineStr">
        <is>
          <t>0</t>
        </is>
      </c>
      <c r="T16"/>
      <c r="U16"/>
      <c r="V16"/>
      <c r="W16"/>
      <c r="X16" t="inlineStr">
        <is>
          <t>附件未提供</t>
        </is>
      </c>
      <c r="Y16" t="inlineStr">
        <is>
          <t>DY-SOC-0205</t>
        </is>
      </c>
      <c r="Z16" t="inlineStr">
        <is>
          <t>route=SERVICE; experience_scope=UNKNOWN; evidence_grade=C; ai_confidence=0.9; explanation=核心对象：购买过程；体验：原文仅询问如何购买，没有体验立场，判为 UNKNOWN；证据强度：仅有购买询问，判为 C。</t>
        </is>
      </c>
      <c r="AA16"/>
      <c r="AB16"/>
      <c r="AC16"/>
      <c r="AD16" t="inlineStr">
        <is>
          <t>附件未提供</t>
        </is>
      </c>
      <c r="AE16" t="inlineStr">
        <is>
          <t>CHALLENGE_POOL_60.xlsx</t>
        </is>
      </c>
    </row>
    <row r="17" ht="25.5" customHeight="1">
      <c r="A17" t="inlineStr">
        <is>
          <t>CHL-011</t>
        </is>
      </c>
      <c r="B17"/>
      <c r="C17"/>
      <c r="D17"/>
      <c r="E17"/>
      <c r="F17"/>
      <c r="G17"/>
      <c r="H17"/>
      <c r="I17"/>
      <c r="J17"/>
      <c r="K17"/>
      <c r="L17"/>
      <c r="M17"/>
      <c r="N17"/>
      <c r="O17" t="inlineStr">
        <is>
          <t>formal-attempt-0001</t>
        </is>
      </c>
      <c r="P17"/>
      <c r="Q17"/>
      <c r="R17"/>
      <c r="S17" t="inlineStr">
        <is>
          <t>0</t>
        </is>
      </c>
      <c r="T17"/>
      <c r="U17"/>
      <c r="V17"/>
      <c r="W17"/>
      <c r="X17" t="inlineStr">
        <is>
          <t>附件未提供</t>
        </is>
      </c>
      <c r="Y17" t="inlineStr">
        <is>
          <t>JD-20260809-009</t>
        </is>
      </c>
      <c r="Z17" t="inlineStr">
        <is>
          <t>route=PRODUCT; experience_scope=ACTUAL_USE; evidence_grade=A; ai_confidence=0.9; explanation=核心对象：产品口味及饮后体验；体验：原文明确喝过并比较口味、饮后感受，判为 ACTUAL_USE；证据强度：评价对象、比较依据和明确判断均有，信息链完整，判为 A。</t>
        </is>
      </c>
      <c r="AA17"/>
      <c r="AB17"/>
      <c r="AC17"/>
      <c r="AD17" t="inlineStr">
        <is>
          <t>附件未提供</t>
        </is>
      </c>
      <c r="AE17" t="inlineStr">
        <is>
          <t>CHALLENGE_POOL_60.xlsx</t>
        </is>
      </c>
    </row>
    <row r="18" ht="25.5" customHeight="1">
      <c r="A18" t="inlineStr">
        <is>
          <t>CHL-012</t>
        </is>
      </c>
      <c r="B18"/>
      <c r="C18"/>
      <c r="D18"/>
      <c r="E18"/>
      <c r="F18"/>
      <c r="G18"/>
      <c r="H18"/>
      <c r="I18"/>
      <c r="J18"/>
      <c r="K18"/>
      <c r="L18"/>
      <c r="M18"/>
      <c r="N18"/>
      <c r="O18" t="inlineStr">
        <is>
          <t>formal-attempt-0001</t>
        </is>
      </c>
      <c r="P18"/>
      <c r="Q18"/>
      <c r="R18"/>
      <c r="S18" t="inlineStr">
        <is>
          <t>0</t>
        </is>
      </c>
      <c r="T18"/>
      <c r="U18"/>
      <c r="V18"/>
      <c r="W18"/>
      <c r="X18" t="inlineStr">
        <is>
          <t>附件未提供</t>
        </is>
      </c>
      <c r="Y18" t="inlineStr">
        <is>
          <t>JD-20260809-014</t>
        </is>
      </c>
      <c r="Z18" t="inlineStr">
        <is>
          <t>route=PRODUCT; experience_scope=ACTUAL_USE; evidence_grade=A; ai_confidence=0.9; explanation=核心对象：产品口味、香气和饮用后的微熏感；体验：原文明确喝过并描述加冰饮用结果和感受，判为 ACTUAL_USE；证据强度：饮用情境、具体体验依据和明确判断均有，信息链完整，判为 A。</t>
        </is>
      </c>
      <c r="AA18"/>
      <c r="AB18"/>
      <c r="AC18"/>
      <c r="AD18" t="inlineStr">
        <is>
          <t>附件未提供</t>
        </is>
      </c>
      <c r="AE18" t="inlineStr">
        <is>
          <t>CHALLENGE_POOL_60.xlsx</t>
        </is>
      </c>
    </row>
    <row r="19" ht="25.5" customHeight="1">
      <c r="A19" t="inlineStr">
        <is>
          <t>CHL-013</t>
        </is>
      </c>
      <c r="B19"/>
      <c r="C19"/>
      <c r="D19"/>
      <c r="E19"/>
      <c r="F19"/>
      <c r="G19"/>
      <c r="H19"/>
      <c r="I19"/>
      <c r="J19"/>
      <c r="K19"/>
      <c r="L19"/>
      <c r="M19"/>
      <c r="N19"/>
      <c r="O19" t="inlineStr">
        <is>
          <t>formal-attempt-0001</t>
        </is>
      </c>
      <c r="P19"/>
      <c r="Q19"/>
      <c r="R19"/>
      <c r="S19" t="inlineStr">
        <is>
          <t>0</t>
        </is>
      </c>
      <c r="T19"/>
      <c r="U19"/>
      <c r="V19"/>
      <c r="W19"/>
      <c r="X19" t="inlineStr">
        <is>
          <t>附件未提供</t>
        </is>
      </c>
      <c r="Y19" t="inlineStr">
        <is>
          <t>JD-20260809-025</t>
        </is>
      </c>
      <c r="Z19" t="inlineStr">
        <is>
          <t>route=PRODUCT; experience_scope=ACTUAL_USE; evidence_grade=A; ai_confidence=0.9; explanation=核心对象：产品的微醺体验；体验：原文直接评价产品并给出配餐饮用方式，判为 ACTUAL_USE；证据强度：产品判断和饮用情境均明确，信息链完整，判为 A。</t>
        </is>
      </c>
      <c r="AA19"/>
      <c r="AB19"/>
      <c r="AC19"/>
      <c r="AD19" t="inlineStr">
        <is>
          <t>附件未提供</t>
        </is>
      </c>
      <c r="AE19" t="inlineStr">
        <is>
          <t>CHALLENGE_POOL_60.xlsx</t>
        </is>
      </c>
    </row>
    <row r="20" ht="25.5" customHeight="1">
      <c r="A20" t="inlineStr">
        <is>
          <t>CHL-014</t>
        </is>
      </c>
      <c r="B20"/>
      <c r="C20"/>
      <c r="D20"/>
      <c r="E20"/>
      <c r="F20"/>
      <c r="G20"/>
      <c r="H20"/>
      <c r="I20"/>
      <c r="J20"/>
      <c r="K20"/>
      <c r="L20"/>
      <c r="M20"/>
      <c r="N20"/>
      <c r="O20" t="inlineStr">
        <is>
          <t>formal-attempt-0001</t>
        </is>
      </c>
      <c r="P20"/>
      <c r="Q20"/>
      <c r="R20"/>
      <c r="S20" t="inlineStr">
        <is>
          <t>0</t>
        </is>
      </c>
      <c r="T20"/>
      <c r="U20"/>
      <c r="V20"/>
      <c r="W20"/>
      <c r="X20" t="inlineStr">
        <is>
          <t>附件未提供</t>
        </is>
      </c>
      <c r="Y20" t="inlineStr">
        <is>
          <t>JD-20260809-030</t>
        </is>
      </c>
      <c r="Z20" t="inlineStr">
        <is>
          <t>route=PRODUCT; experience_scope=ACTUAL_USE; evidence_grade=A; ai_confidence=0.9; explanation=核心对象：产品口味和酒精度体验；体验：原文明确喝过并描述具体口味、酒精度和饮后感受，判为 ACTUAL_USE；证据强度：体验对象、具体依据和明确判断均有，信息链完整，判为 A。</t>
        </is>
      </c>
      <c r="AA20"/>
      <c r="AB20"/>
      <c r="AC20"/>
      <c r="AD20" t="inlineStr">
        <is>
          <t>附件未提供</t>
        </is>
      </c>
      <c r="AE20" t="inlineStr">
        <is>
          <t>CHALLENGE_POOL_60.xlsx</t>
        </is>
      </c>
    </row>
    <row r="21" ht="25.5" customHeight="1">
      <c r="A21" t="inlineStr">
        <is>
          <t>CHL-015</t>
        </is>
      </c>
      <c r="B21"/>
      <c r="C21"/>
      <c r="D21"/>
      <c r="E21"/>
      <c r="F21"/>
      <c r="G21"/>
      <c r="H21"/>
      <c r="I21"/>
      <c r="J21"/>
      <c r="K21"/>
      <c r="L21"/>
      <c r="M21"/>
      <c r="N21"/>
      <c r="O21" t="inlineStr">
        <is>
          <t>formal-attempt-0001</t>
        </is>
      </c>
      <c r="P21"/>
      <c r="Q21"/>
      <c r="R21"/>
      <c r="S21" t="inlineStr">
        <is>
          <t>0</t>
        </is>
      </c>
      <c r="T21"/>
      <c r="U21"/>
      <c r="V21"/>
      <c r="W21"/>
      <c r="X21" t="inlineStr">
        <is>
          <t>附件未提供</t>
        </is>
      </c>
      <c r="Y21" t="inlineStr">
        <is>
          <t>JD-20260809-044</t>
        </is>
      </c>
      <c r="Z21" t="inlineStr">
        <is>
          <t>route=PRODUCT; experience_scope=ACTUAL_USE; evidence_grade=A; ai_confidence=0.7; explanation=核心对象：产品口味和饮用体验；体验：原文直接评价味道并描述吃饭、休闲和追剧时饮用，判为 ACTUAL_USE；证据强度：产品判断、饮用情境和具体特点均有，信息链完整，判为 A。</t>
        </is>
      </c>
      <c r="AA21"/>
      <c r="AB21"/>
      <c r="AC21"/>
      <c r="AD21" t="inlineStr">
        <is>
          <t>附件未提供</t>
        </is>
      </c>
      <c r="AE21" t="inlineStr">
        <is>
          <t>CHALLENGE_POOL_60.xlsx</t>
        </is>
      </c>
    </row>
    <row r="22" ht="25.5" customHeight="1">
      <c r="A22" t="inlineStr">
        <is>
          <t>CHL-016</t>
        </is>
      </c>
      <c r="B22"/>
      <c r="C22"/>
      <c r="D22"/>
      <c r="E22"/>
      <c r="F22"/>
      <c r="G22"/>
      <c r="H22"/>
      <c r="I22"/>
      <c r="J22"/>
      <c r="K22"/>
      <c r="L22"/>
      <c r="M22"/>
      <c r="N22"/>
      <c r="O22" t="inlineStr">
        <is>
          <t>formal-attempt-0001</t>
        </is>
      </c>
      <c r="P22"/>
      <c r="Q22"/>
      <c r="R22"/>
      <c r="S22" t="inlineStr">
        <is>
          <t>0</t>
        </is>
      </c>
      <c r="T22"/>
      <c r="U22"/>
      <c r="V22"/>
      <c r="W22"/>
      <c r="X22" t="inlineStr">
        <is>
          <t>附件未提供</t>
        </is>
      </c>
      <c r="Y22" t="inlineStr">
        <is>
          <t>JD-20260809-053</t>
        </is>
      </c>
      <c r="Z22" t="inlineStr">
        <is>
          <t>route=PRODUCT; experience_scope=ACTUAL_USE; evidence_grade=A; ai_confidence=0.9; explanation=核心对象：产品外观、口味、配餐和包装体验；体验：原文明确描述开瓶、饮用、配餐和送人感受，判为 ACTUAL_USE；证据强度：评价对象、具体体验依据和明确判断均有，信息链完整，判为 A。</t>
        </is>
      </c>
      <c r="AA22"/>
      <c r="AB22"/>
      <c r="AC22"/>
      <c r="AD22" t="inlineStr">
        <is>
          <t>附件未提供</t>
        </is>
      </c>
      <c r="AE22" t="inlineStr">
        <is>
          <t>CHALLENGE_POOL_60.xlsx</t>
        </is>
      </c>
    </row>
    <row r="23" ht="25.5" customHeight="1">
      <c r="A23" t="inlineStr">
        <is>
          <t>CHL-017</t>
        </is>
      </c>
      <c r="B23"/>
      <c r="C23"/>
      <c r="D23"/>
      <c r="E23"/>
      <c r="F23"/>
      <c r="G23"/>
      <c r="H23"/>
      <c r="I23"/>
      <c r="J23"/>
      <c r="K23"/>
      <c r="L23"/>
      <c r="M23"/>
      <c r="N23"/>
      <c r="O23" t="inlineStr">
        <is>
          <t>formal-attempt-0001</t>
        </is>
      </c>
      <c r="P23"/>
      <c r="Q23"/>
      <c r="R23"/>
      <c r="S23" t="inlineStr">
        <is>
          <t>0</t>
        </is>
      </c>
      <c r="T23"/>
      <c r="U23"/>
      <c r="V23"/>
      <c r="W23"/>
      <c r="X23" t="inlineStr">
        <is>
          <t>附件未提供</t>
        </is>
      </c>
      <c r="Y23" t="inlineStr">
        <is>
          <t>JD-20260809-060</t>
        </is>
      </c>
      <c r="Z23" t="inlineStr">
        <is>
          <t>route=PRODUCT; experience_scope=ACTUAL_USE; evidence_grade=A; ai_confidence=0.9; explanation=核心对象：产品口味、酒精度、规格和包装体验；体验：原文直接评价口味并描述加冰饮用、聚会和自饮方式，判为 ACTUAL_USE；证据强度：产品特征、饮用方式和明确判断均有，信息链完整，判为 A。</t>
        </is>
      </c>
      <c r="AA23"/>
      <c r="AB23"/>
      <c r="AC23"/>
      <c r="AD23" t="inlineStr">
        <is>
          <t>附件未提供</t>
        </is>
      </c>
      <c r="AE23" t="inlineStr">
        <is>
          <t>CHALLENGE_POOL_60.xlsx</t>
        </is>
      </c>
    </row>
    <row r="24" ht="25.5" customHeight="1">
      <c r="A24" t="inlineStr">
        <is>
          <t>CHL-018</t>
        </is>
      </c>
      <c r="B24"/>
      <c r="C24"/>
      <c r="D24"/>
      <c r="E24"/>
      <c r="F24"/>
      <c r="G24"/>
      <c r="H24"/>
      <c r="I24"/>
      <c r="J24"/>
      <c r="K24"/>
      <c r="L24"/>
      <c r="M24"/>
      <c r="N24"/>
      <c r="O24" t="inlineStr">
        <is>
          <t>formal-attempt-0001</t>
        </is>
      </c>
      <c r="P24"/>
      <c r="Q24"/>
      <c r="R24"/>
      <c r="S24" t="inlineStr">
        <is>
          <t>0</t>
        </is>
      </c>
      <c r="T24"/>
      <c r="U24"/>
      <c r="V24"/>
      <c r="W24"/>
      <c r="X24" t="inlineStr">
        <is>
          <t>附件未提供</t>
        </is>
      </c>
      <c r="Y24" t="inlineStr">
        <is>
          <t>MJ-RAW-0008</t>
        </is>
      </c>
      <c r="Z24" t="inlineStr">
        <is>
          <t>route=COMPETITOR; experience_scope=ACTUAL_USE; evidence_grade=A; ai_confidence=0.9; explanation=核心对象：不同青梅酒之间的比较与替代选择；体验：原文明确表达已购买并作口味、配料比较，判为 ACTUAL_USE；证据强度：比较对象、比较依据和明确结论均有，信息链完整，判为 A。</t>
        </is>
      </c>
      <c r="AA24"/>
      <c r="AB24"/>
      <c r="AC24"/>
      <c r="AD24" t="inlineStr">
        <is>
          <t>附件未提供</t>
        </is>
      </c>
      <c r="AE24" t="inlineStr">
        <is>
          <t>CHALLENGE_POOL_60.xlsx</t>
        </is>
      </c>
    </row>
    <row r="25" ht="25.5" customHeight="1">
      <c r="A25" t="inlineStr">
        <is>
          <t>CHL-019</t>
        </is>
      </c>
      <c r="B25"/>
      <c r="C25"/>
      <c r="D25"/>
      <c r="E25"/>
      <c r="F25"/>
      <c r="G25"/>
      <c r="H25"/>
      <c r="I25"/>
      <c r="J25"/>
      <c r="K25"/>
      <c r="L25"/>
      <c r="M25"/>
      <c r="N25"/>
      <c r="O25" t="inlineStr">
        <is>
          <t>formal-attempt-0001</t>
        </is>
      </c>
      <c r="P25"/>
      <c r="Q25"/>
      <c r="R25"/>
      <c r="S25" t="inlineStr">
        <is>
          <t>0</t>
        </is>
      </c>
      <c r="T25"/>
      <c r="U25"/>
      <c r="V25"/>
      <c r="W25"/>
      <c r="X25" t="inlineStr">
        <is>
          <t>附件未提供</t>
        </is>
      </c>
      <c r="Y25" t="inlineStr">
        <is>
          <t>MJ-RAW-0022</t>
        </is>
      </c>
      <c r="Z25" t="inlineStr">
        <is>
          <t>route=PRODUCT; experience_scope=ACTUAL_USE; evidence_grade=A; ai_confidence=0.9; explanation=核心对象：产品外观、口味、调饮和饮后体验；体验：原文明确冰镇、入口、加冰饮用并描述饮后感受，判为 ACTUAL_USE；证据强度：饮用过程、具体体验依据和明确判断均有，信息链完整，判为 A。</t>
        </is>
      </c>
      <c r="AA25"/>
      <c r="AB25"/>
      <c r="AC25"/>
      <c r="AD25" t="inlineStr">
        <is>
          <t>附件未提供</t>
        </is>
      </c>
      <c r="AE25" t="inlineStr">
        <is>
          <t>CHALLENGE_POOL_60.xlsx</t>
        </is>
      </c>
    </row>
    <row r="26" ht="25.5" customHeight="1">
      <c r="A26" t="inlineStr">
        <is>
          <t>CHL-020</t>
        </is>
      </c>
      <c r="B26"/>
      <c r="C26"/>
      <c r="D26"/>
      <c r="E26"/>
      <c r="F26"/>
      <c r="G26"/>
      <c r="H26"/>
      <c r="I26"/>
      <c r="J26"/>
      <c r="K26"/>
      <c r="L26"/>
      <c r="M26"/>
      <c r="N26"/>
      <c r="O26" t="inlineStr">
        <is>
          <t>formal-attempt-0001</t>
        </is>
      </c>
      <c r="P26"/>
      <c r="Q26"/>
      <c r="R26"/>
      <c r="S26" t="inlineStr">
        <is>
          <t>0</t>
        </is>
      </c>
      <c r="T26"/>
      <c r="U26"/>
      <c r="V26"/>
      <c r="W26"/>
      <c r="X26" t="inlineStr">
        <is>
          <t>附件未提供</t>
        </is>
      </c>
      <c r="Y26" t="inlineStr">
        <is>
          <t>MJ-RAW-0040</t>
        </is>
      </c>
      <c r="Z26" t="inlineStr">
        <is>
          <t>route=PRODUCT; experience_scope=ACTUAL_USE; evidence_grade=B; ai_confidence=0.9; explanation=核心对象：产品口味；体验：原文直接比较青梅味道并表达喜好，判为 ACTUAL_USE；证据强度：判断明确但具体比较依据不完整，判为 B。</t>
        </is>
      </c>
      <c r="AA26"/>
      <c r="AB26"/>
      <c r="AC26"/>
      <c r="AD26" t="inlineStr">
        <is>
          <t>附件未提供</t>
        </is>
      </c>
      <c r="AE26" t="inlineStr">
        <is>
          <t>CHALLENGE_POOL_60.xlsx</t>
        </is>
      </c>
    </row>
    <row r="27" ht="25.5" customHeight="1">
      <c r="A27" t="inlineStr">
        <is>
          <t>CHL-021</t>
        </is>
      </c>
      <c r="B27"/>
      <c r="C27"/>
      <c r="D27"/>
      <c r="E27"/>
      <c r="F27"/>
      <c r="G27"/>
      <c r="H27"/>
      <c r="I27"/>
      <c r="J27"/>
      <c r="K27"/>
      <c r="L27"/>
      <c r="M27"/>
      <c r="N27"/>
      <c r="O27" t="inlineStr">
        <is>
          <t>formal-attempt-0001</t>
        </is>
      </c>
      <c r="P27"/>
      <c r="Q27"/>
      <c r="R27"/>
      <c r="S27" t="inlineStr">
        <is>
          <t>0</t>
        </is>
      </c>
      <c r="T27"/>
      <c r="U27"/>
      <c r="V27"/>
      <c r="W27"/>
      <c r="X27" t="inlineStr">
        <is>
          <t>附件未提供</t>
        </is>
      </c>
      <c r="Y27" t="inlineStr">
        <is>
          <t>MJ-RAW-0095</t>
        </is>
      </c>
      <c r="Z27" t="inlineStr">
        <is>
          <t>route=PRODUCT; experience_scope=ACTUAL_USE; evidence_grade=A; ai_confidence=0.9; explanation=核心对象：产品口感；体验：直接评价不好喝并描述味道怪异；证据强度：有具体口感依据和明确判断，信息链完整。</t>
        </is>
      </c>
      <c r="AA27"/>
      <c r="AB27"/>
      <c r="AC27"/>
      <c r="AD27" t="inlineStr">
        <is>
          <t>附件未提供</t>
        </is>
      </c>
      <c r="AE27" t="inlineStr">
        <is>
          <t>CHALLENGE_POOL_60.xlsx</t>
        </is>
      </c>
    </row>
    <row r="28" ht="25.5" customHeight="1">
      <c r="A28" t="inlineStr">
        <is>
          <t>CHL-022</t>
        </is>
      </c>
      <c r="B28"/>
      <c r="C28"/>
      <c r="D28"/>
      <c r="E28"/>
      <c r="F28"/>
      <c r="G28"/>
      <c r="H28"/>
      <c r="I28"/>
      <c r="J28"/>
      <c r="K28"/>
      <c r="L28"/>
      <c r="M28"/>
      <c r="N28"/>
      <c r="O28" t="inlineStr">
        <is>
          <t>formal-attempt-0001</t>
        </is>
      </c>
      <c r="P28"/>
      <c r="Q28"/>
      <c r="R28"/>
      <c r="S28" t="inlineStr">
        <is>
          <t>0</t>
        </is>
      </c>
      <c r="T28"/>
      <c r="U28"/>
      <c r="V28"/>
      <c r="W28"/>
      <c r="X28" t="inlineStr">
        <is>
          <t>附件未提供</t>
        </is>
      </c>
      <c r="Y28" t="inlineStr">
        <is>
          <t>MJ-RAW-0099</t>
        </is>
      </c>
      <c r="Z28" t="inlineStr">
        <is>
          <t>route=PRODUCT; experience_scope=ACTUAL_USE; evidence_grade=A; ai_confidence=0.9; explanation=核心对象：产品口味与饮用搭配；体验：直接评价糖浆味较重并建议配冰或苏打水；证据强度：包含具体产品描述、口感和明确建议，信息链完整。</t>
        </is>
      </c>
      <c r="AA28"/>
      <c r="AB28"/>
      <c r="AC28"/>
      <c r="AD28" t="inlineStr">
        <is>
          <t>附件未提供</t>
        </is>
      </c>
      <c r="AE28" t="inlineStr">
        <is>
          <t>CHALLENGE_POOL_60.xlsx</t>
        </is>
      </c>
    </row>
    <row r="29" ht="25.5" customHeight="1">
      <c r="A29" t="inlineStr">
        <is>
          <t>CHL-023</t>
        </is>
      </c>
      <c r="B29"/>
      <c r="C29"/>
      <c r="D29"/>
      <c r="E29"/>
      <c r="F29"/>
      <c r="G29"/>
      <c r="H29"/>
      <c r="I29"/>
      <c r="J29"/>
      <c r="K29"/>
      <c r="L29"/>
      <c r="M29"/>
      <c r="N29"/>
      <c r="O29" t="inlineStr">
        <is>
          <t>formal-attempt-0001</t>
        </is>
      </c>
      <c r="P29"/>
      <c r="Q29"/>
      <c r="R29"/>
      <c r="S29" t="inlineStr">
        <is>
          <t>0</t>
        </is>
      </c>
      <c r="T29"/>
      <c r="U29"/>
      <c r="V29"/>
      <c r="W29"/>
      <c r="X29" t="inlineStr">
        <is>
          <t>附件未提供</t>
        </is>
      </c>
      <c r="Y29" t="inlineStr">
        <is>
          <t>MJ-RAW-0100</t>
        </is>
      </c>
      <c r="Z29" t="inlineStr">
        <is>
          <t>route=PRODUCT; experience_scope=ACTUAL_USE; evidence_grade=A; ai_confidence=0.9; explanation=核心对象：产品口味；体验：直接描述入口、主体和余味并表达惊喜；证据强度：有完整的分段口感依据和明确评价，信息链完整。</t>
        </is>
      </c>
      <c r="AA29"/>
      <c r="AB29"/>
      <c r="AC29"/>
      <c r="AD29" t="inlineStr">
        <is>
          <t>附件未提供</t>
        </is>
      </c>
      <c r="AE29" t="inlineStr">
        <is>
          <t>CHALLENGE_POOL_60.xlsx</t>
        </is>
      </c>
    </row>
    <row r="30" ht="25.5" customHeight="1">
      <c r="A30" t="inlineStr">
        <is>
          <t>CHL-024</t>
        </is>
      </c>
      <c r="B30"/>
      <c r="C30"/>
      <c r="D30"/>
      <c r="E30"/>
      <c r="F30"/>
      <c r="G30"/>
      <c r="H30"/>
      <c r="I30"/>
      <c r="J30"/>
      <c r="K30"/>
      <c r="L30"/>
      <c r="M30"/>
      <c r="N30"/>
      <c r="O30" t="inlineStr">
        <is>
          <t>formal-attempt-0001</t>
        </is>
      </c>
      <c r="P30"/>
      <c r="Q30"/>
      <c r="R30"/>
      <c r="S30" t="inlineStr">
        <is>
          <t>0</t>
        </is>
      </c>
      <c r="T30"/>
      <c r="U30"/>
      <c r="V30"/>
      <c r="W30"/>
      <c r="X30" t="inlineStr">
        <is>
          <t>附件未提供</t>
        </is>
      </c>
      <c r="Y30" t="inlineStr">
        <is>
          <t>MJ-RAW-0103</t>
        </is>
      </c>
      <c r="Z30" t="inlineStr">
        <is>
          <t>route=PRODUCT; experience_scope=ACTUAL_USE; evidence_grade=B; ai_confidence=0.7; explanation=核心对象：产品口味；体验：直接描述烂橘子味、酒味和后段发苦，并表达不好喝或不再饮用；证据强度：有具体口感和判断，但复合评论缺少统一明确的产品指向，信息链不完整。</t>
        </is>
      </c>
      <c r="AA30"/>
      <c r="AB30"/>
      <c r="AC30"/>
      <c r="AD30" t="inlineStr">
        <is>
          <t>附件未提供</t>
        </is>
      </c>
      <c r="AE30" t="inlineStr">
        <is>
          <t>CHALLENGE_POOL_60.xlsx</t>
        </is>
      </c>
    </row>
    <row r="31" ht="25.5" customHeight="1">
      <c r="A31" t="inlineStr">
        <is>
          <t>CHL-025</t>
        </is>
      </c>
      <c r="B31"/>
      <c r="C31"/>
      <c r="D31"/>
      <c r="E31"/>
      <c r="F31"/>
      <c r="G31"/>
      <c r="H31"/>
      <c r="I31"/>
      <c r="J31"/>
      <c r="K31"/>
      <c r="L31"/>
      <c r="M31"/>
      <c r="N31"/>
      <c r="O31" t="inlineStr">
        <is>
          <t>formal-attempt-0001</t>
        </is>
      </c>
      <c r="P31"/>
      <c r="Q31"/>
      <c r="R31"/>
      <c r="S31" t="inlineStr">
        <is>
          <t>0</t>
        </is>
      </c>
      <c r="T31"/>
      <c r="U31"/>
      <c r="V31"/>
      <c r="W31"/>
      <c r="X31" t="inlineStr">
        <is>
          <t>附件未提供</t>
        </is>
      </c>
      <c r="Y31" t="inlineStr">
        <is>
          <t>MJ-RAW-0221</t>
        </is>
      </c>
      <c r="Z31" t="inlineStr">
        <is>
          <t>route=PRODUCT; experience_scope=ACTUAL_USE; evidence_grade=C; ai_confidence=0.9; explanation=核心对象：产品酒精感与口感；体验：直接评价没有酒味且像水果汽水；证据强度：判断明确但细节单一，信息量较低。</t>
        </is>
      </c>
      <c r="AA31"/>
      <c r="AB31"/>
      <c r="AC31"/>
      <c r="AD31" t="inlineStr">
        <is>
          <t>附件未提供</t>
        </is>
      </c>
      <c r="AE31" t="inlineStr">
        <is>
          <t>CHALLENGE_POOL_60.xlsx</t>
        </is>
      </c>
    </row>
    <row r="32" ht="25.5" customHeight="1">
      <c r="A32" t="inlineStr">
        <is>
          <t>CHL-026</t>
        </is>
      </c>
      <c r="B32"/>
      <c r="C32"/>
      <c r="D32"/>
      <c r="E32"/>
      <c r="F32"/>
      <c r="G32"/>
      <c r="H32"/>
      <c r="I32"/>
      <c r="J32"/>
      <c r="K32"/>
      <c r="L32"/>
      <c r="M32"/>
      <c r="N32"/>
      <c r="O32" t="inlineStr">
        <is>
          <t>formal-attempt-0001</t>
        </is>
      </c>
      <c r="P32"/>
      <c r="Q32"/>
      <c r="R32"/>
      <c r="S32" t="inlineStr">
        <is>
          <t>0</t>
        </is>
      </c>
      <c r="T32"/>
      <c r="U32"/>
      <c r="V32"/>
      <c r="W32"/>
      <c r="X32" t="inlineStr">
        <is>
          <t>附件未提供</t>
        </is>
      </c>
      <c r="Y32" t="inlineStr">
        <is>
          <t>MJ-RAW-0319</t>
        </is>
      </c>
      <c r="Z32" t="inlineStr">
        <is>
          <t>route=SCENE; experience_scope=UNKNOWN; evidence_grade=C; ai_confidence=0.9; explanation=核心对象：饮用量与饮用行为；体验：泛指每杯超量及一般人喝一两杯后的情况，未表明自身体验；证据强度：仅有笼统判断和数量描述，信息量较低。</t>
        </is>
      </c>
      <c r="AA32"/>
      <c r="AB32"/>
      <c r="AC32"/>
      <c r="AD32" t="inlineStr">
        <is>
          <t>附件未提供</t>
        </is>
      </c>
      <c r="AE32" t="inlineStr">
        <is>
          <t>CHALLENGE_POOL_60.xlsx</t>
        </is>
      </c>
    </row>
    <row r="33" ht="25.5" customHeight="1">
      <c r="A33" t="inlineStr">
        <is>
          <t>CHL-027</t>
        </is>
      </c>
      <c r="B33"/>
      <c r="C33"/>
      <c r="D33"/>
      <c r="E33"/>
      <c r="F33"/>
      <c r="G33"/>
      <c r="H33"/>
      <c r="I33"/>
      <c r="J33"/>
      <c r="K33"/>
      <c r="L33"/>
      <c r="M33"/>
      <c r="N33"/>
      <c r="O33" t="inlineStr">
        <is>
          <t>formal-attempt-0001</t>
        </is>
      </c>
      <c r="P33"/>
      <c r="Q33"/>
      <c r="R33"/>
      <c r="S33" t="inlineStr">
        <is>
          <t>0</t>
        </is>
      </c>
      <c r="T33"/>
      <c r="U33"/>
      <c r="V33"/>
      <c r="W33"/>
      <c r="X33" t="inlineStr">
        <is>
          <t>附件未提供</t>
        </is>
      </c>
      <c r="Y33" t="inlineStr">
        <is>
          <t>MJ-RAW-0320</t>
        </is>
      </c>
      <c r="Z33" t="inlineStr">
        <is>
          <t>route=SCENE; experience_scope=ACTUAL_USE; evidence_grade=A; ai_confidence=0.9; explanation=核心对象：饮酒休闲场景；体验：直接描述配下酒菜看电视剧带来的舒服和解压感；证据强度：有具体场景和明确感受，信息链完整。</t>
        </is>
      </c>
      <c r="AA33"/>
      <c r="AB33"/>
      <c r="AC33"/>
      <c r="AD33" t="inlineStr">
        <is>
          <t>附件未提供</t>
        </is>
      </c>
      <c r="AE33" t="inlineStr">
        <is>
          <t>CHALLENGE_POOL_60.xlsx</t>
        </is>
      </c>
    </row>
    <row r="34" ht="25.5" customHeight="1">
      <c r="A34" t="inlineStr">
        <is>
          <t>CHL-028</t>
        </is>
      </c>
      <c r="B34"/>
      <c r="C34"/>
      <c r="D34"/>
      <c r="E34"/>
      <c r="F34"/>
      <c r="G34"/>
      <c r="H34"/>
      <c r="I34"/>
      <c r="J34"/>
      <c r="K34"/>
      <c r="L34"/>
      <c r="M34"/>
      <c r="N34"/>
      <c r="O34" t="inlineStr">
        <is>
          <t>formal-attempt-0001</t>
        </is>
      </c>
      <c r="P34"/>
      <c r="Q34"/>
      <c r="R34"/>
      <c r="S34" t="inlineStr">
        <is>
          <t>0</t>
        </is>
      </c>
      <c r="T34"/>
      <c r="U34"/>
      <c r="V34"/>
      <c r="W34"/>
      <c r="X34" t="inlineStr">
        <is>
          <t>附件未提供</t>
        </is>
      </c>
      <c r="Y34" t="inlineStr">
        <is>
          <t>TB-20260809-007</t>
        </is>
      </c>
      <c r="Z34" t="inlineStr">
        <is>
          <t>route=SERVICE; experience_scope=ACTUAL_USE; evidence_grade=A; ai_confidence=0.7; explanation=核心对象：配送与购买服务；体验：原文评价包装完好无损且物流很快，并提到试用国产版；证据强度：有具体履约细节和明确评价，信息链完整。</t>
        </is>
      </c>
      <c r="AA34"/>
      <c r="AB34"/>
      <c r="AC34"/>
      <c r="AD34" t="inlineStr">
        <is>
          <t>附件未提供</t>
        </is>
      </c>
      <c r="AE34" t="inlineStr">
        <is>
          <t>CHALLENGE_POOL_60.xlsx</t>
        </is>
      </c>
    </row>
    <row r="35" ht="25.5" customHeight="1">
      <c r="A35" t="inlineStr">
        <is>
          <t>CHL-029</t>
        </is>
      </c>
      <c r="B35"/>
      <c r="C35"/>
      <c r="D35"/>
      <c r="E35"/>
      <c r="F35"/>
      <c r="G35"/>
      <c r="H35"/>
      <c r="I35"/>
      <c r="J35"/>
      <c r="K35"/>
      <c r="L35"/>
      <c r="M35"/>
      <c r="N35"/>
      <c r="O35" t="inlineStr">
        <is>
          <t>formal-attempt-0001</t>
        </is>
      </c>
      <c r="P35"/>
      <c r="Q35"/>
      <c r="R35"/>
      <c r="S35" t="inlineStr">
        <is>
          <t>0</t>
        </is>
      </c>
      <c r="T35"/>
      <c r="U35"/>
      <c r="V35"/>
      <c r="W35"/>
      <c r="X35" t="inlineStr">
        <is>
          <t>附件未提供</t>
        </is>
      </c>
      <c r="Y35" t="inlineStr">
        <is>
          <t>TB-20260809-008</t>
        </is>
      </c>
      <c r="Z35" t="inlineStr">
        <is>
          <t>route=PRODUCT; experience_scope=ACTUAL_USE; evidence_grade=A; ai_confidence=0.9; explanation=核心对象：产品口味与饮用方式；体验：直接评价酒精感和酸甜度，说明加冰饮用并表示好喝；证据强度：有具体口感、饮用方式和明确判断，信息链完整。</t>
        </is>
      </c>
      <c r="AA35"/>
      <c r="AB35"/>
      <c r="AC35"/>
      <c r="AD35" t="inlineStr">
        <is>
          <t>附件未提供</t>
        </is>
      </c>
      <c r="AE35" t="inlineStr">
        <is>
          <t>CHALLENGE_POOL_60.xlsx</t>
        </is>
      </c>
    </row>
    <row r="36" ht="25.5" customHeight="1">
      <c r="A36" t="inlineStr">
        <is>
          <t>CHL-030</t>
        </is>
      </c>
      <c r="B36"/>
      <c r="C36"/>
      <c r="D36"/>
      <c r="E36"/>
      <c r="F36"/>
      <c r="G36"/>
      <c r="H36"/>
      <c r="I36"/>
      <c r="J36"/>
      <c r="K36"/>
      <c r="L36"/>
      <c r="M36"/>
      <c r="N36"/>
      <c r="O36" t="inlineStr">
        <is>
          <t>formal-attempt-0001</t>
        </is>
      </c>
      <c r="P36"/>
      <c r="Q36"/>
      <c r="R36"/>
      <c r="S36" t="inlineStr">
        <is>
          <t>0</t>
        </is>
      </c>
      <c r="T36"/>
      <c r="U36"/>
      <c r="V36"/>
      <c r="W36"/>
      <c r="X36" t="inlineStr">
        <is>
          <t>附件未提供</t>
        </is>
      </c>
      <c r="Y36" t="inlineStr">
        <is>
          <t>TB-20260809-015</t>
        </is>
      </c>
      <c r="Z36" t="inlineStr">
        <is>
          <t>route=PRODUCT; experience_scope=ACTUAL_USE; evidence_grade=A; ai_confidence=0.9; explanation=核心对象：产品口味与饮用体验；体验：直接描述酸甜、气泡、顺滑及饮后微醺放松感，并表示回购；证据强度：包含多项具体口感和明确结论，信息链完整。</t>
        </is>
      </c>
      <c r="AA36"/>
      <c r="AB36"/>
      <c r="AC36"/>
      <c r="AD36" t="inlineStr">
        <is>
          <t>附件未提供</t>
        </is>
      </c>
      <c r="AE36" t="inlineStr">
        <is>
          <t>CHALLENGE_POOL_60.xlsx</t>
        </is>
      </c>
    </row>
    <row r="37" ht="25.5" customHeight="1">
      <c r="A37" t="inlineStr">
        <is>
          <t>CHL-031</t>
        </is>
      </c>
      <c r="B37"/>
      <c r="C37"/>
      <c r="D37"/>
      <c r="E37"/>
      <c r="F37"/>
      <c r="G37"/>
      <c r="H37"/>
      <c r="I37"/>
      <c r="J37"/>
      <c r="K37"/>
      <c r="L37"/>
      <c r="M37"/>
      <c r="N37"/>
      <c r="O37" t="inlineStr">
        <is>
          <t>formal-attempt-0001</t>
        </is>
      </c>
      <c r="P37"/>
      <c r="Q37"/>
      <c r="R37"/>
      <c r="S37" t="inlineStr">
        <is>
          <t>0</t>
        </is>
      </c>
      <c r="T37"/>
      <c r="U37"/>
      <c r="V37"/>
      <c r="W37"/>
      <c r="X37" t="inlineStr">
        <is>
          <t>附件未提供</t>
        </is>
      </c>
      <c r="Y37" t="inlineStr">
        <is>
          <t>TB-20260809-020</t>
        </is>
      </c>
      <c r="Z37" t="inlineStr">
        <is>
          <t>route=OTHER; experience_scope=UNKNOWN; evidence_grade=C; ai_confidence=0.9; explanation=核心对象：朋友聚会的饮用推荐；体验：原文只说适合朋友聚会，未明示实际饮用；证据强度：仅有笼统推荐，信息量较低。</t>
        </is>
      </c>
      <c r="AA37"/>
      <c r="AB37"/>
      <c r="AC37"/>
      <c r="AD37" t="inlineStr">
        <is>
          <t>附件未提供</t>
        </is>
      </c>
      <c r="AE37" t="inlineStr">
        <is>
          <t>CHALLENGE_POOL_60.xlsx</t>
        </is>
      </c>
    </row>
    <row r="38" ht="25.5" customHeight="1">
      <c r="A38" t="inlineStr">
        <is>
          <t>CHL-032</t>
        </is>
      </c>
      <c r="B38"/>
      <c r="C38"/>
      <c r="D38"/>
      <c r="E38"/>
      <c r="F38"/>
      <c r="G38"/>
      <c r="H38"/>
      <c r="I38"/>
      <c r="J38"/>
      <c r="K38"/>
      <c r="L38"/>
      <c r="M38"/>
      <c r="N38"/>
      <c r="O38" t="inlineStr">
        <is>
          <t>formal-attempt-0001</t>
        </is>
      </c>
      <c r="P38"/>
      <c r="Q38"/>
      <c r="R38"/>
      <c r="S38" t="inlineStr">
        <is>
          <t>0</t>
        </is>
      </c>
      <c r="T38"/>
      <c r="U38"/>
      <c r="V38"/>
      <c r="W38"/>
      <c r="X38" t="inlineStr">
        <is>
          <t>附件未提供</t>
        </is>
      </c>
      <c r="Y38" t="inlineStr">
        <is>
          <t>TB-20260809-029</t>
        </is>
      </c>
      <c r="Z38" t="inlineStr">
        <is>
          <t>route=PRODUCT; experience_scope=ACTUAL_USE; evidence_grade=C; ai_confidence=0.9; explanation=核心对象：产品口味；体验：直接评价味道清新并建议增加桂花风味；证据强度：判断明确但缺少具体饮用情境和更多依据，信息量有限。</t>
        </is>
      </c>
      <c r="AA38"/>
      <c r="AB38"/>
      <c r="AC38"/>
      <c r="AD38" t="inlineStr">
        <is>
          <t>附件未提供</t>
        </is>
      </c>
      <c r="AE38" t="inlineStr">
        <is>
          <t>CHALLENGE_POOL_60.xlsx</t>
        </is>
      </c>
    </row>
    <row r="39" ht="25.5" customHeight="1">
      <c r="A39" t="inlineStr">
        <is>
          <t>CHL-033</t>
        </is>
      </c>
      <c r="B39"/>
      <c r="C39"/>
      <c r="D39"/>
      <c r="E39"/>
      <c r="F39"/>
      <c r="G39"/>
      <c r="H39"/>
      <c r="I39"/>
      <c r="J39"/>
      <c r="K39"/>
      <c r="L39"/>
      <c r="M39"/>
      <c r="N39"/>
      <c r="O39" t="inlineStr">
        <is>
          <t>formal-attempt-0001</t>
        </is>
      </c>
      <c r="P39"/>
      <c r="Q39"/>
      <c r="R39"/>
      <c r="S39" t="inlineStr">
        <is>
          <t>0</t>
        </is>
      </c>
      <c r="T39"/>
      <c r="U39"/>
      <c r="V39"/>
      <c r="W39"/>
      <c r="X39" t="inlineStr">
        <is>
          <t>附件未提供</t>
        </is>
      </c>
      <c r="Y39" t="inlineStr">
        <is>
          <t>TB-20260809-030</t>
        </is>
      </c>
      <c r="Z39" t="inlineStr">
        <is>
          <t>route=PRODUCT; experience_scope=ACTUAL_USE; evidence_grade=A; ai_confidence=0.9; explanation=核心对象：产品口味与配料；体验：明确表示买成品尝过，并描述红酒、青梅和杏仁味及配料表感受；证据强度：有具体体验依据和明确评价，信息链完整。</t>
        </is>
      </c>
      <c r="AA39"/>
      <c r="AB39"/>
      <c r="AC39"/>
      <c r="AD39" t="inlineStr">
        <is>
          <t>附件未提供</t>
        </is>
      </c>
      <c r="AE39" t="inlineStr">
        <is>
          <t>CHALLENGE_POOL_60.xlsx</t>
        </is>
      </c>
    </row>
    <row r="40" ht="25.5" customHeight="1">
      <c r="A40" t="inlineStr">
        <is>
          <t>CHL-034</t>
        </is>
      </c>
      <c r="B40"/>
      <c r="C40"/>
      <c r="D40"/>
      <c r="E40"/>
      <c r="F40"/>
      <c r="G40"/>
      <c r="H40"/>
      <c r="I40"/>
      <c r="J40"/>
      <c r="K40"/>
      <c r="L40"/>
      <c r="M40"/>
      <c r="N40"/>
      <c r="O40" t="inlineStr">
        <is>
          <t>formal-attempt-0001</t>
        </is>
      </c>
      <c r="P40"/>
      <c r="Q40"/>
      <c r="R40"/>
      <c r="S40" t="inlineStr">
        <is>
          <t>0</t>
        </is>
      </c>
      <c r="T40"/>
      <c r="U40"/>
      <c r="V40"/>
      <c r="W40"/>
      <c r="X40" t="inlineStr">
        <is>
          <t>附件未提供</t>
        </is>
      </c>
      <c r="Y40" t="inlineStr">
        <is>
          <t>TB-20260809-032</t>
        </is>
      </c>
      <c r="Z40" t="inlineStr">
        <is>
          <t>route=PRODUCT; experience_scope=ACTUAL_USE; evidence_grade=A; ai_confidence=0.9; explanation=核心对象：产品口感；体验：明确描述清爽、顺滑、无怪味及冰镇后的感受，并表示推荐给朋友；证据强度：有多项具体口感依据和明确结论，信息链完整。</t>
        </is>
      </c>
      <c r="AA40"/>
      <c r="AB40"/>
      <c r="AC40"/>
      <c r="AD40" t="inlineStr">
        <is>
          <t>附件未提供</t>
        </is>
      </c>
      <c r="AE40" t="inlineStr">
        <is>
          <t>CHALLENGE_POOL_60.xlsx</t>
        </is>
      </c>
    </row>
    <row r="41" ht="25.5" customHeight="1">
      <c r="A41" t="inlineStr">
        <is>
          <t>CHL-035</t>
        </is>
      </c>
      <c r="B41"/>
      <c r="C41"/>
      <c r="D41"/>
      <c r="E41"/>
      <c r="F41"/>
      <c r="G41"/>
      <c r="H41"/>
      <c r="I41"/>
      <c r="J41"/>
      <c r="K41"/>
      <c r="L41"/>
      <c r="M41"/>
      <c r="N41"/>
      <c r="O41" t="inlineStr">
        <is>
          <t>formal-attempt-0001</t>
        </is>
      </c>
      <c r="P41"/>
      <c r="Q41"/>
      <c r="R41"/>
      <c r="S41" t="inlineStr">
        <is>
          <t>0</t>
        </is>
      </c>
      <c r="T41"/>
      <c r="U41"/>
      <c r="V41"/>
      <c r="W41"/>
      <c r="X41" t="inlineStr">
        <is>
          <t>附件未提供</t>
        </is>
      </c>
      <c r="Y41" t="inlineStr">
        <is>
          <t>TB-20260809-035</t>
        </is>
      </c>
      <c r="Z41" t="inlineStr">
        <is>
          <t>route=SERVICE; experience_scope=UNKNOWN; evidence_grade=B; ai_confidence=0.7; explanation=核心对象：购买渠道与价格；体验：原文评价包装好且比实体店划算，未明示实际饮用或购买；证据强度：有明确购买判断，但缺少价格和交易细节，信息链不完整。</t>
        </is>
      </c>
      <c r="AA41"/>
      <c r="AB41"/>
      <c r="AC41"/>
      <c r="AD41" t="inlineStr">
        <is>
          <t>附件未提供</t>
        </is>
      </c>
      <c r="AE41" t="inlineStr">
        <is>
          <t>CHALLENGE_POOL_60.xlsx</t>
        </is>
      </c>
    </row>
    <row r="42" ht="25.5" customHeight="1">
      <c r="A42" t="inlineStr">
        <is>
          <t>CHL-036</t>
        </is>
      </c>
      <c r="B42"/>
      <c r="C42"/>
      <c r="D42"/>
      <c r="E42"/>
      <c r="F42"/>
      <c r="G42"/>
      <c r="H42"/>
      <c r="I42"/>
      <c r="J42"/>
      <c r="K42"/>
      <c r="L42"/>
      <c r="M42"/>
      <c r="N42"/>
      <c r="O42" t="inlineStr">
        <is>
          <t>formal-attempt-0001</t>
        </is>
      </c>
      <c r="P42"/>
      <c r="Q42"/>
      <c r="R42"/>
      <c r="S42" t="inlineStr">
        <is>
          <t>0</t>
        </is>
      </c>
      <c r="T42"/>
      <c r="U42"/>
      <c r="V42"/>
      <c r="W42"/>
      <c r="X42" t="inlineStr">
        <is>
          <t>附件未提供</t>
        </is>
      </c>
      <c r="Y42" t="inlineStr">
        <is>
          <t>TB-20260809-037</t>
        </is>
      </c>
      <c r="Z42" t="inlineStr">
        <is>
          <t>route=SERVICE; experience_scope=ACTUAL_USE; evidence_grade=A; ai_confidence=0.7; explanation=核心对象：配送与购买服务；体验：原文评价包裹包装、无破损和赠品，并表示满意；证据强度：有具体履约细节和明确评价，信息链完整。</t>
        </is>
      </c>
      <c r="AA42"/>
      <c r="AB42"/>
      <c r="AC42"/>
      <c r="AD42" t="inlineStr">
        <is>
          <t>附件未提供</t>
        </is>
      </c>
      <c r="AE42" t="inlineStr">
        <is>
          <t>CHALLENGE_POOL_60.xlsx</t>
        </is>
      </c>
    </row>
    <row r="43" ht="25.5" customHeight="1">
      <c r="A43" t="inlineStr">
        <is>
          <t>CHL-037</t>
        </is>
      </c>
      <c r="B43"/>
      <c r="C43"/>
      <c r="D43"/>
      <c r="E43"/>
      <c r="F43"/>
      <c r="G43"/>
      <c r="H43"/>
      <c r="I43"/>
      <c r="J43"/>
      <c r="K43"/>
      <c r="L43"/>
      <c r="M43"/>
      <c r="N43"/>
      <c r="O43" t="inlineStr">
        <is>
          <t>formal-attempt-0001</t>
        </is>
      </c>
      <c r="P43"/>
      <c r="Q43"/>
      <c r="R43"/>
      <c r="S43" t="inlineStr">
        <is>
          <t>0</t>
        </is>
      </c>
      <c r="T43"/>
      <c r="U43"/>
      <c r="V43"/>
      <c r="W43"/>
      <c r="X43" t="inlineStr">
        <is>
          <t>附件未提供</t>
        </is>
      </c>
      <c r="Y43" t="inlineStr">
        <is>
          <t>TB-20260809-045</t>
        </is>
      </c>
      <c r="Z43" t="inlineStr">
        <is>
          <t>route=PRODUCT; experience_scope=ACTUAL_USE; evidence_grade=C; ai_confidence=0.9; explanation=核心对象：产品口味；体验：直接评价好喝并说明买过多种口味且都能接受；证据强度：判断明确但缺少具体口感依据，信息量较低。</t>
        </is>
      </c>
      <c r="AA43"/>
      <c r="AB43"/>
      <c r="AC43"/>
      <c r="AD43" t="inlineStr">
        <is>
          <t>附件未提供</t>
        </is>
      </c>
      <c r="AE43" t="inlineStr">
        <is>
          <t>CHALLENGE_POOL_60.xlsx</t>
        </is>
      </c>
    </row>
    <row r="44" ht="25.5" customHeight="1">
      <c r="A44" t="inlineStr">
        <is>
          <t>CHL-038</t>
        </is>
      </c>
      <c r="B44"/>
      <c r="C44"/>
      <c r="D44"/>
      <c r="E44"/>
      <c r="F44"/>
      <c r="G44"/>
      <c r="H44"/>
      <c r="I44"/>
      <c r="J44"/>
      <c r="K44"/>
      <c r="L44"/>
      <c r="M44"/>
      <c r="N44"/>
      <c r="O44" t="inlineStr">
        <is>
          <t>formal-attempt-0001</t>
        </is>
      </c>
      <c r="P44"/>
      <c r="Q44"/>
      <c r="R44"/>
      <c r="S44" t="inlineStr">
        <is>
          <t>0</t>
        </is>
      </c>
      <c r="T44"/>
      <c r="U44"/>
      <c r="V44"/>
      <c r="W44"/>
      <c r="X44" t="inlineStr">
        <is>
          <t>附件未提供</t>
        </is>
      </c>
      <c r="Y44" t="inlineStr">
        <is>
          <t>TB-20260809-047</t>
        </is>
      </c>
      <c r="Z44" t="inlineStr">
        <is>
          <t>route=SCENE; experience_scope=ACTUAL_USE; evidence_grade=A; ai_confidence=0.7; explanation=核心对象：与朋友小饮的社交场景；体验：原文描述和闺蜜小饮并评价味道和感受更好；证据强度：有同行者、饮用方式和明确评价，信息链完整。</t>
        </is>
      </c>
      <c r="AA44"/>
      <c r="AB44"/>
      <c r="AC44"/>
      <c r="AD44" t="inlineStr">
        <is>
          <t>附件未提供</t>
        </is>
      </c>
      <c r="AE44" t="inlineStr">
        <is>
          <t>CHALLENGE_POOL_60.xlsx</t>
        </is>
      </c>
    </row>
    <row r="45" ht="25.5" customHeight="1">
      <c r="A45" t="inlineStr">
        <is>
          <t>CHL-039</t>
        </is>
      </c>
      <c r="B45"/>
      <c r="C45"/>
      <c r="D45"/>
      <c r="E45"/>
      <c r="F45"/>
      <c r="G45"/>
      <c r="H45"/>
      <c r="I45"/>
      <c r="J45"/>
      <c r="K45"/>
      <c r="L45"/>
      <c r="M45"/>
      <c r="N45"/>
      <c r="O45" t="inlineStr">
        <is>
          <t>formal-attempt-0001</t>
        </is>
      </c>
      <c r="P45"/>
      <c r="Q45"/>
      <c r="R45"/>
      <c r="S45" t="inlineStr">
        <is>
          <t>0</t>
        </is>
      </c>
      <c r="T45"/>
      <c r="U45"/>
      <c r="V45"/>
      <c r="W45"/>
      <c r="X45" t="inlineStr">
        <is>
          <t>附件未提供</t>
        </is>
      </c>
      <c r="Y45" t="inlineStr">
        <is>
          <t>TB-20260809-051</t>
        </is>
      </c>
      <c r="Z45" t="inlineStr">
        <is>
          <t>route=PRODUCT; experience_scope=ACTUAL_USE; evidence_grade=B; ai_confidence=0.7; explanation=核心对象：产品口感与调饮结果；体验：原文称产品好并直接评价兑水溶C后好喝，同时提到物流快；证据强度：有调饮结果和判断，但对象及细节不完整，信息链不完整。</t>
        </is>
      </c>
      <c r="AA45"/>
      <c r="AB45"/>
      <c r="AC45"/>
      <c r="AD45" t="inlineStr">
        <is>
          <t>附件未提供</t>
        </is>
      </c>
      <c r="AE45" t="inlineStr">
        <is>
          <t>CHALLENGE_POOL_60.xlsx</t>
        </is>
      </c>
    </row>
    <row r="46" ht="25.5" customHeight="1">
      <c r="A46" t="inlineStr">
        <is>
          <t>CHL-040</t>
        </is>
      </c>
      <c r="B46"/>
      <c r="C46"/>
      <c r="D46"/>
      <c r="E46"/>
      <c r="F46"/>
      <c r="G46"/>
      <c r="H46"/>
      <c r="I46"/>
      <c r="J46"/>
      <c r="K46"/>
      <c r="L46"/>
      <c r="M46"/>
      <c r="N46"/>
      <c r="O46" t="inlineStr">
        <is>
          <t>formal-attempt-0001</t>
        </is>
      </c>
      <c r="P46"/>
      <c r="Q46"/>
      <c r="R46"/>
      <c r="S46" t="inlineStr">
        <is>
          <t>0</t>
        </is>
      </c>
      <c r="T46"/>
      <c r="U46"/>
      <c r="V46"/>
      <c r="W46"/>
      <c r="X46" t="inlineStr">
        <is>
          <t>附件未提供</t>
        </is>
      </c>
      <c r="Y46" t="inlineStr">
        <is>
          <t>XHS-SOC-0003</t>
        </is>
      </c>
      <c r="Z46" t="inlineStr">
        <is>
          <t>route=OTHER; experience_scope=UNKNOWN; evidence_grade=C; ai_confidence=0.9; explanation=核心对象：泛化的酒精健康与情绪观点；体验：原文主张心情不好与癌症相关并称喝酒可改善心情，未表明自身饮用；证据强度：属于笼统观点，缺少具体对象、情境和可核查依据。</t>
        </is>
      </c>
      <c r="AA46"/>
      <c r="AB46"/>
      <c r="AC46"/>
      <c r="AD46" t="inlineStr">
        <is>
          <t>附件未提供</t>
        </is>
      </c>
      <c r="AE46" t="inlineStr">
        <is>
          <t>CHALLENGE_POOL_60.xlsx</t>
        </is>
      </c>
    </row>
    <row r="47" ht="25.5" customHeight="1">
      <c r="A47" t="inlineStr">
        <is>
          <t>CHL-041</t>
        </is>
      </c>
      <c r="B47"/>
      <c r="C47"/>
      <c r="D47"/>
      <c r="E47"/>
      <c r="F47"/>
      <c r="G47"/>
      <c r="H47"/>
      <c r="I47"/>
      <c r="J47"/>
      <c r="K47"/>
      <c r="L47"/>
      <c r="M47"/>
      <c r="N47"/>
      <c r="O47" t="inlineStr">
        <is>
          <t>formal-attempt-0001</t>
        </is>
      </c>
      <c r="P47"/>
      <c r="Q47"/>
      <c r="R47"/>
      <c r="S47" t="inlineStr">
        <is>
          <t>0</t>
        </is>
      </c>
      <c r="T47"/>
      <c r="U47"/>
      <c r="V47"/>
      <c r="W47"/>
      <c r="X47" t="inlineStr">
        <is>
          <t>附件未提供</t>
        </is>
      </c>
      <c r="Y47" t="inlineStr">
        <is>
          <t>XHS-SOC-0015</t>
        </is>
      </c>
      <c r="Z47" t="inlineStr">
        <is>
          <t>route=SCENE; experience_scope=ACTUAL_USE; evidence_grade=A; ai_confidence=0.9; explanation=核心对象：饮后心理状态；体验：ACTUAL_USE；证据强度：A。</t>
        </is>
      </c>
      <c r="AA47"/>
      <c r="AB47"/>
      <c r="AC47"/>
      <c r="AD47" t="inlineStr">
        <is>
          <t>附件未提供</t>
        </is>
      </c>
      <c r="AE47" t="inlineStr">
        <is>
          <t>CHALLENGE_POOL_60.xlsx</t>
        </is>
      </c>
    </row>
    <row r="48" ht="25.5" customHeight="1">
      <c r="A48" t="inlineStr">
        <is>
          <t>CHL-042</t>
        </is>
      </c>
      <c r="B48"/>
      <c r="C48"/>
      <c r="D48"/>
      <c r="E48"/>
      <c r="F48"/>
      <c r="G48"/>
      <c r="H48"/>
      <c r="I48"/>
      <c r="J48"/>
      <c r="K48"/>
      <c r="L48"/>
      <c r="M48"/>
      <c r="N48"/>
      <c r="O48" t="inlineStr">
        <is>
          <t>formal-attempt-0001</t>
        </is>
      </c>
      <c r="P48"/>
      <c r="Q48"/>
      <c r="R48"/>
      <c r="S48" t="inlineStr">
        <is>
          <t>0</t>
        </is>
      </c>
      <c r="T48"/>
      <c r="U48"/>
      <c r="V48"/>
      <c r="W48"/>
      <c r="X48" t="inlineStr">
        <is>
          <t>附件未提供</t>
        </is>
      </c>
      <c r="Y48" t="inlineStr">
        <is>
          <t>XHS-SOC-0023</t>
        </is>
      </c>
      <c r="Z48" t="inlineStr">
        <is>
          <t>route=OTHER; experience_scope=UNKNOWN; evidence_grade=C; ai_confidence=0.9; explanation=核心对象：泛化酒精健康与社会地位讨论；体验：UNKNOWN；证据强度：C。</t>
        </is>
      </c>
      <c r="AA48"/>
      <c r="AB48"/>
      <c r="AC48"/>
      <c r="AD48" t="inlineStr">
        <is>
          <t>附件未提供</t>
        </is>
      </c>
      <c r="AE48" t="inlineStr">
        <is>
          <t>CHALLENGE_POOL_60.xlsx</t>
        </is>
      </c>
    </row>
    <row r="49" ht="25.5" customHeight="1">
      <c r="A49" t="inlineStr">
        <is>
          <t>CHL-043</t>
        </is>
      </c>
      <c r="B49"/>
      <c r="C49"/>
      <c r="D49"/>
      <c r="E49"/>
      <c r="F49"/>
      <c r="G49"/>
      <c r="H49"/>
      <c r="I49"/>
      <c r="J49"/>
      <c r="K49"/>
      <c r="L49"/>
      <c r="M49"/>
      <c r="N49"/>
      <c r="O49" t="inlineStr">
        <is>
          <t>formal-attempt-0001</t>
        </is>
      </c>
      <c r="P49"/>
      <c r="Q49"/>
      <c r="R49"/>
      <c r="S49" t="inlineStr">
        <is>
          <t>0</t>
        </is>
      </c>
      <c r="T49"/>
      <c r="U49"/>
      <c r="V49"/>
      <c r="W49"/>
      <c r="X49" t="inlineStr">
        <is>
          <t>附件未提供</t>
        </is>
      </c>
      <c r="Y49" t="inlineStr">
        <is>
          <t>XHS-SOC-0024</t>
        </is>
      </c>
      <c r="Z49" t="inlineStr">
        <is>
          <t>route=PRODUCT; experience_scope=ACTUAL_USE; evidence_grade=A; ai_confidence=0.9; explanation=核心对象：产品酒味；体验：ACTUAL_USE；证据强度：A。</t>
        </is>
      </c>
      <c r="AA49"/>
      <c r="AB49"/>
      <c r="AC49"/>
      <c r="AD49" t="inlineStr">
        <is>
          <t>附件未提供</t>
        </is>
      </c>
      <c r="AE49" t="inlineStr">
        <is>
          <t>CHALLENGE_POOL_60.xlsx</t>
        </is>
      </c>
    </row>
    <row r="50" ht="25.5" customHeight="1">
      <c r="A50" t="inlineStr">
        <is>
          <t>CHL-044</t>
        </is>
      </c>
      <c r="B50"/>
      <c r="C50"/>
      <c r="D50"/>
      <c r="E50"/>
      <c r="F50"/>
      <c r="G50"/>
      <c r="H50"/>
      <c r="I50"/>
      <c r="J50"/>
      <c r="K50"/>
      <c r="L50"/>
      <c r="M50"/>
      <c r="N50"/>
      <c r="O50" t="inlineStr">
        <is>
          <t>formal-attempt-0001</t>
        </is>
      </c>
      <c r="P50"/>
      <c r="Q50"/>
      <c r="R50"/>
      <c r="S50" t="inlineStr">
        <is>
          <t>0</t>
        </is>
      </c>
      <c r="T50"/>
      <c r="U50"/>
      <c r="V50"/>
      <c r="W50"/>
      <c r="X50" t="inlineStr">
        <is>
          <t>附件未提供</t>
        </is>
      </c>
      <c r="Y50" t="inlineStr">
        <is>
          <t>XHS-SOC-0026</t>
        </is>
      </c>
      <c r="Z50" t="inlineStr">
        <is>
          <t>route=PRODUCT; experience_scope=ACTUAL_USE; evidence_grade=C; ai_confidence=0.9; explanation=核心对象：产品口感；体验：ACTUAL_USE；证据强度：C。</t>
        </is>
      </c>
      <c r="AA50"/>
      <c r="AB50"/>
      <c r="AC50"/>
      <c r="AD50" t="inlineStr">
        <is>
          <t>附件未提供</t>
        </is>
      </c>
      <c r="AE50" t="inlineStr">
        <is>
          <t>CHALLENGE_POOL_60.xlsx</t>
        </is>
      </c>
    </row>
    <row r="51" ht="25.5" customHeight="1">
      <c r="A51" t="inlineStr">
        <is>
          <t>CHL-045</t>
        </is>
      </c>
      <c r="B51"/>
      <c r="C51"/>
      <c r="D51"/>
      <c r="E51"/>
      <c r="F51"/>
      <c r="G51"/>
      <c r="H51"/>
      <c r="I51"/>
      <c r="J51"/>
      <c r="K51"/>
      <c r="L51"/>
      <c r="M51"/>
      <c r="N51"/>
      <c r="O51" t="inlineStr">
        <is>
          <t>formal-attempt-0001</t>
        </is>
      </c>
      <c r="P51"/>
      <c r="Q51"/>
      <c r="R51"/>
      <c r="S51" t="inlineStr">
        <is>
          <t>0</t>
        </is>
      </c>
      <c r="T51"/>
      <c r="U51"/>
      <c r="V51"/>
      <c r="W51"/>
      <c r="X51" t="inlineStr">
        <is>
          <t>附件未提供</t>
        </is>
      </c>
      <c r="Y51" t="inlineStr">
        <is>
          <t>XHS-SOC-0027</t>
        </is>
      </c>
      <c r="Z51" t="inlineStr">
        <is>
          <t>route=PRODUCT; experience_scope=ACTUAL_USE; evidence_grade=A; ai_confidence=0.9; explanation=核心对象：调饮结果；体验：ACTUAL_USE；证据强度：A。</t>
        </is>
      </c>
      <c r="AA51"/>
      <c r="AB51"/>
      <c r="AC51"/>
      <c r="AD51" t="inlineStr">
        <is>
          <t>附件未提供</t>
        </is>
      </c>
      <c r="AE51" t="inlineStr">
        <is>
          <t>CHALLENGE_POOL_60.xlsx</t>
        </is>
      </c>
    </row>
    <row r="52" ht="25.5" customHeight="1">
      <c r="A52" t="inlineStr">
        <is>
          <t>CHL-046</t>
        </is>
      </c>
      <c r="B52"/>
      <c r="C52"/>
      <c r="D52"/>
      <c r="E52"/>
      <c r="F52"/>
      <c r="G52"/>
      <c r="H52"/>
      <c r="I52"/>
      <c r="J52"/>
      <c r="K52"/>
      <c r="L52"/>
      <c r="M52"/>
      <c r="N52"/>
      <c r="O52" t="inlineStr">
        <is>
          <t>formal-attempt-0001</t>
        </is>
      </c>
      <c r="P52"/>
      <c r="Q52"/>
      <c r="R52"/>
      <c r="S52" t="inlineStr">
        <is>
          <t>0</t>
        </is>
      </c>
      <c r="T52"/>
      <c r="U52"/>
      <c r="V52"/>
      <c r="W52"/>
      <c r="X52" t="inlineStr">
        <is>
          <t>附件未提供</t>
        </is>
      </c>
      <c r="Y52" t="inlineStr">
        <is>
          <t>XHS-SOC-0028</t>
        </is>
      </c>
      <c r="Z52" t="inlineStr">
        <is>
          <t>route=PRODUCT; experience_scope=ACTUAL_USE; evidence_grade=A; ai_confidence=0.9; explanation=核心对象：梅见的酒味体验；体验：ACTUAL_USE；证据强度：A。</t>
        </is>
      </c>
      <c r="AA52"/>
      <c r="AB52"/>
      <c r="AC52"/>
      <c r="AD52" t="inlineStr">
        <is>
          <t>附件未提供</t>
        </is>
      </c>
      <c r="AE52" t="inlineStr">
        <is>
          <t>CHALLENGE_POOL_60.xlsx</t>
        </is>
      </c>
    </row>
    <row r="53" ht="25.5" customHeight="1">
      <c r="A53" t="inlineStr">
        <is>
          <t>CHL-047</t>
        </is>
      </c>
      <c r="B53"/>
      <c r="C53"/>
      <c r="D53"/>
      <c r="E53"/>
      <c r="F53"/>
      <c r="G53"/>
      <c r="H53"/>
      <c r="I53"/>
      <c r="J53"/>
      <c r="K53"/>
      <c r="L53"/>
      <c r="M53"/>
      <c r="N53"/>
      <c r="O53" t="inlineStr">
        <is>
          <t>formal-attempt-0001</t>
        </is>
      </c>
      <c r="P53"/>
      <c r="Q53"/>
      <c r="R53"/>
      <c r="S53" t="inlineStr">
        <is>
          <t>0</t>
        </is>
      </c>
      <c r="T53"/>
      <c r="U53"/>
      <c r="V53"/>
      <c r="W53"/>
      <c r="X53" t="inlineStr">
        <is>
          <t>附件未提供</t>
        </is>
      </c>
      <c r="Y53" t="inlineStr">
        <is>
          <t>XHS-SOC-0036</t>
        </is>
      </c>
      <c r="Z53" t="inlineStr">
        <is>
          <t>route=PRODUCT; experience_scope=ACTUAL_USE; evidence_grade=A; ai_confidence=0.9; explanation=核心对象：产品风味与调饮结果；体验：ACTUAL_USE；证据强度：A。</t>
        </is>
      </c>
      <c r="AA53"/>
      <c r="AB53"/>
      <c r="AC53"/>
      <c r="AD53" t="inlineStr">
        <is>
          <t>附件未提供</t>
        </is>
      </c>
      <c r="AE53" t="inlineStr">
        <is>
          <t>CHALLENGE_POOL_60.xlsx</t>
        </is>
      </c>
    </row>
    <row r="54" ht="25.5" customHeight="1">
      <c r="A54" t="inlineStr">
        <is>
          <t>CHL-048</t>
        </is>
      </c>
      <c r="B54"/>
      <c r="C54"/>
      <c r="D54"/>
      <c r="E54"/>
      <c r="F54"/>
      <c r="G54"/>
      <c r="H54"/>
      <c r="I54"/>
      <c r="J54"/>
      <c r="K54"/>
      <c r="L54"/>
      <c r="M54"/>
      <c r="N54"/>
      <c r="O54" t="inlineStr">
        <is>
          <t>formal-attempt-0001</t>
        </is>
      </c>
      <c r="P54"/>
      <c r="Q54"/>
      <c r="R54"/>
      <c r="S54" t="inlineStr">
        <is>
          <t>0</t>
        </is>
      </c>
      <c r="T54"/>
      <c r="U54"/>
      <c r="V54"/>
      <c r="W54"/>
      <c r="X54" t="inlineStr">
        <is>
          <t>附件未提供</t>
        </is>
      </c>
      <c r="Y54" t="inlineStr">
        <is>
          <t>XHS-SOC-0178</t>
        </is>
      </c>
      <c r="Z54" t="inlineStr">
        <is>
          <t>route=PRODUCT; experience_scope=ACTUAL_USE; evidence_grade=A; ai_confidence=0.9; explanation=核心对象：产品风味；体验：ACTUAL_USE；证据强度：A。</t>
        </is>
      </c>
      <c r="AA54"/>
      <c r="AB54"/>
      <c r="AC54"/>
      <c r="AD54" t="inlineStr">
        <is>
          <t>附件未提供</t>
        </is>
      </c>
      <c r="AE54" t="inlineStr">
        <is>
          <t>CHALLENGE_POOL_60.xlsx</t>
        </is>
      </c>
    </row>
    <row r="55" ht="25.5" customHeight="1">
      <c r="A55" t="inlineStr">
        <is>
          <t>CHL-049</t>
        </is>
      </c>
      <c r="B55"/>
      <c r="C55"/>
      <c r="D55"/>
      <c r="E55"/>
      <c r="F55"/>
      <c r="G55"/>
      <c r="H55"/>
      <c r="I55"/>
      <c r="J55"/>
      <c r="K55"/>
      <c r="L55"/>
      <c r="M55"/>
      <c r="N55"/>
      <c r="O55" t="inlineStr">
        <is>
          <t>formal-attempt-0001</t>
        </is>
      </c>
      <c r="P55"/>
      <c r="Q55"/>
      <c r="R55"/>
      <c r="S55" t="inlineStr">
        <is>
          <t>0</t>
        </is>
      </c>
      <c r="T55"/>
      <c r="U55"/>
      <c r="V55"/>
      <c r="W55"/>
      <c r="X55" t="inlineStr">
        <is>
          <t>附件未提供</t>
        </is>
      </c>
      <c r="Y55" t="inlineStr">
        <is>
          <t>XHS-SOC-0188</t>
        </is>
      </c>
      <c r="Z55" t="inlineStr">
        <is>
          <t>route=SCENE; experience_scope=ACTUAL_USE; evidence_grade=C; ai_confidence=0.9; explanation=核心对象：饮后身体状态；体验：ACTUAL_USE；证据强度：C。</t>
        </is>
      </c>
      <c r="AA55"/>
      <c r="AB55"/>
      <c r="AC55"/>
      <c r="AD55" t="inlineStr">
        <is>
          <t>附件未提供</t>
        </is>
      </c>
      <c r="AE55" t="inlineStr">
        <is>
          <t>CHALLENGE_POOL_60.xlsx</t>
        </is>
      </c>
    </row>
    <row r="56" ht="25.5" customHeight="1">
      <c r="A56" t="inlineStr">
        <is>
          <t>CHL-050</t>
        </is>
      </c>
      <c r="B56"/>
      <c r="C56"/>
      <c r="D56"/>
      <c r="E56"/>
      <c r="F56"/>
      <c r="G56"/>
      <c r="H56"/>
      <c r="I56"/>
      <c r="J56"/>
      <c r="K56"/>
      <c r="L56"/>
      <c r="M56"/>
      <c r="N56"/>
      <c r="O56" t="inlineStr">
        <is>
          <t>formal-attempt-0001</t>
        </is>
      </c>
      <c r="P56"/>
      <c r="Q56"/>
      <c r="R56"/>
      <c r="S56" t="inlineStr">
        <is>
          <t>0</t>
        </is>
      </c>
      <c r="T56"/>
      <c r="U56"/>
      <c r="V56"/>
      <c r="W56"/>
      <c r="X56" t="inlineStr">
        <is>
          <t>附件未提供</t>
        </is>
      </c>
      <c r="Y56" t="inlineStr">
        <is>
          <t>XHS-SOC-0189</t>
        </is>
      </c>
      <c r="Z56" t="inlineStr">
        <is>
          <t>route=SCENE; experience_scope=UNKNOWN; evidence_grade=A; ai_confidence=0.9; explanation=核心对象：醉酒状态与饮后行为；体验：UNKNOWN；证据强度：A。</t>
        </is>
      </c>
      <c r="AA56"/>
      <c r="AB56"/>
      <c r="AC56"/>
      <c r="AD56" t="inlineStr">
        <is>
          <t>附件未提供</t>
        </is>
      </c>
      <c r="AE56" t="inlineStr">
        <is>
          <t>CHALLENGE_POOL_60.xlsx</t>
        </is>
      </c>
    </row>
    <row r="57" ht="25.5" customHeight="1">
      <c r="A57" t="inlineStr">
        <is>
          <t>CHL-051</t>
        </is>
      </c>
      <c r="B57"/>
      <c r="C57"/>
      <c r="D57"/>
      <c r="E57"/>
      <c r="F57"/>
      <c r="G57"/>
      <c r="H57"/>
      <c r="I57"/>
      <c r="J57"/>
      <c r="K57"/>
      <c r="L57"/>
      <c r="M57"/>
      <c r="N57"/>
      <c r="O57" t="inlineStr">
        <is>
          <t>formal-attempt-0001</t>
        </is>
      </c>
      <c r="P57"/>
      <c r="Q57"/>
      <c r="R57"/>
      <c r="S57" t="inlineStr">
        <is>
          <t>0</t>
        </is>
      </c>
      <c r="T57"/>
      <c r="U57"/>
      <c r="V57"/>
      <c r="W57"/>
      <c r="X57" t="inlineStr">
        <is>
          <t>附件未提供</t>
        </is>
      </c>
      <c r="Y57" t="inlineStr">
        <is>
          <t>XHS-SOC-0204</t>
        </is>
      </c>
      <c r="Z57" t="inlineStr">
        <is>
          <t>route=SCENE; experience_scope=UNKNOWN; evidence_grade=B; ai_confidence=0.9; explanation=核心对象：饮酒过量的身体与社交状态；体验：UNKNOWN；证据强度：B。</t>
        </is>
      </c>
      <c r="AA57"/>
      <c r="AB57"/>
      <c r="AC57"/>
      <c r="AD57" t="inlineStr">
        <is>
          <t>附件未提供</t>
        </is>
      </c>
      <c r="AE57" t="inlineStr">
        <is>
          <t>CHALLENGE_POOL_60.xlsx</t>
        </is>
      </c>
    </row>
    <row r="58" ht="25.5" customHeight="1">
      <c r="A58" t="inlineStr">
        <is>
          <t>CHL-052</t>
        </is>
      </c>
      <c r="B58"/>
      <c r="C58"/>
      <c r="D58"/>
      <c r="E58"/>
      <c r="F58"/>
      <c r="G58"/>
      <c r="H58"/>
      <c r="I58"/>
      <c r="J58"/>
      <c r="K58"/>
      <c r="L58"/>
      <c r="M58"/>
      <c r="N58"/>
      <c r="O58" t="inlineStr">
        <is>
          <t>formal-attempt-0001</t>
        </is>
      </c>
      <c r="P58"/>
      <c r="Q58"/>
      <c r="R58"/>
      <c r="S58" t="inlineStr">
        <is>
          <t>0</t>
        </is>
      </c>
      <c r="T58"/>
      <c r="U58"/>
      <c r="V58"/>
      <c r="W58"/>
      <c r="X58" t="inlineStr">
        <is>
          <t>附件未提供</t>
        </is>
      </c>
      <c r="Y58" t="inlineStr">
        <is>
          <t>XHS-SOC-0215</t>
        </is>
      </c>
      <c r="Z58" t="inlineStr">
        <is>
          <t>route=SCENE; experience_scope=ACTUAL_USE; evidence_grade=C; ai_confidence=0.9; explanation=核心对象：独自饮酒行为；体验：ACTUAL_USE；证据强度：C。</t>
        </is>
      </c>
      <c r="AA58"/>
      <c r="AB58"/>
      <c r="AC58"/>
      <c r="AD58" t="inlineStr">
        <is>
          <t>附件未提供</t>
        </is>
      </c>
      <c r="AE58" t="inlineStr">
        <is>
          <t>CHALLENGE_POOL_60.xlsx</t>
        </is>
      </c>
    </row>
    <row r="59" ht="25.5" customHeight="1">
      <c r="A59" t="inlineStr">
        <is>
          <t>CHL-053</t>
        </is>
      </c>
      <c r="B59"/>
      <c r="C59"/>
      <c r="D59"/>
      <c r="E59"/>
      <c r="F59"/>
      <c r="G59"/>
      <c r="H59"/>
      <c r="I59"/>
      <c r="J59"/>
      <c r="K59"/>
      <c r="L59"/>
      <c r="M59"/>
      <c r="N59"/>
      <c r="O59" t="inlineStr">
        <is>
          <t>formal-attempt-0001</t>
        </is>
      </c>
      <c r="P59"/>
      <c r="Q59"/>
      <c r="R59"/>
      <c r="S59" t="inlineStr">
        <is>
          <t>0</t>
        </is>
      </c>
      <c r="T59"/>
      <c r="U59"/>
      <c r="V59"/>
      <c r="W59"/>
      <c r="X59" t="inlineStr">
        <is>
          <t>附件未提供</t>
        </is>
      </c>
      <c r="Y59" t="inlineStr">
        <is>
          <t>XHS-SOC-0220</t>
        </is>
      </c>
      <c r="Z59" t="inlineStr">
        <is>
          <t>route=PRODUCT; experience_scope=ACTUAL_USE; evidence_grade=B; ai_confidence=0.9; explanation=核心对象：产品口感与调饮结果；体验：ACTUAL_USE；证据强度：B。</t>
        </is>
      </c>
      <c r="AA59"/>
      <c r="AB59"/>
      <c r="AC59"/>
      <c r="AD59" t="inlineStr">
        <is>
          <t>附件未提供</t>
        </is>
      </c>
      <c r="AE59" t="inlineStr">
        <is>
          <t>CHALLENGE_POOL_60.xlsx</t>
        </is>
      </c>
    </row>
    <row r="60" ht="25.5" customHeight="1">
      <c r="A60" t="inlineStr">
        <is>
          <t>CHL-054</t>
        </is>
      </c>
      <c r="B60"/>
      <c r="C60"/>
      <c r="D60"/>
      <c r="E60"/>
      <c r="F60"/>
      <c r="G60"/>
      <c r="H60"/>
      <c r="I60"/>
      <c r="J60"/>
      <c r="K60"/>
      <c r="L60"/>
      <c r="M60"/>
      <c r="N60"/>
      <c r="O60" t="inlineStr">
        <is>
          <t>formal-attempt-0001</t>
        </is>
      </c>
      <c r="P60"/>
      <c r="Q60"/>
      <c r="R60"/>
      <c r="S60" t="inlineStr">
        <is>
          <t>0</t>
        </is>
      </c>
      <c r="T60"/>
      <c r="U60"/>
      <c r="V60"/>
      <c r="W60"/>
      <c r="X60" t="inlineStr">
        <is>
          <t>附件未提供</t>
        </is>
      </c>
      <c r="Y60" t="inlineStr">
        <is>
          <t>XHS-SOC-0229</t>
        </is>
      </c>
      <c r="Z60" t="inlineStr">
        <is>
          <t>route=OTHER; experience_scope=UNKNOWN; evidence_grade=C; ai_confidence=0.9; explanation=核心对象：产品推荐询问；体验：UNKNOWN；证据强度：C。</t>
        </is>
      </c>
      <c r="AA60"/>
      <c r="AB60"/>
      <c r="AC60"/>
      <c r="AD60" t="inlineStr">
        <is>
          <t>附件未提供</t>
        </is>
      </c>
      <c r="AE60" t="inlineStr">
        <is>
          <t>CHALLENGE_POOL_60.xlsx</t>
        </is>
      </c>
    </row>
    <row r="61" ht="25.5" customHeight="1">
      <c r="A61" t="inlineStr">
        <is>
          <t>CHL-055</t>
        </is>
      </c>
      <c r="B61"/>
      <c r="C61"/>
      <c r="D61"/>
      <c r="E61"/>
      <c r="F61"/>
      <c r="G61"/>
      <c r="H61"/>
      <c r="I61"/>
      <c r="J61"/>
      <c r="K61"/>
      <c r="L61"/>
      <c r="M61"/>
      <c r="N61"/>
      <c r="O61" t="inlineStr">
        <is>
          <t>formal-attempt-0001</t>
        </is>
      </c>
      <c r="P61"/>
      <c r="Q61"/>
      <c r="R61"/>
      <c r="S61" t="inlineStr">
        <is>
          <t>0</t>
        </is>
      </c>
      <c r="T61"/>
      <c r="U61"/>
      <c r="V61"/>
      <c r="W61"/>
      <c r="X61" t="inlineStr">
        <is>
          <t>附件未提供</t>
        </is>
      </c>
      <c r="Y61" t="inlineStr">
        <is>
          <t>XHS-SOC-0237</t>
        </is>
      </c>
      <c r="Z61" t="inlineStr">
        <is>
          <t>route=SCENE; experience_scope=ACTUAL_USE; evidence_grade=B; ai_confidence=0.9; explanation=核心对象：饮酒频率与饮后状态；体验：ACTUAL_USE；证据强度：B。</t>
        </is>
      </c>
      <c r="AA61"/>
      <c r="AB61"/>
      <c r="AC61"/>
      <c r="AD61" t="inlineStr">
        <is>
          <t>附件未提供</t>
        </is>
      </c>
      <c r="AE61" t="inlineStr">
        <is>
          <t>CHALLENGE_POOL_60.xlsx</t>
        </is>
      </c>
    </row>
    <row r="62" ht="25.5" customHeight="1">
      <c r="A62" t="inlineStr">
        <is>
          <t>CHL-056</t>
        </is>
      </c>
      <c r="B62"/>
      <c r="C62"/>
      <c r="D62"/>
      <c r="E62"/>
      <c r="F62"/>
      <c r="G62"/>
      <c r="H62"/>
      <c r="I62"/>
      <c r="J62"/>
      <c r="K62"/>
      <c r="L62"/>
      <c r="M62"/>
      <c r="N62"/>
      <c r="O62" t="inlineStr">
        <is>
          <t>formal-attempt-0001</t>
        </is>
      </c>
      <c r="P62"/>
      <c r="Q62"/>
      <c r="R62"/>
      <c r="S62" t="inlineStr">
        <is>
          <t>0</t>
        </is>
      </c>
      <c r="T62"/>
      <c r="U62"/>
      <c r="V62"/>
      <c r="W62"/>
      <c r="X62" t="inlineStr">
        <is>
          <t>附件未提供</t>
        </is>
      </c>
      <c r="Y62" t="inlineStr">
        <is>
          <t>XHS-SOC-0238</t>
        </is>
      </c>
      <c r="Z62" t="inlineStr">
        <is>
          <t>route=OTHER; experience_scope=UNKNOWN; evidence_grade=C; ai_confidence=0.7; explanation=核心对象：独处社会态度；体验：UNKNOWN；证据强度：C。</t>
        </is>
      </c>
      <c r="AA62"/>
      <c r="AB62"/>
      <c r="AC62"/>
      <c r="AD62" t="inlineStr">
        <is>
          <t>附件未提供</t>
        </is>
      </c>
      <c r="AE62" t="inlineStr">
        <is>
          <t>CHALLENGE_POOL_60.xlsx</t>
        </is>
      </c>
    </row>
    <row r="63" ht="25.5" customHeight="1">
      <c r="A63" t="inlineStr">
        <is>
          <t>CHL-057</t>
        </is>
      </c>
      <c r="B63"/>
      <c r="C63"/>
      <c r="D63"/>
      <c r="E63"/>
      <c r="F63"/>
      <c r="G63"/>
      <c r="H63"/>
      <c r="I63"/>
      <c r="J63"/>
      <c r="K63"/>
      <c r="L63"/>
      <c r="M63"/>
      <c r="N63"/>
      <c r="O63" t="inlineStr">
        <is>
          <t>formal-attempt-0001</t>
        </is>
      </c>
      <c r="P63"/>
      <c r="Q63"/>
      <c r="R63"/>
      <c r="S63" t="inlineStr">
        <is>
          <t>0</t>
        </is>
      </c>
      <c r="T63"/>
      <c r="U63"/>
      <c r="V63"/>
      <c r="W63"/>
      <c r="X63" t="inlineStr">
        <is>
          <t>附件未提供</t>
        </is>
      </c>
      <c r="Y63" t="inlineStr">
        <is>
          <t>XHS-SOC-0240</t>
        </is>
      </c>
      <c r="Z63" t="inlineStr">
        <is>
          <t>route=SCENE; experience_scope=UNKNOWN; evidence_grade=B; ai_confidence=0.9; explanation=核心对象：独自饮酒与用餐场景；体验：UNKNOWN；证据强度：B。</t>
        </is>
      </c>
      <c r="AA63"/>
      <c r="AB63"/>
      <c r="AC63"/>
      <c r="AD63" t="inlineStr">
        <is>
          <t>附件未提供</t>
        </is>
      </c>
      <c r="AE63" t="inlineStr">
        <is>
          <t>CHALLENGE_POOL_60.xlsx</t>
        </is>
      </c>
    </row>
    <row r="64" ht="25.5" customHeight="1">
      <c r="A64" t="inlineStr">
        <is>
          <t>CHL-058</t>
        </is>
      </c>
      <c r="B64"/>
      <c r="C64"/>
      <c r="D64"/>
      <c r="E64"/>
      <c r="F64"/>
      <c r="G64"/>
      <c r="H64"/>
      <c r="I64"/>
      <c r="J64"/>
      <c r="K64"/>
      <c r="L64"/>
      <c r="M64"/>
      <c r="N64"/>
      <c r="O64" t="inlineStr">
        <is>
          <t>formal-attempt-0001</t>
        </is>
      </c>
      <c r="P64"/>
      <c r="Q64"/>
      <c r="R64"/>
      <c r="S64" t="inlineStr">
        <is>
          <t>0</t>
        </is>
      </c>
      <c r="T64"/>
      <c r="U64"/>
      <c r="V64"/>
      <c r="W64"/>
      <c r="X64" t="inlineStr">
        <is>
          <t>附件未提供</t>
        </is>
      </c>
      <c r="Y64" t="inlineStr">
        <is>
          <t>XHS-SOC-0249</t>
        </is>
      </c>
      <c r="Z64" t="inlineStr">
        <is>
          <t>route=PRODUCT; experience_scope=ACTUAL_USE; evidence_grade=A; ai_confidence=0.9; explanation=核心对象：产品口味与酒味；体验：ACTUAL_USE；证据强度：A。</t>
        </is>
      </c>
      <c r="AA64"/>
      <c r="AB64"/>
      <c r="AC64"/>
      <c r="AD64" t="inlineStr">
        <is>
          <t>附件未提供</t>
        </is>
      </c>
      <c r="AE64" t="inlineStr">
        <is>
          <t>CHALLENGE_POOL_60.xlsx</t>
        </is>
      </c>
    </row>
    <row r="65" ht="25.5" customHeight="1">
      <c r="A65" t="inlineStr">
        <is>
          <t>CHL-059</t>
        </is>
      </c>
      <c r="B65"/>
      <c r="C65"/>
      <c r="D65"/>
      <c r="E65"/>
      <c r="F65"/>
      <c r="G65"/>
      <c r="H65"/>
      <c r="I65"/>
      <c r="J65"/>
      <c r="K65"/>
      <c r="L65"/>
      <c r="M65"/>
      <c r="N65"/>
      <c r="O65" t="inlineStr">
        <is>
          <t>formal-attempt-0001</t>
        </is>
      </c>
      <c r="P65"/>
      <c r="Q65"/>
      <c r="R65"/>
      <c r="S65" t="inlineStr">
        <is>
          <t>0</t>
        </is>
      </c>
      <c r="T65"/>
      <c r="U65"/>
      <c r="V65"/>
      <c r="W65"/>
      <c r="X65" t="inlineStr">
        <is>
          <t>附件未提供</t>
        </is>
      </c>
      <c r="Y65" t="inlineStr">
        <is>
          <t>XHS-SOC-0251</t>
        </is>
      </c>
      <c r="Z65" t="inlineStr">
        <is>
          <t>route=SCENE; experience_scope=ACTUAL_USE; evidence_grade=A; ai_confidence=0.9; explanation=核心对象：饮酒行为与频率变化；体验：ACTUAL_USE；证据强度：A。</t>
        </is>
      </c>
      <c r="AA65"/>
      <c r="AB65"/>
      <c r="AC65"/>
      <c r="AD65" t="inlineStr">
        <is>
          <t>附件未提供</t>
        </is>
      </c>
      <c r="AE65" t="inlineStr">
        <is>
          <t>CHALLENGE_POOL_60.xlsx</t>
        </is>
      </c>
    </row>
    <row r="66" ht="25.5" customHeight="1">
      <c r="A66" t="inlineStr">
        <is>
          <t>CHL-060</t>
        </is>
      </c>
      <c r="B66"/>
      <c r="C66"/>
      <c r="D66"/>
      <c r="E66"/>
      <c r="F66"/>
      <c r="G66"/>
      <c r="H66"/>
      <c r="I66"/>
      <c r="J66"/>
      <c r="K66"/>
      <c r="L66"/>
      <c r="M66"/>
      <c r="N66"/>
      <c r="O66" t="inlineStr">
        <is>
          <t>formal-attempt-0001</t>
        </is>
      </c>
      <c r="P66"/>
      <c r="Q66"/>
      <c r="R66"/>
      <c r="S66" t="inlineStr">
        <is>
          <t>0</t>
        </is>
      </c>
      <c r="T66"/>
      <c r="U66"/>
      <c r="V66"/>
      <c r="W66"/>
      <c r="X66" t="inlineStr">
        <is>
          <t>附件未提供</t>
        </is>
      </c>
      <c r="Y66" t="inlineStr">
        <is>
          <t>XHS-SOC-0260</t>
        </is>
      </c>
      <c r="Z66" t="inlineStr">
        <is>
          <t>route=OTHER; experience_scope=UNKNOWN; evidence_grade=C; ai_confidence=0.9; explanation=核心对象：饮酒购买意向；体验：UNKNOWN；证据强度：C。</t>
        </is>
      </c>
      <c r="AA66"/>
      <c r="AB66"/>
      <c r="AC66"/>
      <c r="AD66" t="inlineStr">
        <is>
          <t>附件未提供</t>
        </is>
      </c>
      <c r="AE66" t="inlineStr">
        <is>
          <t>CHALLENGE_POOL_60.xlsx</t>
        </is>
      </c>
    </row>
  </sheetData>
  <dataValidations count="7">
    <dataValidation allowBlank="false" sqref="C2:C65" type="list">
      <formula1>"证据充分性测试,用户冲突真实性测试,品牌资产适配性测试,竞品替换性测试,小范围可验证性测试"</formula1>
    </dataValidation>
    <dataValidation allowBlank="false" sqref="I2:I65" type="list">
      <formula1>"通过,有条件通过,不通过,待测试"</formula1>
    </dataValidation>
    <dataValidation allowBlank="false" sqref="P2:P65" type="list">
      <formula1>"保留,修改,淘汰,进入小范围验证"</formula1>
    </dataValidation>
    <dataValidation allowBlank="false" sqref="W2:W65" type="list">
      <formula1>"困难样本,反例验证,边界案例,待人工判定"</formula1>
    </dataValidation>
    <dataValidation allowBlank="false" sqref="AA2:AA65" type="list">
      <formula1>"通过,不通过,待人工判定"</formula1>
    </dataValidation>
    <dataValidation allowBlank="false" sqref="AB2:AB65" type="list">
      <formula1>"Routing错误,体验范围错误,证据等级错误,无错误,待人工判定"</formula1>
    </dataValidation>
    <dataValidation allowBlank="false" sqref="AC2:AC65" type="list">
      <formula1>"是,否,待人工判定"</formula1>
    </dataValidation>
  </dataValidations>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检查编号</t>
        </is>
      </c>
      <c r="B1" s="1" t="inlineStr">
        <is>
          <t>检查文本</t>
        </is>
      </c>
      <c r="C1" s="1" t="inlineStr">
        <is>
          <t>文本所属部分</t>
        </is>
      </c>
      <c r="D1" s="1" t="inlineStr">
        <is>
          <t>触发词</t>
        </is>
      </c>
      <c r="E1" s="1" t="inlineStr">
        <is>
          <t>问题类型</t>
        </is>
      </c>
      <c r="F1" s="1" t="inlineStr">
        <is>
          <t>解决了什么用户冲突</t>
        </is>
      </c>
      <c r="G1" s="1" t="inlineStr">
        <is>
          <t>对应什么真实场景</t>
        </is>
      </c>
      <c r="H1" s="1" t="inlineStr">
        <is>
          <t>与竞品有什么不同</t>
        </is>
      </c>
      <c r="I1" s="1" t="inlineStr">
        <is>
          <t>为什么必须选择目标品牌</t>
        </is>
      </c>
      <c r="J1" s="1" t="inlineStr">
        <is>
          <t>支撑语料编号</t>
        </is>
      </c>
      <c r="K1" s="1" t="inlineStr">
        <is>
          <t>是否存在人群排斥</t>
        </is>
      </c>
      <c r="L1" s="1" t="inlineStr">
        <is>
          <t>是否存在过度承诺</t>
        </is>
      </c>
      <c r="M1" s="1" t="inlineStr">
        <is>
          <t>风险等级</t>
        </is>
      </c>
      <c r="N1" s="1" t="inlineStr">
        <is>
          <t>AI检查结果</t>
        </is>
      </c>
      <c r="O1" s="1" t="inlineStr">
        <is>
          <t>修改建议</t>
        </is>
      </c>
      <c r="P1" s="1" t="inlineStr">
        <is>
          <t>修改后文本</t>
        </is>
      </c>
      <c r="Q1" s="1" t="inlineStr">
        <is>
          <t>人工处理结果</t>
        </is>
      </c>
      <c r="R1" s="1" t="inlineStr">
        <is>
          <t>处理人员</t>
        </is>
      </c>
      <c r="S1" s="1" t="inlineStr">
        <is>
          <t>检查版本</t>
        </is>
      </c>
      <c r="T1" s="1" t="inlineStr">
        <is>
          <t>机会编号</t>
        </is>
      </c>
      <c r="U1" s="1" t="inlineStr">
        <is>
          <t>命中规则编号</t>
        </is>
      </c>
      <c r="V1" s="1" t="inlineStr">
        <is>
          <t>竞品替换测试结果</t>
        </is>
      </c>
      <c r="W1" s="1" t="inlineStr">
        <is>
          <t>证据回溯是否完整</t>
        </is>
      </c>
      <c r="X1" s="1" t="inlineStr">
        <is>
          <t>是否退回重新生成</t>
        </is>
      </c>
    </row>
    <row r="2" ht="25.5" customHeight="1">
      <c r="A2" t="inlineStr">
        <is>
          <t>RULE-001</t>
        </is>
      </c>
      <c r="B2"/>
      <c r="C2"/>
      <c r="D2" t="inlineStr">
        <is>
          <t>国风</t>
        </is>
      </c>
      <c r="E2" t="inlineStr">
        <is>
          <t>空泛表达</t>
        </is>
      </c>
      <c r="F2"/>
      <c r="G2"/>
      <c r="H2"/>
      <c r="I2"/>
      <c r="J2"/>
      <c r="K2"/>
      <c r="L2"/>
      <c r="M2" t="inlineStr">
        <is>
          <t>中</t>
        </is>
      </c>
      <c r="N2" t="inlineStr">
        <is>
          <t>建议改写</t>
        </is>
      </c>
      <c r="O2"/>
      <c r="P2"/>
      <c r="Q2"/>
      <c r="R2"/>
      <c r="S2" t="inlineStr">
        <is>
          <t>V1.0</t>
        </is>
      </c>
      <c r="T2"/>
      <c r="U2" t="inlineStr">
        <is>
          <t>RULE-001</t>
        </is>
      </c>
      <c r="V2"/>
      <c r="W2"/>
      <c r="X2"/>
    </row>
    <row r="3" ht="25.5" customHeight="1">
      <c r="A3" t="inlineStr">
        <is>
          <t>RULE-002</t>
        </is>
      </c>
      <c r="B3"/>
      <c r="C3"/>
      <c r="D3" t="inlineStr">
        <is>
          <t>年轻化</t>
        </is>
      </c>
      <c r="E3" t="inlineStr">
        <is>
          <t>空泛表达</t>
        </is>
      </c>
      <c r="F3"/>
      <c r="G3"/>
      <c r="H3"/>
      <c r="I3"/>
      <c r="J3"/>
      <c r="K3"/>
      <c r="L3"/>
      <c r="M3" t="inlineStr">
        <is>
          <t>中</t>
        </is>
      </c>
      <c r="N3" t="inlineStr">
        <is>
          <t>建议改写</t>
        </is>
      </c>
      <c r="O3"/>
      <c r="P3"/>
      <c r="Q3"/>
      <c r="R3"/>
      <c r="S3" t="inlineStr">
        <is>
          <t>V1.0</t>
        </is>
      </c>
      <c r="T3"/>
      <c r="U3" t="inlineStr">
        <is>
          <t>RULE-002</t>
        </is>
      </c>
      <c r="V3"/>
      <c r="W3"/>
      <c r="X3"/>
    </row>
    <row r="4" ht="25.5" customHeight="1">
      <c r="A4" t="inlineStr">
        <is>
          <t>RULE-003</t>
        </is>
      </c>
      <c r="B4"/>
      <c r="C4"/>
      <c r="D4" t="inlineStr">
        <is>
          <t>情绪价值</t>
        </is>
      </c>
      <c r="E4" t="inlineStr">
        <is>
          <t>空泛表达</t>
        </is>
      </c>
      <c r="F4"/>
      <c r="G4"/>
      <c r="H4"/>
      <c r="I4"/>
      <c r="J4"/>
      <c r="K4"/>
      <c r="L4"/>
      <c r="M4" t="inlineStr">
        <is>
          <t>高</t>
        </is>
      </c>
      <c r="N4" t="inlineStr">
        <is>
          <t>必须改写</t>
        </is>
      </c>
      <c r="O4"/>
      <c r="P4"/>
      <c r="Q4"/>
      <c r="R4"/>
      <c r="S4" t="inlineStr">
        <is>
          <t>V1.0</t>
        </is>
      </c>
      <c r="T4"/>
      <c r="U4" t="inlineStr">
        <is>
          <t>RULE-003</t>
        </is>
      </c>
      <c r="V4"/>
      <c r="W4"/>
      <c r="X4"/>
    </row>
    <row r="5" ht="25.5" customHeight="1">
      <c r="A5" t="inlineStr">
        <is>
          <t>RULE-004</t>
        </is>
      </c>
      <c r="B5"/>
      <c r="C5"/>
      <c r="D5" t="inlineStr">
        <is>
          <t>东方美学</t>
        </is>
      </c>
      <c r="E5" t="inlineStr">
        <is>
          <t>空泛表达</t>
        </is>
      </c>
      <c r="F5"/>
      <c r="G5"/>
      <c r="H5"/>
      <c r="I5"/>
      <c r="J5"/>
      <c r="K5"/>
      <c r="L5"/>
      <c r="M5" t="inlineStr">
        <is>
          <t>中</t>
        </is>
      </c>
      <c r="N5" t="inlineStr">
        <is>
          <t>建议改写</t>
        </is>
      </c>
      <c r="O5"/>
      <c r="P5"/>
      <c r="Q5"/>
      <c r="R5"/>
      <c r="S5" t="inlineStr">
        <is>
          <t>V1.0</t>
        </is>
      </c>
      <c r="T5"/>
      <c r="U5" t="inlineStr">
        <is>
          <t>RULE-004</t>
        </is>
      </c>
      <c r="V5"/>
      <c r="W5"/>
      <c r="X5"/>
    </row>
    <row r="6" ht="25.5" customHeight="1">
      <c r="A6" t="inlineStr">
        <is>
          <t>RULE-005</t>
        </is>
      </c>
      <c r="B6"/>
      <c r="C6"/>
      <c r="D6" t="inlineStr">
        <is>
          <t>微醺自由</t>
        </is>
      </c>
      <c r="E6" t="inlineStr">
        <is>
          <t>空泛表达</t>
        </is>
      </c>
      <c r="F6"/>
      <c r="G6"/>
      <c r="H6"/>
      <c r="I6"/>
      <c r="J6"/>
      <c r="K6"/>
      <c r="L6"/>
      <c r="M6" t="inlineStr">
        <is>
          <t>高</t>
        </is>
      </c>
      <c r="N6" t="inlineStr">
        <is>
          <t>必须改写</t>
        </is>
      </c>
      <c r="O6"/>
      <c r="P6"/>
      <c r="Q6"/>
      <c r="R6"/>
      <c r="S6" t="inlineStr">
        <is>
          <t>V1.0</t>
        </is>
      </c>
      <c r="T6"/>
      <c r="U6" t="inlineStr">
        <is>
          <t>RULE-005</t>
        </is>
      </c>
      <c r="V6"/>
      <c r="W6"/>
      <c r="X6"/>
    </row>
    <row r="7" ht="25.5" customHeight="1">
      <c r="A7" t="inlineStr">
        <is>
          <t>RULE-006</t>
        </is>
      </c>
      <c r="B7"/>
      <c r="C7"/>
      <c r="D7" t="inlineStr">
        <is>
          <t>悦己</t>
        </is>
      </c>
      <c r="E7" t="inlineStr">
        <is>
          <t>空泛表达</t>
        </is>
      </c>
      <c r="F7"/>
      <c r="G7"/>
      <c r="H7"/>
      <c r="I7"/>
      <c r="J7"/>
      <c r="K7"/>
      <c r="L7"/>
      <c r="M7" t="inlineStr">
        <is>
          <t>高</t>
        </is>
      </c>
      <c r="N7" t="inlineStr">
        <is>
          <t>必须改写</t>
        </is>
      </c>
      <c r="O7"/>
      <c r="P7"/>
      <c r="Q7"/>
      <c r="R7"/>
      <c r="S7" t="inlineStr">
        <is>
          <t>V1.0</t>
        </is>
      </c>
      <c r="T7"/>
      <c r="U7" t="inlineStr">
        <is>
          <t>RULE-006</t>
        </is>
      </c>
      <c r="V7"/>
      <c r="W7"/>
      <c r="X7"/>
    </row>
    <row r="8" ht="25.5" customHeight="1">
      <c r="A8" t="inlineStr">
        <is>
          <t>RULE-007</t>
        </is>
      </c>
      <c r="B8"/>
      <c r="C8"/>
      <c r="D8" t="inlineStr">
        <is>
          <t>松弛感</t>
        </is>
      </c>
      <c r="E8" t="inlineStr">
        <is>
          <t>空泛表达</t>
        </is>
      </c>
      <c r="F8"/>
      <c r="G8"/>
      <c r="H8"/>
      <c r="I8"/>
      <c r="J8"/>
      <c r="K8"/>
      <c r="L8"/>
      <c r="M8" t="inlineStr">
        <is>
          <t>高</t>
        </is>
      </c>
      <c r="N8" t="inlineStr">
        <is>
          <t>必须改写</t>
        </is>
      </c>
      <c r="O8"/>
      <c r="P8"/>
      <c r="Q8"/>
      <c r="R8"/>
      <c r="S8" t="inlineStr">
        <is>
          <t>V1.0</t>
        </is>
      </c>
      <c r="T8"/>
      <c r="U8" t="inlineStr">
        <is>
          <t>RULE-007</t>
        </is>
      </c>
      <c r="V8"/>
      <c r="W8"/>
      <c r="X8"/>
    </row>
    <row r="9" ht="25.5" customHeight="1">
      <c r="A9" t="inlineStr">
        <is>
          <t>RULE-008</t>
        </is>
      </c>
      <c r="B9"/>
      <c r="C9"/>
      <c r="D9" t="inlineStr">
        <is>
          <t>高级感</t>
        </is>
      </c>
      <c r="E9" t="inlineStr">
        <is>
          <t>空泛表达</t>
        </is>
      </c>
      <c r="F9"/>
      <c r="G9"/>
      <c r="H9"/>
      <c r="I9"/>
      <c r="J9"/>
      <c r="K9"/>
      <c r="L9"/>
      <c r="M9" t="inlineStr">
        <is>
          <t>中</t>
        </is>
      </c>
      <c r="N9" t="inlineStr">
        <is>
          <t>建议改写</t>
        </is>
      </c>
      <c r="O9"/>
      <c r="P9"/>
      <c r="Q9"/>
      <c r="R9"/>
      <c r="S9" t="inlineStr">
        <is>
          <t>V1.0</t>
        </is>
      </c>
      <c r="T9"/>
      <c r="U9" t="inlineStr">
        <is>
          <t>RULE-008</t>
        </is>
      </c>
      <c r="V9"/>
      <c r="W9"/>
      <c r="X9"/>
    </row>
    <row r="10" ht="25.5" customHeight="1">
      <c r="A10" t="inlineStr">
        <is>
          <t>RULE-009</t>
        </is>
      </c>
      <c r="B10"/>
      <c r="C10"/>
      <c r="D10" t="inlineStr">
        <is>
          <t>种草</t>
        </is>
      </c>
      <c r="E10" t="inlineStr">
        <is>
          <t>行动转化弱</t>
        </is>
      </c>
      <c r="F10"/>
      <c r="G10"/>
      <c r="H10"/>
      <c r="I10"/>
      <c r="J10"/>
      <c r="K10"/>
      <c r="L10"/>
      <c r="M10" t="inlineStr">
        <is>
          <t>低</t>
        </is>
      </c>
      <c r="N10" t="inlineStr">
        <is>
          <t>建议改写</t>
        </is>
      </c>
      <c r="O10"/>
      <c r="P10"/>
      <c r="Q10"/>
      <c r="R10"/>
      <c r="S10" t="inlineStr">
        <is>
          <t>V1.0</t>
        </is>
      </c>
      <c r="T10"/>
      <c r="U10" t="inlineStr">
        <is>
          <t>RULE-009</t>
        </is>
      </c>
      <c r="V10"/>
      <c r="W10"/>
      <c r="X10"/>
    </row>
    <row r="11" ht="25.5" customHeight="1">
      <c r="A11" t="inlineStr">
        <is>
          <t>RULE-010</t>
        </is>
      </c>
      <c r="B11"/>
      <c r="C11"/>
      <c r="D11" t="inlineStr">
        <is>
          <t>破圈</t>
        </is>
      </c>
      <c r="E11" t="inlineStr">
        <is>
          <t>空泛表达</t>
        </is>
      </c>
      <c r="F11"/>
      <c r="G11"/>
      <c r="H11"/>
      <c r="I11"/>
      <c r="J11"/>
      <c r="K11"/>
      <c r="L11"/>
      <c r="M11" t="inlineStr">
        <is>
          <t>中</t>
        </is>
      </c>
      <c r="N11" t="inlineStr">
        <is>
          <t>建议改写</t>
        </is>
      </c>
      <c r="O11"/>
      <c r="P11"/>
      <c r="Q11"/>
      <c r="R11"/>
      <c r="S11" t="inlineStr">
        <is>
          <t>V1.0</t>
        </is>
      </c>
      <c r="T11"/>
      <c r="U11" t="inlineStr">
        <is>
          <t>RULE-010</t>
        </is>
      </c>
      <c r="V11"/>
      <c r="W11"/>
      <c r="X11"/>
    </row>
  </sheetData>
  <dataValidations count="6">
    <dataValidation allowBlank="false" sqref="C2:C10" type="list">
      <formula1>"品牌世界观,品牌主张,Campaign Idea,内容母题,场景意义,产品或体验前提,其他"</formula1>
    </dataValidation>
    <dataValidation allowBlank="false" sqref="E2:E10" type="list">
      <formula1>"空泛表达,竞品通用表达,证据不足,与真实反馈冲突,过度承诺,人群排斥,安全风险,行动转化弱"</formula1>
    </dataValidation>
    <dataValidation allowBlank="false" sqref="M2:M10" type="list">
      <formula1>"高,中,低"</formula1>
    </dataValidation>
    <dataValidation allowBlank="false" sqref="N2:N10" type="list">
      <formula1>"通过,建议改写,必须改写,拒绝使用"</formula1>
    </dataValidation>
    <dataValidation allowBlank="false" sqref="Q2:Q10" type="list">
      <formula1>"保留,已修改,删除,待讨论"</formula1>
    </dataValidation>
    <dataValidation allowBlank="false" sqref="V2:V10" type="list">
      <formula1>"通过,不通过,待测试"</formula1>
    </dataValidation>
  </dataValidations>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run_id</t>
        </is>
      </c>
      <c r="B1" s="1" t="inlineStr">
        <is>
          <t>action</t>
        </is>
      </c>
      <c r="C1" s="1" t="inlineStr">
        <is>
          <t>snapshot_id</t>
        </is>
      </c>
      <c r="D1" s="1" t="inlineStr">
        <is>
          <t>summary</t>
        </is>
      </c>
      <c r="E1" s="1" t="inlineStr">
        <is>
          <t>streamlit_url</t>
        </is>
      </c>
      <c r="F1" s="1" t="inlineStr">
        <is>
          <t>operator_open_id</t>
        </is>
      </c>
      <c r="G1" s="1" t="inlineStr">
        <is>
          <t>created_at</t>
        </is>
      </c>
      <c r="H1" s="1" t="inlineStr">
        <is>
          <t>模型</t>
        </is>
      </c>
      <c r="I1" s="1" t="inlineStr">
        <is>
          <t>数据集</t>
        </is>
      </c>
      <c r="J1" s="1" t="inlineStr">
        <is>
          <t>Prompt版本</t>
        </is>
      </c>
      <c r="K1" s="1" t="inlineStr">
        <is>
          <t>数据版本</t>
        </is>
      </c>
      <c r="L1" s="1" t="inlineStr">
        <is>
          <t>输入数量</t>
        </is>
      </c>
      <c r="M1" s="1" t="inlineStr">
        <is>
          <t>是否冻结</t>
        </is>
      </c>
      <c r="N1" s="1" t="inlineStr">
        <is>
          <t>人工决定</t>
        </is>
      </c>
      <c r="O1" s="1" t="inlineStr">
        <is>
          <t>来源文件</t>
        </is>
      </c>
    </row>
    <row r="2" ht="25.5" customHeight="1">
      <c r="A2" t="inlineStr">
        <is>
          <t>RUN-20260811-001</t>
        </is>
      </c>
      <c r="B2" t="inlineStr">
        <is>
          <t>数据快照生成</t>
        </is>
      </c>
      <c r="C2" t="inlineStr">
        <is>
          <t>SNAP-20260810-123</t>
        </is>
      </c>
      <c r="D2" t="inlineStr">
        <is>
          <t>生成用户行为数据集的全量快照</t>
        </is>
      </c>
      <c r="E2" s="2" t="str">
        <f>=HYPERLINK("", "https://streamlit.example.com/snapshot/RUN-20260811-001")</f>
        <v>https://streamlit.example.com/snapshot/RUN-20260811-001</v>
      </c>
      <c r="F2" t="inlineStr">
        <is>
          <t>OP-89234</t>
        </is>
      </c>
      <c r="G2" s="5">
        <v>46245.333333333336</v>
      </c>
      <c r="H2"/>
      <c r="I2"/>
      <c r="J2"/>
      <c r="K2"/>
      <c r="L2"/>
      <c r="M2"/>
      <c r="N2"/>
      <c r="O2"/>
    </row>
    <row r="3" ht="25.5" customHeight="1">
      <c r="A3" t="inlineStr">
        <is>
          <t>RUN-20260811-002</t>
        </is>
      </c>
      <c r="B3" t="inlineStr">
        <is>
          <t>模型推理执行</t>
        </is>
      </c>
      <c r="C3" t="inlineStr">
        <is>
          <t>SNAP-20260810-124</t>
        </is>
      </c>
      <c r="D3" t="inlineStr">
        <is>
          <t>调用预测模型完成1000条样本推理</t>
        </is>
      </c>
      <c r="E3" s="2" t="str">
        <f>=HYPERLINK("", "https://streamlit.example.com/inference/RUN-20260811-002")</f>
        <v>https://streamlit.example.com/inference/RUN-20260811-002</v>
      </c>
      <c r="F3" t="inlineStr">
        <is>
          <t>OP-15678</t>
        </is>
      </c>
      <c r="G3" s="5">
        <v>46245.333333333336</v>
      </c>
      <c r="H3"/>
      <c r="I3"/>
      <c r="J3"/>
      <c r="K3"/>
      <c r="L3"/>
      <c r="M3"/>
      <c r="N3"/>
      <c r="O3"/>
    </row>
    <row r="4" ht="25.5" customHeight="1">
      <c r="A4" t="inlineStr">
        <is>
          <t>RUN-20260811-003</t>
        </is>
      </c>
      <c r="B4" t="inlineStr">
        <is>
          <t>特征工程处理</t>
        </is>
      </c>
      <c r="C4" t="inlineStr">
        <is>
          <t>SNAP-20260810-125</t>
        </is>
      </c>
      <c r="D4" t="inlineStr">
        <is>
          <t>对原始数据进行缺失值填充与归一化</t>
        </is>
      </c>
      <c r="E4" s="2" t="str">
        <f>=HYPERLINK("", "https://streamlit.example.com/feature/RUN-20260811-003")</f>
        <v>https://streamlit.example.com/feature/RUN-20260811-003</v>
      </c>
      <c r="F4" t="inlineStr">
        <is>
          <t>OP-45672</t>
        </is>
      </c>
      <c r="G4" s="5">
        <v>46244.333333333336</v>
      </c>
      <c r="H4"/>
      <c r="I4"/>
      <c r="J4"/>
      <c r="K4"/>
      <c r="L4"/>
      <c r="M4"/>
      <c r="N4"/>
      <c r="O4"/>
    </row>
    <row r="5" ht="25.5" customHeight="1">
      <c r="A5" t="inlineStr">
        <is>
          <t>RUN-20260811-004</t>
        </is>
      </c>
      <c r="B5" t="inlineStr">
        <is>
          <t>结果校验操作</t>
        </is>
      </c>
      <c r="C5" t="inlineStr">
        <is>
          <t>SNAP-20260810-126</t>
        </is>
      </c>
      <c r="D5" t="inlineStr">
        <is>
          <t>校验推理结果的准确率与召回率指标</t>
        </is>
      </c>
      <c r="E5" s="2" t="str">
        <f>=HYPERLINK("", "https://streamlit.example.com/verify/RUN-20260811-004")</f>
        <v>https://streamlit.example.com/verify/RUN-20260811-004</v>
      </c>
      <c r="F5" t="inlineStr">
        <is>
          <t>OP-23456</t>
        </is>
      </c>
      <c r="G5" s="5">
        <v>46244.333333333336</v>
      </c>
      <c r="H5"/>
      <c r="I5"/>
      <c r="J5"/>
      <c r="K5"/>
      <c r="L5"/>
      <c r="M5"/>
      <c r="N5"/>
      <c r="O5"/>
    </row>
    <row r="6" ht="25.5" customHeight="1">
      <c r="A6" t="inlineStr">
        <is>
          <t>RUN-20260811-005</t>
        </is>
      </c>
      <c r="B6" t="inlineStr">
        <is>
          <t>模型更新操作</t>
        </is>
      </c>
      <c r="C6" t="inlineStr">
        <is>
          <t>SNAP-20260810-127</t>
        </is>
      </c>
      <c r="D6" t="inlineStr">
        <is>
          <t>基于新数据更新分类模型的参数</t>
        </is>
      </c>
      <c r="E6" s="2" t="str">
        <f>=HYPERLINK("", "https://streamlit.example.com/update/RUN-20260811-005")</f>
        <v>https://streamlit.example.com/update/RUN-20260811-005</v>
      </c>
      <c r="F6" t="inlineStr">
        <is>
          <t>OP-78901</t>
        </is>
      </c>
      <c r="G6" s="5">
        <v>46243.333333333336</v>
      </c>
      <c r="H6"/>
      <c r="I6"/>
      <c r="J6"/>
      <c r="K6"/>
      <c r="L6"/>
      <c r="M6"/>
      <c r="N6"/>
      <c r="O6"/>
    </row>
    <row r="7" ht="25.5" customHeight="1">
      <c r="A7" t="inlineStr">
        <is>
          <t>RUN-20260811-006</t>
        </is>
      </c>
      <c r="B7" t="inlineStr">
        <is>
          <t>数据清洗处理</t>
        </is>
      </c>
      <c r="C7" t="inlineStr">
        <is>
          <t>SNAP-20260810-128</t>
        </is>
      </c>
      <c r="D7" t="inlineStr">
        <is>
          <t>删除重复数据与异常值记录</t>
        </is>
      </c>
      <c r="E7" s="2" t="str">
        <f>=HYPERLINK("", "https://streamlit.example.com/clean/RUN-20260811-006")</f>
        <v>https://streamlit.example.com/clean/RUN-20260811-006</v>
      </c>
      <c r="F7" t="inlineStr">
        <is>
          <t>OP-34567</t>
        </is>
      </c>
      <c r="G7" s="5">
        <v>46243.333333333336</v>
      </c>
      <c r="H7"/>
      <c r="I7"/>
      <c r="J7"/>
      <c r="K7"/>
      <c r="L7"/>
      <c r="M7"/>
      <c r="N7"/>
      <c r="O7"/>
    </row>
    <row r="8" ht="25.5" customHeight="1">
      <c r="A8" t="inlineStr">
        <is>
          <t>RUN-20260811-007</t>
        </is>
      </c>
      <c r="B8" t="inlineStr">
        <is>
          <t>报表生成操作</t>
        </is>
      </c>
      <c r="C8" t="inlineStr">
        <is>
          <t>SNAP-20260810-129</t>
        </is>
      </c>
      <c r="D8" t="inlineStr">
        <is>
          <t>生成周度业务数据统计报表</t>
        </is>
      </c>
      <c r="E8" s="2" t="str">
        <f>=HYPERLINK("", "https://streamlit.example.com/report/RUN-20260811-007")</f>
        <v>https://streamlit.example.com/report/RUN-20260811-007</v>
      </c>
      <c r="F8" t="inlineStr">
        <is>
          <t>OP-67890</t>
        </is>
      </c>
      <c r="G8" s="5">
        <v>46242.333333333336</v>
      </c>
      <c r="H8"/>
      <c r="I8"/>
      <c r="J8"/>
      <c r="K8"/>
      <c r="L8"/>
      <c r="M8"/>
      <c r="N8"/>
      <c r="O8"/>
    </row>
    <row r="9" ht="25.5" customHeight="1">
      <c r="A9" t="inlineStr">
        <is>
          <t>RUN-20260811-008</t>
        </is>
      </c>
      <c r="B9" t="inlineStr">
        <is>
          <t>权限配置操作</t>
        </is>
      </c>
      <c r="C9" t="inlineStr">
        <is>
          <t>SNAP-20260810-130</t>
        </is>
      </c>
      <c r="D9" t="inlineStr">
        <is>
          <t>调整数据查看权限的角色范围</t>
        </is>
      </c>
      <c r="E9" s="2" t="str">
        <f>=HYPERLINK("", "https://streamlit.example.com/permission/RUN-20260811-008")</f>
        <v>https://streamlit.example.com/permission/RUN-20260811-008</v>
      </c>
      <c r="F9" t="inlineStr">
        <is>
          <t>OP-12345</t>
        </is>
      </c>
      <c r="G9" s="5">
        <v>46242.333333333336</v>
      </c>
      <c r="H9"/>
      <c r="I9"/>
      <c r="J9"/>
      <c r="K9"/>
      <c r="L9"/>
      <c r="M9"/>
      <c r="N9"/>
      <c r="O9"/>
    </row>
    <row r="10" ht="25.5" customHeight="1">
      <c r="A10" t="inlineStr">
        <is>
          <t>RUN-20260811-009</t>
        </is>
      </c>
      <c r="B10" t="inlineStr">
        <is>
          <t>数据导出操作</t>
        </is>
      </c>
      <c r="C10" t="inlineStr">
        <is>
          <t>SNAP-20260810-131</t>
        </is>
      </c>
      <c r="D10" t="inlineStr">
        <is>
          <t>将处理后的数据导出为CSV格式文件</t>
        </is>
      </c>
      <c r="E10" s="2" t="str">
        <f>=HYPERLINK("", "https://streamlit.example.com/export/RUN-20260811-009")</f>
        <v>https://streamlit.example.com/export/RUN-20260811-009</v>
      </c>
      <c r="F10" t="inlineStr">
        <is>
          <t>OP-56789</t>
        </is>
      </c>
      <c r="G10" s="5">
        <v>46241.333333333336</v>
      </c>
      <c r="H10"/>
      <c r="I10"/>
      <c r="J10"/>
      <c r="K10"/>
      <c r="L10"/>
      <c r="M10"/>
      <c r="N10"/>
      <c r="O10"/>
    </row>
    <row r="11" ht="25.5" customHeight="1">
      <c r="A11" t="inlineStr">
        <is>
          <t>RUN-20260811-010</t>
        </is>
      </c>
      <c r="B11" t="inlineStr">
        <is>
          <t>日志归档操作</t>
        </is>
      </c>
      <c r="C11" t="inlineStr">
        <is>
          <t>SNAP-20260810-132</t>
        </is>
      </c>
      <c r="D11" t="inlineStr">
        <is>
          <t>归档7月的系统运行日志至冷存储</t>
        </is>
      </c>
      <c r="E11" s="2" t="str">
        <f>=HYPERLINK("", "https://streamlit.example.com/archive/RUN-20260811-010")</f>
        <v>https://streamlit.example.com/archive/RUN-20260811-010</v>
      </c>
      <c r="F11" t="inlineStr">
        <is>
          <t>OP-90123</t>
        </is>
      </c>
      <c r="G11" s="5">
        <v>46241.333333333336</v>
      </c>
      <c r="H11"/>
      <c r="I11"/>
      <c r="J11"/>
      <c r="K11"/>
      <c r="L11"/>
      <c r="M11"/>
      <c r="N11"/>
      <c r="O11"/>
    </row>
    <row r="12" ht="25.5" customHeight="1">
      <c r="A12" t="inlineStr">
        <is>
          <t>RUN-20260812-011</t>
        </is>
      </c>
      <c r="B12" t="inlineStr">
        <is>
          <t>Evidence Routing标注</t>
        </is>
      </c>
      <c r="C12"/>
      <c r="D12" t="inlineStr">
        <is>
          <t>formal-attempt-0001；229条基线语料完成Evidence Routing标注，包含Routing、体验范围、证据等级、置信度和解释</t>
        </is>
      </c>
      <c r="E12" s="2"/>
      <c r="F12"/>
      <c r="G12" s="5">
        <v>46246.416666666664</v>
      </c>
      <c r="H12" t="inlineStr">
        <is>
          <t>gpt-5.6-luna</t>
        </is>
      </c>
      <c r="I12" t="inlineStr">
        <is>
          <t>ANALYSIS_BASELINE</t>
        </is>
      </c>
      <c r="J12" t="inlineStr">
        <is>
          <t>v2</t>
        </is>
      </c>
      <c r="K12" t="inlineStr">
        <is>
          <t>screened_v2 / FROZEN_419_V2</t>
        </is>
      </c>
      <c r="L12">
        <v>229</v>
      </c>
      <c r="M12" t="inlineStr">
        <is>
          <t>是</t>
        </is>
      </c>
      <c r="N12" t="inlineStr">
        <is>
          <t>已导入表4作为基线分析输入</t>
        </is>
      </c>
      <c r="O12" t="inlineStr">
        <is>
          <t>ANALYSIS_BASELINE_229.xlsx</t>
        </is>
      </c>
    </row>
    <row r="13" ht="25.5" customHeight="1">
      <c r="A13" t="inlineStr">
        <is>
          <t>RUN-20260812-012</t>
        </is>
      </c>
      <c r="B13" t="inlineStr">
        <is>
          <t>Evidence Routing标注</t>
        </is>
      </c>
      <c r="C13"/>
      <c r="D13" t="inlineStr">
        <is>
          <t>formal-attempt-0001；20条策展式演示批次完成标注，用于后续演化演示</t>
        </is>
      </c>
      <c r="E13" s="2"/>
      <c r="F13"/>
      <c r="G13" s="5">
        <v>46246.416666666664</v>
      </c>
      <c r="H13" t="inlineStr">
        <is>
          <t>gpt-5.6-luna</t>
        </is>
      </c>
      <c r="I13" t="inlineStr">
        <is>
          <t>ANALYSIS_DEMO_DELTA</t>
        </is>
      </c>
      <c r="J13" t="inlineStr">
        <is>
          <t>v2</t>
        </is>
      </c>
      <c r="K13" t="inlineStr">
        <is>
          <t>screened_v2 / FROZEN_419_V2</t>
        </is>
      </c>
      <c r="L13">
        <v>20</v>
      </c>
      <c r="M13" t="inlineStr">
        <is>
          <t>是</t>
        </is>
      </c>
      <c r="N13" t="inlineStr">
        <is>
          <t>已导入表4，留待新信号冲击分析</t>
        </is>
      </c>
      <c r="O13" t="inlineStr">
        <is>
          <t>ANALYSIS_DEMO_DELTA_20.xlsx</t>
        </is>
      </c>
    </row>
    <row r="14" ht="25.5" customHeight="1">
      <c r="A14" t="inlineStr">
        <is>
          <t>RUN-20260812-013</t>
        </is>
      </c>
      <c r="B14" t="inlineStr">
        <is>
          <t>Evidence Routing标注</t>
        </is>
      </c>
      <c r="C14"/>
      <c r="D14" t="inlineStr">
        <is>
          <t>formal-attempt-0001；60条挑战池语料完成标注，用于困难样本与反例验证</t>
        </is>
      </c>
      <c r="E14" s="2"/>
      <c r="F14"/>
      <c r="G14" s="5">
        <v>46246.416666666664</v>
      </c>
      <c r="H14" t="inlineStr">
        <is>
          <t>gpt-5.6-luna</t>
        </is>
      </c>
      <c r="I14" t="inlineStr">
        <is>
          <t>CHALLENGE_POOL</t>
        </is>
      </c>
      <c r="J14" t="inlineStr">
        <is>
          <t>v2</t>
        </is>
      </c>
      <c r="K14" t="inlineStr">
        <is>
          <t>screened_v2 / FROZEN_419_V2</t>
        </is>
      </c>
      <c r="L14">
        <v>60</v>
      </c>
      <c r="M14" t="inlineStr">
        <is>
          <t>是</t>
        </is>
      </c>
      <c r="N14" t="inlineStr">
        <is>
          <t>已导入表4和表7，待人工判定挑战类型和通过结果</t>
        </is>
      </c>
      <c r="O14" t="inlineStr">
        <is>
          <t>CHALLENGE_POOL_60.xlsx</t>
        </is>
      </c>
    </row>
    <row r="15" ht="25.5" customHeight="1">
      <c r="A15" t="inlineStr">
        <is>
          <t>RUN-20260812-014</t>
        </is>
      </c>
      <c r="B15" t="inlineStr">
        <is>
          <t>Evidence Routing标注</t>
        </is>
      </c>
      <c r="C15"/>
      <c r="D15" t="inlineStr">
        <is>
          <t>formal-attempt-0001；60条留出集完成标注，用于独立稳定性验证</t>
        </is>
      </c>
      <c r="E15" s="2"/>
      <c r="F15"/>
      <c r="G15" s="5">
        <v>46246.416666666664</v>
      </c>
      <c r="H15" t="inlineStr">
        <is>
          <t>gpt-5.6-luna</t>
        </is>
      </c>
      <c r="I15" t="inlineStr">
        <is>
          <t>HOLDOUT</t>
        </is>
      </c>
      <c r="J15" t="inlineStr">
        <is>
          <t>v2</t>
        </is>
      </c>
      <c r="K15" t="inlineStr">
        <is>
          <t>screened_v2 / FROZEN_419_V2</t>
        </is>
      </c>
      <c r="L15">
        <v>60</v>
      </c>
      <c r="M15" t="inlineStr">
        <is>
          <t>是</t>
        </is>
      </c>
      <c r="N15" t="inlineStr">
        <is>
          <t>已导入表4，不作为基线叙事输入</t>
        </is>
      </c>
      <c r="O15" t="inlineStr">
        <is>
          <t>HOLDOUT_60.xlsx</t>
        </is>
      </c>
    </row>
    <row r="16" ht="25.5" customHeight="1">
      <c r="A16" t="inlineStr">
        <is>
          <t>RUN-20260812-015</t>
        </is>
      </c>
      <c r="B16" t="inlineStr">
        <is>
          <t>AI Gold标注（矫正前）</t>
        </is>
      </c>
      <c r="C16"/>
      <c r="D16" t="inlineStr">
        <is>
          <t>attempt-0002；矫正前完整可比较基线，50条Gold语料AI标注结果，用于与人工标注和矫正后结果对比</t>
        </is>
      </c>
      <c r="E16" s="2"/>
      <c r="F16"/>
      <c r="G16" s="5">
        <v>46246.416666666664</v>
      </c>
      <c r="H16" t="inlineStr">
        <is>
          <t>gpt-5.6-luna</t>
        </is>
      </c>
      <c r="I16" t="inlineStr">
        <is>
          <t>GOLD_矫正前</t>
        </is>
      </c>
      <c r="J16" t="inlineStr">
        <is>
          <t>v2</t>
        </is>
      </c>
      <c r="K16" t="inlineStr">
        <is>
          <t>screened_v2 / FROZEN_419_V2</t>
        </is>
      </c>
      <c r="L16">
        <v>50</v>
      </c>
      <c r="M16" t="inlineStr">
        <is>
          <t>是</t>
        </is>
      </c>
      <c r="N16" t="inlineStr">
        <is>
          <t>已导入表4，与人工标注和矫正后结果共同保存</t>
        </is>
      </c>
      <c r="O16" t="inlineStr">
        <is>
          <t>AI_GOLD_矫正前_50.xlsx</t>
        </is>
      </c>
    </row>
    <row r="17" ht="25.5" customHeight="1">
      <c r="A17" t="inlineStr">
        <is>
          <t>RUN-20260812-016</t>
        </is>
      </c>
      <c r="B17" t="inlineStr">
        <is>
          <t>AI Gold标注（矫正后）</t>
        </is>
      </c>
      <c r="C17"/>
      <c r="D17" t="inlineStr">
        <is>
          <t>attempt-0006；矫正后正式快照，50条Gold语料AI标注结果，22条发生至少一个字段变化</t>
        </is>
      </c>
      <c r="E17" s="2"/>
      <c r="F17"/>
      <c r="G17" s="5">
        <v>46246.416666666664</v>
      </c>
      <c r="H17" t="inlineStr">
        <is>
          <t>gpt-5.6-luna</t>
        </is>
      </c>
      <c r="I17" t="inlineStr">
        <is>
          <t>GOLD_矫正后</t>
        </is>
      </c>
      <c r="J17" t="inlineStr">
        <is>
          <t>v2</t>
        </is>
      </c>
      <c r="K17" t="inlineStr">
        <is>
          <t>screened_v2 / FROZEN_419_V2</t>
        </is>
      </c>
      <c r="L17">
        <v>50</v>
      </c>
      <c r="M17" t="inlineStr">
        <is>
          <t>是</t>
        </is>
      </c>
      <c r="N17" t="inlineStr">
        <is>
          <t>已导入表4作为Gold AI正式结果</t>
        </is>
      </c>
      <c r="O17" t="inlineStr">
        <is>
          <t>AI_GOLD_矫正后_50.xlsx</t>
        </is>
      </c>
    </row>
    <row r="18" ht="25.5" customHeight="1">
      <c r="A18" t="inlineStr">
        <is>
          <t>RUN-20260812-017</t>
        </is>
      </c>
      <c r="B18" t="inlineStr">
        <is>
          <t>人工Gold标注</t>
        </is>
      </c>
      <c r="C18"/>
      <c r="D18" t="inlineStr">
        <is>
          <t>50条Gold语料人工盲标结果，作为AI对齐评估的基准</t>
        </is>
      </c>
      <c r="E18" s="2"/>
      <c r="F18"/>
      <c r="G18" s="5">
        <v>46246.416666666664</v>
      </c>
      <c r="H18" t="inlineStr">
        <is>
          <t>人工标注</t>
        </is>
      </c>
      <c r="I18" t="inlineStr">
        <is>
          <t>GOLD</t>
        </is>
      </c>
      <c r="J18" t="inlineStr">
        <is>
          <t>人工盲标</t>
        </is>
      </c>
      <c r="K18" t="inlineStr">
        <is>
          <t>FROZEN_419_V2</t>
        </is>
      </c>
      <c r="L18">
        <v>50</v>
      </c>
      <c r="M18" t="inlineStr">
        <is>
          <t>是</t>
        </is>
      </c>
      <c r="N18" t="inlineStr">
        <is>
          <t>已导入表4作为人工基准</t>
        </is>
      </c>
      <c r="O18" t="inlineStr">
        <is>
          <t>GOLD 人工标注对齐.xlsx</t>
        </is>
      </c>
    </row>
  </sheetData>
  <dataValidations count="2">
    <dataValidation allowBlank="false" sqref="I2:I17" type="list">
      <formula1>"ANALYSIS_BASELINE,ANALYSIS_DEMO_DELTA,CHALLENGE_POOL,HOLDOUT,GOLD,GOLD_矫正前,GOLD_矫正后"</formula1>
    </dataValidation>
    <dataValidation allowBlank="false" sqref="M2:M17" type="list">
      <formula1>"是,否"</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