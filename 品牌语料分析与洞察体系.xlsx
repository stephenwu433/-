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表1：原始语料库" sheetId="2" r:id="rId4"/>
    <sheet name="表2：数据清洗与初筛表" sheetId="3" r:id="rId5"/>
    <sheet name="表3：标签字典与判断标准表" sheetId="4" r:id="rId6"/>
    <sheet name="表4：单条评论结构化分析表" sheetId="5" r:id="rId7"/>
    <sheet name="表5：核心洞察聚类表" sheetId="6" r:id="rId8"/>
    <sheet name="表6：候选品牌叙事机会表" sheetId="7" r:id="rId9"/>
    <sheet name="表7：五道压力测试表" sheetId="8" r:id="rId10"/>
    <sheet name="表8：反模板检查表" sheetId="9" r:id="rId11"/>
    <sheet name="表0：项目配置表" sheetId="10" r:id="rId12"/>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语料编号</t>
        </is>
      </c>
      <c r="B1" s="1" t="inlineStr">
        <is>
          <t>样本类型</t>
        </is>
      </c>
      <c r="C1" s="1" t="inlineStr">
        <is>
          <t>项目编号</t>
        </is>
      </c>
      <c r="D1" s="1" t="inlineStr">
        <is>
          <t>评论对象</t>
        </is>
      </c>
      <c r="E1" s="1" t="inlineStr">
        <is>
          <t>原始内容</t>
        </is>
      </c>
      <c r="F1" s="1" t="inlineStr">
        <is>
          <t>上下文内容</t>
        </is>
      </c>
      <c r="G1" s="1" t="inlineStr">
        <is>
          <t>来源平台</t>
        </is>
      </c>
      <c r="H1" s="1" t="inlineStr">
        <is>
          <t>来源链接</t>
        </is>
      </c>
      <c r="I1" s="1" t="inlineStr">
        <is>
          <t>发布时间</t>
        </is>
      </c>
      <c r="J1" s="1" t="inlineStr">
        <is>
          <t>采集日期</t>
        </is>
      </c>
      <c r="K1" s="1" t="inlineStr">
        <is>
          <t>搜索关键词</t>
        </is>
      </c>
      <c r="L1" s="1" t="inlineStr">
        <is>
          <t>点赞数</t>
        </is>
      </c>
      <c r="M1" s="1" t="inlineStr">
        <is>
          <t>作者匿名编号</t>
        </is>
      </c>
      <c r="N1" s="1" t="inlineStr">
        <is>
          <t>真实性类型</t>
        </is>
      </c>
      <c r="O1" s="1" t="inlineStr">
        <is>
          <t>采集人员</t>
        </is>
      </c>
      <c r="P1" s="1" t="inlineStr">
        <is>
          <t>备注</t>
        </is>
      </c>
      <c r="Q1" s="1" t="inlineStr">
        <is>
          <t>对象类型</t>
        </is>
      </c>
      <c r="R1" s="1" t="inlineStr">
        <is>
          <t>关联清洗记录</t>
        </is>
      </c>
      <c r="S1" s="1" t="inlineStr">
        <is>
          <t>关联分析记录</t>
        </is>
      </c>
    </row>
    <row r="2" ht="25.5" customHeight="1">
      <c r="A2" t="inlineStr">
        <is>
          <t>MJ-RAW-0001</t>
        </is>
      </c>
      <c r="B2" t="inlineStr">
        <is>
          <t>梅见产品体验反馈</t>
        </is>
      </c>
      <c r="C2" t="inlineStr">
        <is>
          <t>PRJ001</t>
        </is>
      </c>
      <c r="D2" t="inlineStr">
        <is>
          <t>梅见</t>
        </is>
      </c>
      <c r="E2" t="inlineStr">
        <is>
          <t>“单喝梅见真的很难喝”“这个也要调吗，可能，我单喝也不好喝”“强烈推荐+水溶C”</t>
        </is>
      </c>
      <c r="F2" t="inlineStr">
        <is>
          <t>来源：小红书平台用户评论</t>
        </is>
      </c>
      <c r="G2" t="inlineStr">
        <is>
          <t>小红书</t>
        </is>
      </c>
      <c r="H2" s="2" t="str">
        <f>=HYPERLINK("http://数据未收集", "数据未收集")</f>
        <v>数据未收集</v>
      </c>
      <c r="I2" s="3"/>
      <c r="J2" s="4">
        <v>46243</v>
      </c>
      <c r="K2" t="inlineStr">
        <is>
          <t>梅见 青梅酒 口感 评价</t>
        </is>
      </c>
      <c r="L2"/>
      <c r="M2" t="inlineStr">
        <is>
          <t>MJ-XHS-U-001</t>
        </is>
      </c>
      <c r="N2" t="inlineStr">
        <is>
          <t>公开评论</t>
        </is>
      </c>
      <c r="O2"/>
      <c r="P2" t="inlineStr">
        <is>
          <t>【用户场景】下班独饮, 女生局, 聚餐
【情绪关键词】轻松, 审美, 怕失控
【表层需求】想要好入口、想兑饮料、想喝低度酒
【深层情绪】想参与微醺氛围，但不想被酒味压力劝退
【身份需求】我是会自己调配、有审美、不硬喝的人
【饮酒态度】接受低度, 喜欢微醺
【品牌反馈】单喝有门槛，兑水溶 C、气泡水、茶饮后更容易接受
【可转化品牌洞察】梅见可被表达为“可调、可控、可分享的东方低度酒”，降低新用户入口门槛</t>
        </is>
      </c>
      <c r="Q2" t="inlineStr">
        <is>
          <t>目标品牌</t>
        </is>
      </c>
      <c r="R2"/>
      <c r="S2"/>
    </row>
    <row r="3" ht="25.5" customHeight="1">
      <c r="A3" t="inlineStr">
        <is>
          <t>MJ-RAW-0002</t>
        </is>
      </c>
      <c r="B3" t="inlineStr">
        <is>
          <t>梅见产品体验反馈</t>
        </is>
      </c>
      <c r="C3" t="inlineStr">
        <is>
          <t>PRJ001</t>
        </is>
      </c>
      <c r="D3" t="inlineStr">
        <is>
          <t>梅见</t>
        </is>
      </c>
      <c r="E3" t="inlineStr">
        <is>
          <t>“这股浓烈的药味和草本味是怎么回事？”“兑了绿茶，结果药味依然很浓”“金桂款值得一试，青柑款慎入”</t>
        </is>
      </c>
      <c r="F3" t="inlineStr">
        <is>
          <t>来源：小红书平台用户评论</t>
        </is>
      </c>
      <c r="G3" t="inlineStr">
        <is>
          <t>小红书</t>
        </is>
      </c>
      <c r="H3" s="2" t="str">
        <f>=HYPERLINK("http://数据未收集", "数据未收集")</f>
        <v>数据未收集</v>
      </c>
      <c r="I3" s="3"/>
      <c r="J3" s="4">
        <v>46243</v>
      </c>
      <c r="K3" t="inlineStr">
        <is>
          <t>梅见 青梅酒 口感 评价</t>
        </is>
      </c>
      <c r="L3"/>
      <c r="M3" t="inlineStr">
        <is>
          <t>MJ-XHS-U-002</t>
        </is>
      </c>
      <c r="N3" t="inlineStr">
        <is>
          <t>公开评论</t>
        </is>
      </c>
      <c r="O3"/>
      <c r="P3" t="inlineStr">
        <is>
          <t>【用户场景】女生局, 下班独饮
【情绪关键词】尴尬, 审美, 边界感
【表层需求】想知道哪个口味好喝、避免踩雷
【深层情绪】想轻松小酌，但害怕买到不好入口的口味
【身份需求】我是会挑口味、不盲从热门的人
【饮酒态度】偶尔小酌, 接受低度
【品牌反馈】青柑被吐槽“药味/草本味”，金桂被认为柔和、酸甜平衡、适合新手
【可转化品牌洞察】梅见需要做口味教育：明确“新手首选”“进阶风味”“适合兑饮”的产品路径</t>
        </is>
      </c>
      <c r="Q3" t="inlineStr">
        <is>
          <t>目标品牌</t>
        </is>
      </c>
      <c r="R3"/>
      <c r="S3"/>
    </row>
    <row r="4" ht="25.5" customHeight="1">
      <c r="A4" t="inlineStr">
        <is>
          <t>MJ-RAW-0003</t>
        </is>
      </c>
      <c r="B4" t="inlineStr">
        <is>
          <t>梅见产品体验反馈</t>
        </is>
      </c>
      <c r="C4" t="inlineStr">
        <is>
          <t>PRJ001</t>
        </is>
      </c>
      <c r="D4" t="inlineStr">
        <is>
          <t>梅见</t>
        </is>
      </c>
      <c r="E4" t="inlineStr">
        <is>
          <t>“梅见酒后劲大吗”“梅见喝了第二天头疼吗”“梅见兑什么喝”“梅见哪个口味最好喝”“梅见青梅酒喝完容易上头吗”</t>
        </is>
      </c>
      <c r="F4" t="inlineStr">
        <is>
          <t>来源：小红书平台用户评论</t>
        </is>
      </c>
      <c r="G4" t="inlineStr">
        <is>
          <t>小红书</t>
        </is>
      </c>
      <c r="H4" s="2" t="str">
        <f>=HYPERLINK("http://数据未收集", "数据未收集")</f>
        <v>数据未收集</v>
      </c>
      <c r="I4" s="3"/>
      <c r="J4" s="4">
        <v>46243</v>
      </c>
      <c r="K4" t="inlineStr">
        <is>
          <t>梅见 青梅酒 口感 评价</t>
        </is>
      </c>
      <c r="L4"/>
      <c r="M4" t="inlineStr">
        <is>
          <t>MJ-XHS-U-003</t>
        </is>
      </c>
      <c r="N4" t="inlineStr">
        <is>
          <t>公开评论</t>
        </is>
      </c>
      <c r="O4"/>
      <c r="P4" t="inlineStr">
        <is>
          <t>【用户场景】聚餐, 女生局, 下班独饮
【情绪关键词】怕失控, 想合群, 轻松
【表层需求】想知道度数、后劲、兑法、口味选择
【深层情绪】想参与喝酒场合，但担心醉、上头、第二天不舒服
【身份需求】我是有边界感、会控制状态的人
【饮酒态度】担心失控, 喜欢微醺, 偶尔小酌
【品牌反馈】高频问题集中在“后劲、头疼、兑法、口味
【可转化品牌洞察】梅见可主打“不劝酒时代的可控微醺”：好喝、好兑、可控、不狼狈</t>
        </is>
      </c>
      <c r="Q4" t="inlineStr">
        <is>
          <t>目标品牌</t>
        </is>
      </c>
      <c r="R4"/>
      <c r="S4"/>
    </row>
    <row r="5" ht="25.5" customHeight="1">
      <c r="A5" t="inlineStr">
        <is>
          <t>MJ-RAW-0004</t>
        </is>
      </c>
      <c r="B5" t="inlineStr">
        <is>
          <t>梅见产品体验反馈</t>
        </is>
      </c>
      <c r="C5" t="inlineStr">
        <is>
          <t>PRJ001</t>
        </is>
      </c>
      <c r="D5" t="inlineStr">
        <is>
          <t>梅见</t>
        </is>
      </c>
      <c r="E5" t="inlineStr">
        <is>
          <t>"梅见的青梅酒很烂 虽然说便宜 但是高度高粱酒的基酒辣嗓子 高度蒸馏直接盖过去 而且苦涩 入口没有任何融合
推荐昆竹牌三得利古越龙山 都碾压梅见"“[捂脸R]反正当时买完打开一瞬间的很后悔就是了”</t>
        </is>
      </c>
      <c r="F5" t="inlineStr">
        <is>
          <t>来源：小红书平台用户评论</t>
        </is>
      </c>
      <c r="G5" t="inlineStr">
        <is>
          <t>小红书</t>
        </is>
      </c>
      <c r="H5" s="2" t="str">
        <f>=HYPERLINK("http://数据未收集", "数据未收集")</f>
        <v>数据未收集</v>
      </c>
      <c r="I5" s="3"/>
      <c r="J5" s="4">
        <v>46243</v>
      </c>
      <c r="K5" t="inlineStr">
        <is>
          <t>梅见 青梅酒 口感 评价</t>
        </is>
      </c>
      <c r="L5"/>
      <c r="M5" t="inlineStr">
        <is>
          <t>MJ-XHS-U-004</t>
        </is>
      </c>
      <c r="N5" t="inlineStr">
        <is>
          <t>公开评论</t>
        </is>
      </c>
      <c r="O5"/>
      <c r="P5" t="inlineStr">
        <is>
          <t>【用户场景】下班独饮
【情绪关键词】审美, 怕失控
【表层需求】想要购买到口感顺滑、风味融合度好、不辣喉不苦涩的优质平价果酒，满足日常下班小酌的需求
【深层情绪】想偶尔小酌，但是被口感劝退
【身份需求】我是有追求，对口感和口味要求较高的人
【饮酒态度】偶尔小酌
【品牌反馈】反馈梅见青梅酒品质不佳，虽价格便宜，但以高度高粱酒为基酒口感辣喉，高度蒸馏感掩盖风味，酒体苦涩、入口融合度差，购买后十分后悔，认为昆竹牌、三得利、古越龙山的相关产品都远优于梅见。
【可转化品牌洞察】梅见不能只靠低价或国风包装，需要回应用户对酒体融合度、辣喉、苦涩和真实梅味的质疑。</t>
        </is>
      </c>
      <c r="Q5" t="inlineStr">
        <is>
          <t>目标品牌</t>
        </is>
      </c>
      <c r="R5"/>
      <c r="S5"/>
    </row>
    <row r="6" ht="25.5" customHeight="1">
      <c r="A6" t="inlineStr">
        <is>
          <t>MJ-RAW-0005</t>
        </is>
      </c>
      <c r="B6" t="inlineStr">
        <is>
          <t>梅见产品体验反馈</t>
        </is>
      </c>
      <c r="C6" t="inlineStr">
        <is>
          <t>PRJ001</t>
        </is>
      </c>
      <c r="D6" t="inlineStr">
        <is>
          <t>梅见</t>
        </is>
      </c>
      <c r="E6" t="inlineStr">
        <is>
          <t>“网上风很大的国风果酒。叛身颜值确实好看，但讲真的茶香有点太抢戏了。盖过了本身的酒味，很容易上头！而且后味有点微苦，果香散得也快”</t>
        </is>
      </c>
      <c r="F6" t="inlineStr">
        <is>
          <t>来源：抖音平台用户评论</t>
        </is>
      </c>
      <c r="G6" t="inlineStr">
        <is>
          <t>抖音</t>
        </is>
      </c>
      <c r="H6" s="2" t="str">
        <f>=HYPERLINK("http://数据未收集", "数据未收集")</f>
        <v>数据未收集</v>
      </c>
      <c r="I6" s="3"/>
      <c r="J6" s="4">
        <v>46243</v>
      </c>
      <c r="K6" t="inlineStr">
        <is>
          <t>梅见 青梅酒 口感 评价</t>
        </is>
      </c>
      <c r="L6"/>
      <c r="M6" t="inlineStr">
        <is>
          <t>MJ-DY-U-001</t>
        </is>
      </c>
      <c r="N6" t="inlineStr">
        <is>
          <t>公开评论</t>
        </is>
      </c>
      <c r="O6"/>
      <c r="P6" t="inlineStr">
        <is>
          <t>【用户场景】下班独饮, 节日礼赠
【情绪关键词】怕失控, 体面
【表层需求】想要外观颜值出众、风味协调不突兀、不易上头、果香留存久的国风果酒
【深层情绪】希望小酌时既获得微醺放松的愉悦，又能保持体面清醒不失态，避免因酒质问题出现上头、状态失控的尴尬，同时也期待心仪的国风果酒能匹配宣传的优质体验，不辜负自己对品质和氛围感的期待。
【身份需求】我是注重生活质感，想要契合自身审美的优质酒饮，又希望消费不踩雷，小酌时维持得体状态的年轻消费者
【饮酒态度】担心失控, 偶尔小酌
【品牌反馈】当前市面部分主打国风定位的果酒存在风味不协调、茶香等附加风味盖过基酒本味、易上头、后味发苦、果香味留存时间短的问题，容易让注重品质与体验的消费者产生消费踩雷的感受，不符合目标用户对小酌时保持体面、不易上头、风味协调的核心需求。
【可转化品牌洞察】梅见需要把“颜值种草”转成“口味可信”，避免用户期待国风果酒，实际喝到茶香抢戏、后味发苦和易上头。</t>
        </is>
      </c>
      <c r="Q6" t="inlineStr">
        <is>
          <t>目标品牌</t>
        </is>
      </c>
      <c r="R6"/>
      <c r="S6"/>
    </row>
    <row r="7" ht="25.5" customHeight="1">
      <c r="A7" t="inlineStr">
        <is>
          <t>MJ-RAW-0006</t>
        </is>
      </c>
      <c r="B7" t="inlineStr">
        <is>
          <t>梅见产品体验反馈</t>
        </is>
      </c>
      <c r="C7" t="inlineStr">
        <is>
          <t>PRJ001</t>
        </is>
      </c>
      <c r="D7" t="inlineStr">
        <is>
          <t>梅见</t>
        </is>
      </c>
      <c r="E7" t="inlineStr">
        <is>
          <t>“梅见，兴冲冲的下单结果满载失望。这玩意入口就像是酒精跟青梅汁勾兑的一样，酒精是酒精青梅汁是青梅汁，啥也不是。"</t>
        </is>
      </c>
      <c r="F7" t="inlineStr">
        <is>
          <t>来源：抖音平台用户评论</t>
        </is>
      </c>
      <c r="G7" t="inlineStr">
        <is>
          <t>抖音</t>
        </is>
      </c>
      <c r="H7" s="2" t="str">
        <f>=HYPERLINK("http://数据未收集", "数据未收集")</f>
        <v>数据未收集</v>
      </c>
      <c r="I7" s="3"/>
      <c r="J7" s="4">
        <v>46243</v>
      </c>
      <c r="K7" t="inlineStr">
        <is>
          <t>梅见 青梅酒 口感 评价</t>
        </is>
      </c>
      <c r="L7"/>
      <c r="M7" t="inlineStr">
        <is>
          <t>MJ-DY-U-002</t>
        </is>
      </c>
      <c r="N7" t="inlineStr">
        <is>
          <t>公开评论</t>
        </is>
      </c>
      <c r="O7"/>
      <c r="P7" t="inlineStr">
        <is>
          <t>【用户场景】下班独饮
【情绪关键词】审美
【表层需求】想要购买到口感融洽的酒类
【深层情绪】出于市场评价和包装购买发现口味不如期望
【身份需求】我会出于网上的评价而购入产品但同时也有自己的审美
【饮酒态度】偶尔小酌, 喜欢微醺
【品牌反馈】反馈梅见的口味调配很糟糕不够融洽
【可转化品牌洞察】梅见当前的口味调配存在明显割裂感，酒精与青梅风味融合度不足，易引发消费不满，需优化酒体调和工艺，提升入口风味的协调性</t>
        </is>
      </c>
      <c r="Q7" t="inlineStr">
        <is>
          <t>目标品牌</t>
        </is>
      </c>
      <c r="R7"/>
      <c r="S7"/>
    </row>
    <row r="8" ht="25.5" customHeight="1">
      <c r="A8" t="inlineStr">
        <is>
          <t>MJ-RAW-0007</t>
        </is>
      </c>
      <c r="B8" t="inlineStr">
        <is>
          <t>梅见产品体验反馈</t>
        </is>
      </c>
      <c r="C8" t="inlineStr">
        <is>
          <t>PRJ001</t>
        </is>
      </c>
      <c r="D8" t="inlineStr">
        <is>
          <t>梅见</t>
        </is>
      </c>
      <c r="E8" t="inlineStr">
        <is>
          <t>”挺好喝的，果酒里面算度数高的了,我从十几块喝到现在三十多，涨价涨的喝不动了，偶尔喝一会"</t>
        </is>
      </c>
      <c r="F8" t="inlineStr">
        <is>
          <t>来源：抖音平台用户评论</t>
        </is>
      </c>
      <c r="G8" t="inlineStr">
        <is>
          <t>抖音</t>
        </is>
      </c>
      <c r="H8" s="2" t="str">
        <f>=HYPERLINK("http://数据未收集", "数据未收集")</f>
        <v>数据未收集</v>
      </c>
      <c r="I8" s="3"/>
      <c r="J8" s="4">
        <v>46243</v>
      </c>
      <c r="K8" t="inlineStr">
        <is>
          <t>梅见 青梅酒 口感 评价</t>
        </is>
      </c>
      <c r="L8"/>
      <c r="M8" t="inlineStr">
        <is>
          <t>MJ-DY-U-003</t>
        </is>
      </c>
      <c r="N8" t="inlineStr">
        <is>
          <t>公开评论</t>
        </is>
      </c>
      <c r="O8"/>
      <c r="P8" t="inlineStr">
        <is>
          <t>【用户场景】下班独饮
【情绪关键词】轻松
【表层需求】想要买到价格合适的果酒
【深层情绪】对涨价感到不合理，希望能提高性价比
【身份需求】我是追求性价比和口味的人
【饮酒态度】偶尔小酌
【品牌反馈】反馈目前定价过高，对口味表达了赞许
【可转化品牌洞察】价格敏感度高，用户对产品从十几元涨至三十多元的涨价行为接受度低，认为当前定价过高，自身性价比不足已成为阻碍用户持续消费的核心痛点</t>
        </is>
      </c>
      <c r="Q8" t="inlineStr">
        <is>
          <t>目标品牌</t>
        </is>
      </c>
      <c r="R8"/>
      <c r="S8"/>
    </row>
    <row r="9" ht="25.5" customHeight="1">
      <c r="A9" t="inlineStr">
        <is>
          <t>MJ-RAW-0008</t>
        </is>
      </c>
      <c r="B9" t="inlineStr">
        <is>
          <t>梅见产品体验反馈</t>
        </is>
      </c>
      <c r="C9" t="inlineStr">
        <is>
          <t>PRJ001</t>
        </is>
      </c>
      <c r="D9" t="inlineStr">
        <is>
          <t>梅见</t>
        </is>
      </c>
      <c r="E9" t="inlineStr">
        <is>
          <t>青序磨砂瓶没有了 我现在买的这个 感觉比磨砂瓶更重味道这点 其他都不错 冰梅酒是这款 昆竹的  这些都碾压梅见 真心的 那种配料表里有浓缩青梅汁的直接pass</t>
        </is>
      </c>
      <c r="F9" t="inlineStr">
        <is>
          <t>来源：B站平台用户评论</t>
        </is>
      </c>
      <c r="G9" t="inlineStr">
        <is>
          <t>B站</t>
        </is>
      </c>
      <c r="H9" s="2" t="str">
        <f>=HYPERLINK("http://数据未收集", "数据未收集")</f>
        <v>数据未收集</v>
      </c>
      <c r="I9" s="3"/>
      <c r="J9" s="4">
        <v>46243</v>
      </c>
      <c r="K9" t="inlineStr">
        <is>
          <t>梅见 青梅酒 口感 评价</t>
        </is>
      </c>
      <c r="L9"/>
      <c r="M9" t="inlineStr">
        <is>
          <t>MJ-B-U-001</t>
        </is>
      </c>
      <c r="N9" t="inlineStr">
        <is>
          <t>公开评论</t>
        </is>
      </c>
      <c r="O9"/>
      <c r="P9" t="inlineStr">
        <is>
          <t>【用户场景】下班独饮
【情绪关键词】审美, 尴尬
【表层需求】想要品质稳定、口感一致、配料表干净的梅酒
【深层情绪】对品牌品控不稳定感到失望，转而寻找替代品，用配料表做筛选标准
【身份需求】我是会看配料表、讲究品质、不将就的人
【饮酒态度】偶尔小酌
【品牌反馈】包装改版后口感变差，配料表含浓缩青梅汁的品牌被用户直接否决；昆竹、冰梅酒等竞品被拿来对比碾压梅见
【可转化品牌洞察】梅见需要在配料表透明度和口味一致性上建立信任，浓缩青梅汁等原料标签可能成为用户流失的关键触发点</t>
        </is>
      </c>
      <c r="Q9" t="inlineStr">
        <is>
          <t>目标品牌</t>
        </is>
      </c>
      <c r="R9"/>
      <c r="S9"/>
    </row>
    <row r="10" ht="25.5" customHeight="1">
      <c r="A10" t="inlineStr">
        <is>
          <t>MJ-RAW-0009</t>
        </is>
      </c>
      <c r="B10" t="inlineStr">
        <is>
          <t>梅见产品体验反馈</t>
        </is>
      </c>
      <c r="C10" t="inlineStr">
        <is>
          <t>PRJ001</t>
        </is>
      </c>
      <c r="D10" t="inlineStr">
        <is>
          <t>梅见</t>
        </is>
      </c>
      <c r="E10" t="inlineStr">
        <is>
          <t>就现在我正在喝这个，当饮料喝了，平时都喝53五粮液和58度金门高粱酒的，这玩意喝起来口感就是个饮料，已经两瓶喝完了，酸酸的，没酒味，兑点伏特加做成40多度应该味道不错</t>
        </is>
      </c>
      <c r="F10" t="inlineStr">
        <is>
          <t>来源：B站平台用户评论</t>
        </is>
      </c>
      <c r="G10" t="inlineStr">
        <is>
          <t>B站</t>
        </is>
      </c>
      <c r="H10" s="2" t="str">
        <f>=HYPERLINK("http://数据未收集", "数据未收集")</f>
        <v>数据未收集</v>
      </c>
      <c r="I10" s="3"/>
      <c r="J10" s="4">
        <v>46243</v>
      </c>
      <c r="K10" t="inlineStr">
        <is>
          <t>梅见 青梅酒 口感 评价</t>
        </is>
      </c>
      <c r="L10"/>
      <c r="M10" t="inlineStr">
        <is>
          <t>MJ-B-U-002</t>
        </is>
      </c>
      <c r="N10" t="inlineStr">
        <is>
          <t>公开评论</t>
        </is>
      </c>
      <c r="O10"/>
      <c r="P10" t="inlineStr">
        <is>
          <t>【用户场景】下班独饮
【情绪关键词】轻松, 审美
【表层需求】把梅见当饮料喝，追求酸酸甜甜的轻松口感
【深层情绪】平时喝高度酒的人，把梅见当成一种轻松无负担的调剂，而不是真正的酒
【身份需求】我是能喝高度酒，但也愿意享受低度轻松的人
【饮酒态度】接受低度
【品牌反馈】梅见被当作“好喝的饮料”而非“酒”来喝，酸酸的口感被认可，但酒感太弱，对习惯高度酒的用户更像饮料替代品
【可转化品牌洞察】梅见对重度饮酒者来说更像“饮料替代”，可将其定位为“想喝点什么但不想喝酒时的选择”，而非和白酒竞争</t>
        </is>
      </c>
      <c r="Q10" t="inlineStr">
        <is>
          <t>目标品牌</t>
        </is>
      </c>
      <c r="R10"/>
      <c r="S10"/>
    </row>
    <row r="11" ht="25.5" customHeight="1">
      <c r="A11" t="inlineStr">
        <is>
          <t>MJ-RAW-0010</t>
        </is>
      </c>
      <c r="B11" t="inlineStr">
        <is>
          <t>梅见产品体验反馈</t>
        </is>
      </c>
      <c r="C11" t="inlineStr">
        <is>
          <t>PRJ001</t>
        </is>
      </c>
      <c r="D11" t="inlineStr">
        <is>
          <t>梅见</t>
        </is>
      </c>
      <c r="E11" t="inlineStr">
        <is>
          <t>可能本人没喝过酒，28岁男，喝朋友送的梅见，一口就感觉是酒精兑香精，然后就放厨房当料酒了。</t>
        </is>
      </c>
      <c r="F11" t="inlineStr">
        <is>
          <t>来源：B站平台用户评论</t>
        </is>
      </c>
      <c r="G11" t="inlineStr">
        <is>
          <t>B站</t>
        </is>
      </c>
      <c r="H11" s="2" t="str">
        <f>=HYPERLINK("http://数据未收集", "数据未收集")</f>
        <v>数据未收集</v>
      </c>
      <c r="I11" s="3"/>
      <c r="J11" s="4">
        <v>46243</v>
      </c>
      <c r="K11" t="inlineStr">
        <is>
          <t>梅见 青梅酒 口感 评价</t>
        </is>
      </c>
      <c r="L11"/>
      <c r="M11" t="inlineStr">
        <is>
          <t>MJ-B-U-003</t>
        </is>
      </c>
      <c r="N11" t="inlineStr">
        <is>
          <t>公开评论</t>
        </is>
      </c>
      <c r="O11"/>
      <c r="P11" t="inlineStr">
        <is>
          <t>【用户场景】家宴
【情绪关键词】尴尬, 怕失控
【表层需求】想要自然、不工业化的酒味
【深层情绪】第一次尝试就被劝退，产生强烈负面印象，直接放弃该品类
【身份需求】我是没喝过酒但愿意尝试的人，但第一次体验不好就不会再给机会
【饮酒态度】不主动喝酒
【品牌反馈】梅见被评价为“酒精兑香精”，直接被打入“料酒”级别，对白酒新手来说第一次体验极差
【可转化品牌洞察】梅见对“没喝过酒的人”的第一口体验是致命的——如果第一口被感知为工业香精味，品牌永远失去这个用户。需要为新手设计专属口味线或饮法指南</t>
        </is>
      </c>
      <c r="Q11" t="inlineStr">
        <is>
          <t>目标品牌</t>
        </is>
      </c>
      <c r="R11"/>
      <c r="S11"/>
    </row>
    <row r="12" ht="25.5" customHeight="1">
      <c r="A12" t="inlineStr">
        <is>
          <t>MJ-RAW-0011</t>
        </is>
      </c>
      <c r="B12" t="inlineStr">
        <is>
          <t>梅见产品体验反馈</t>
        </is>
      </c>
      <c r="C12" t="inlineStr">
        <is>
          <t>PRJ001</t>
        </is>
      </c>
      <c r="D12" t="inlineStr">
        <is>
          <t>梅见</t>
        </is>
      </c>
      <c r="E12" t="inlineStr">
        <is>
          <t>有点像喝止咳糖浆加酒</t>
        </is>
      </c>
      <c r="F12" t="inlineStr">
        <is>
          <t>来源：小红书平台用户评论</t>
        </is>
      </c>
      <c r="G12" t="inlineStr">
        <is>
          <t>小红书</t>
        </is>
      </c>
      <c r="H12" s="2" t="str">
        <f>=HYPERLINK("http://数据未收集", "数据未收集")</f>
        <v>数据未收集</v>
      </c>
      <c r="I12" s="3">
        <v>45884</v>
      </c>
      <c r="J12" s="4">
        <v>46241</v>
      </c>
      <c r="K12" t="inlineStr">
        <is>
          <t>梅见 青梅酒 口感 评价</t>
        </is>
      </c>
      <c r="L12">
        <v>38</v>
      </c>
      <c r="M12" t="inlineStr">
        <is>
          <t>MJ-XHS-U-005</t>
        </is>
      </c>
      <c r="N12" t="inlineStr">
        <is>
          <t>公开评论</t>
        </is>
      </c>
      <c r="O12"/>
      <c r="P12" t="inlineStr">
        <is>
          <t>【原始编号】MJPE001
【笔记发布日期】2025-08-05
【初步标签】药味、酒感、负面口感</t>
        </is>
      </c>
      <c r="Q12" t="inlineStr">
        <is>
          <t>目标品牌</t>
        </is>
      </c>
      <c r="R12"/>
      <c r="S12"/>
    </row>
    <row r="13" ht="25.5" customHeight="1">
      <c r="A13" t="inlineStr">
        <is>
          <t>MJ-RAW-0012</t>
        </is>
      </c>
      <c r="B13" t="inlineStr">
        <is>
          <t>梅见产品体验反馈</t>
        </is>
      </c>
      <c r="C13" t="inlineStr">
        <is>
          <t>PRJ001</t>
        </is>
      </c>
      <c r="D13" t="inlineStr">
        <is>
          <t>梅见</t>
        </is>
      </c>
      <c r="E13" t="inlineStr">
        <is>
          <t>没觉得喝一口都是工业味么</t>
        </is>
      </c>
      <c r="F13" t="inlineStr">
        <is>
          <t>来源：小红书平台用户评论</t>
        </is>
      </c>
      <c r="G13" t="inlineStr">
        <is>
          <t>小红书</t>
        </is>
      </c>
      <c r="H13" s="2" t="str">
        <f>=HYPERLINK("http://数据未收集", "数据未收集")</f>
        <v>数据未收集</v>
      </c>
      <c r="I13" s="3">
        <v>45875</v>
      </c>
      <c r="J13" s="4">
        <v>46241</v>
      </c>
      <c r="K13" t="inlineStr">
        <is>
          <t>梅见 青梅酒 口感 评价</t>
        </is>
      </c>
      <c r="L13">
        <v>40</v>
      </c>
      <c r="M13" t="inlineStr">
        <is>
          <t>MJ-XHS-U-006</t>
        </is>
      </c>
      <c r="N13" t="inlineStr">
        <is>
          <t>公开评论</t>
        </is>
      </c>
      <c r="O13"/>
      <c r="P13" t="inlineStr">
        <is>
          <t>【原始编号】MJPE002
【笔记发布日期】2025-08-05
【初步标签】工业感、风味不自然</t>
        </is>
      </c>
      <c r="Q13" t="inlineStr">
        <is>
          <t>目标品牌</t>
        </is>
      </c>
      <c r="R13"/>
      <c r="S13"/>
    </row>
    <row r="14" ht="25.5" customHeight="1">
      <c r="A14" t="inlineStr">
        <is>
          <t>MJ-RAW-0013</t>
        </is>
      </c>
      <c r="B14" t="inlineStr">
        <is>
          <t>梅见产品体验反馈</t>
        </is>
      </c>
      <c r="C14" t="inlineStr">
        <is>
          <t>PRJ001</t>
        </is>
      </c>
      <c r="D14" t="inlineStr">
        <is>
          <t>梅见</t>
        </is>
      </c>
      <c r="E14" t="inlineStr">
        <is>
          <t>自己泡的梅酒、国外的梅酒、梅见都试过，梅见我的口粮酒了。说是用了什么露酒的生产工艺，入口很顺，高粱酒的香味也够，我感觉没有你说的这么差😂。我自己泡的会有点反苦倒是真的，昆竹没试过，没听过这个牌子。</t>
        </is>
      </c>
      <c r="F14" t="inlineStr">
        <is>
          <t>来源：小红书平台用户评论</t>
        </is>
      </c>
      <c r="G14" t="inlineStr">
        <is>
          <t>小红书</t>
        </is>
      </c>
      <c r="H14" s="2" t="str">
        <f>=HYPERLINK("http://数据未收集", "数据未收集")</f>
        <v>数据未收集</v>
      </c>
      <c r="I14" s="3">
        <v>45941</v>
      </c>
      <c r="J14" s="4">
        <v>46241</v>
      </c>
      <c r="K14" t="inlineStr">
        <is>
          <t>梅见 青梅酒 口感 评价</t>
        </is>
      </c>
      <c r="L14">
        <v>84</v>
      </c>
      <c r="M14" t="inlineStr">
        <is>
          <t>MJ-XHS-U-007</t>
        </is>
      </c>
      <c r="N14" t="inlineStr">
        <is>
          <t>公开评论</t>
        </is>
      </c>
      <c r="O14"/>
      <c r="P14" t="inlineStr">
        <is>
          <t>【原始编号】MJPE003
【笔记发布日期】2025-10-03
【初步标签】入口顺、酒香、口粮酒、正向反例</t>
        </is>
      </c>
      <c r="Q14" t="inlineStr">
        <is>
          <t>目标品牌</t>
        </is>
      </c>
      <c r="R14"/>
      <c r="S14"/>
    </row>
    <row r="15" ht="25.5" customHeight="1">
      <c r="A15" t="inlineStr">
        <is>
          <t>MJ-RAW-0014</t>
        </is>
      </c>
      <c r="B15" t="inlineStr">
        <is>
          <t>梅见产品体验反馈</t>
        </is>
      </c>
      <c r="C15" t="inlineStr">
        <is>
          <t>PRJ001</t>
        </is>
      </c>
      <c r="D15" t="inlineStr">
        <is>
          <t>梅见</t>
        </is>
      </c>
      <c r="E15" t="inlineStr">
        <is>
          <t>感觉像喝药一样[呃R]</t>
        </is>
      </c>
      <c r="F15" t="inlineStr">
        <is>
          <t>来源：小红书平台用户评论</t>
        </is>
      </c>
      <c r="G15" t="inlineStr">
        <is>
          <t>小红书</t>
        </is>
      </c>
      <c r="H15" s="2" t="str">
        <f>=HYPERLINK("http://数据未收集", "数据未收集")</f>
        <v>数据未收集</v>
      </c>
      <c r="I15" s="3">
        <v>45954</v>
      </c>
      <c r="J15" s="4">
        <v>46241</v>
      </c>
      <c r="K15" t="inlineStr">
        <is>
          <t>梅见 青梅酒 口感 评价</t>
        </is>
      </c>
      <c r="L15">
        <v>35</v>
      </c>
      <c r="M15" t="inlineStr">
        <is>
          <t>MJ-XHS-U-008</t>
        </is>
      </c>
      <c r="N15" t="inlineStr">
        <is>
          <t>公开评论</t>
        </is>
      </c>
      <c r="O15"/>
      <c r="P15" t="inlineStr">
        <is>
          <t>【原始编号】MJPE004
【笔记发布日期】2025-10-03
【初步标签】药味、负面口感</t>
        </is>
      </c>
      <c r="Q15" t="inlineStr">
        <is>
          <t>目标品牌</t>
        </is>
      </c>
      <c r="R15"/>
      <c r="S15"/>
    </row>
    <row r="16" ht="25.5" customHeight="1">
      <c r="A16" t="inlineStr">
        <is>
          <t>MJ-RAW-0015</t>
        </is>
      </c>
      <c r="B16" t="inlineStr">
        <is>
          <t>梅见产品体验反馈</t>
        </is>
      </c>
      <c r="C16" t="inlineStr">
        <is>
          <t>PRJ001</t>
        </is>
      </c>
      <c r="D16" t="inlineStr">
        <is>
          <t>梅见</t>
        </is>
      </c>
      <c r="E16" t="inlineStr">
        <is>
          <t>这个呀，我加柠檬汁和雪碧，或者➕酸梅汤和蔓越莓利口酒</t>
        </is>
      </c>
      <c r="F16" t="inlineStr">
        <is>
          <t>来源：小红书平台用户评论</t>
        </is>
      </c>
      <c r="G16" t="inlineStr">
        <is>
          <t>小红书</t>
        </is>
      </c>
      <c r="H16" s="2" t="str">
        <f>=HYPERLINK("http://数据未收集", "数据未收集")</f>
        <v>数据未收集</v>
      </c>
      <c r="I16" s="3">
        <v>46149</v>
      </c>
      <c r="J16" s="4">
        <v>46241</v>
      </c>
      <c r="K16" t="inlineStr">
        <is>
          <t>梅见 青梅酒 口感 评价</t>
        </is>
      </c>
      <c r="L16">
        <v>16</v>
      </c>
      <c r="M16" t="inlineStr">
        <is>
          <t>MJ-XHS-U-009</t>
        </is>
      </c>
      <c r="N16" t="inlineStr">
        <is>
          <t>公开评论</t>
        </is>
      </c>
      <c r="O16"/>
      <c r="P16" t="inlineStr">
        <is>
          <t>【原始编号】MJPE005
【笔记发布日期】2026-05-07
【初步标签】调饮、配方分享、内容共创</t>
        </is>
      </c>
      <c r="Q16" t="inlineStr">
        <is>
          <t>目标品牌</t>
        </is>
      </c>
      <c r="R16"/>
      <c r="S16"/>
    </row>
    <row r="17" ht="25.5" customHeight="1">
      <c r="A17" t="inlineStr">
        <is>
          <t>MJ-RAW-0016</t>
        </is>
      </c>
      <c r="B17" t="inlineStr">
        <is>
          <t>梅见产品体验反馈</t>
        </is>
      </c>
      <c r="C17" t="inlineStr">
        <is>
          <t>PRJ001</t>
        </is>
      </c>
      <c r="D17" t="inlineStr">
        <is>
          <t>梅见</t>
        </is>
      </c>
      <c r="E17" t="inlineStr">
        <is>
          <t>但是...工业酒精味道</t>
        </is>
      </c>
      <c r="F17" t="inlineStr">
        <is>
          <t>来源：小红书平台用户评论</t>
        </is>
      </c>
      <c r="G17" t="inlineStr">
        <is>
          <t>小红书</t>
        </is>
      </c>
      <c r="H17" s="2" t="str">
        <f>=HYPERLINK("http://数据未收集", "数据未收集")</f>
        <v>数据未收集</v>
      </c>
      <c r="I17" s="3">
        <v>46153</v>
      </c>
      <c r="J17" s="4">
        <v>46241</v>
      </c>
      <c r="K17" t="inlineStr">
        <is>
          <t>梅见 青梅酒 口感 评价</t>
        </is>
      </c>
      <c r="L17">
        <v>25</v>
      </c>
      <c r="M17" t="inlineStr">
        <is>
          <t>MJ-XHS-U-010</t>
        </is>
      </c>
      <c r="N17" t="inlineStr">
        <is>
          <t>公开评论</t>
        </is>
      </c>
      <c r="O17"/>
      <c r="P17" t="inlineStr">
        <is>
          <t>【原始编号】MJPE006
【笔记发布日期】2026-05-07
【初步标签】工业酒精感、负面口感</t>
        </is>
      </c>
      <c r="Q17" t="inlineStr">
        <is>
          <t>目标品牌</t>
        </is>
      </c>
      <c r="R17"/>
      <c r="S17"/>
    </row>
    <row r="18" ht="25.5" customHeight="1">
      <c r="A18" t="inlineStr">
        <is>
          <t>MJ-RAW-0017</t>
        </is>
      </c>
      <c r="B18" t="inlineStr">
        <is>
          <t>梅见产品体验反馈</t>
        </is>
      </c>
      <c r="C18" t="inlineStr">
        <is>
          <t>PRJ001</t>
        </is>
      </c>
      <c r="D18" t="inlineStr">
        <is>
          <t>梅见</t>
        </is>
      </c>
      <c r="E18" t="inlineStr">
        <is>
          <t>怼气泡水 无敌好喝</t>
        </is>
      </c>
      <c r="F18" t="inlineStr">
        <is>
          <t>来源：小红书平台用户评论</t>
        </is>
      </c>
      <c r="G18" t="inlineStr">
        <is>
          <t>小红书</t>
        </is>
      </c>
      <c r="H18" s="2" t="str">
        <f>=HYPERLINK("http://数据未收集", "数据未收集")</f>
        <v>数据未收集</v>
      </c>
      <c r="I18" s="3">
        <v>46078</v>
      </c>
      <c r="J18" s="4">
        <v>46241</v>
      </c>
      <c r="K18" t="inlineStr">
        <is>
          <t>梅见 青梅酒 口感 评价</t>
        </is>
      </c>
      <c r="L18">
        <v>5</v>
      </c>
      <c r="M18" t="inlineStr">
        <is>
          <t>MJ-XHS-U-011</t>
        </is>
      </c>
      <c r="N18" t="inlineStr">
        <is>
          <t>公开评论</t>
        </is>
      </c>
      <c r="O18"/>
      <c r="P18" t="inlineStr">
        <is>
          <t>【原始编号】MJPE007
【笔记发布日期】2026-02-21
【初步标签】气泡水调饮、口感改善</t>
        </is>
      </c>
      <c r="Q18" t="inlineStr">
        <is>
          <t>目标品牌</t>
        </is>
      </c>
      <c r="R18"/>
      <c r="S18"/>
    </row>
    <row r="19" ht="25.5" customHeight="1">
      <c r="A19" t="inlineStr">
        <is>
          <t>MJ-RAW-0018</t>
        </is>
      </c>
      <c r="B19" t="inlineStr">
        <is>
          <t>梅见产品体验反馈</t>
        </is>
      </c>
      <c r="C19" t="inlineStr">
        <is>
          <t>PRJ001</t>
        </is>
      </c>
      <c r="D19" t="inlineStr">
        <is>
          <t>梅见</t>
        </is>
      </c>
      <c r="E19" t="inlineStr">
        <is>
          <t>别单喝很伤胃的，这个兑汽水好一点，醒目就挺好喝！而且比例是酒少汽水多一点，也不涨肚子！但是每次喝梅见胃都要痛好几天，前几天刚喝了兑汽水胃没事，后面半瓶没兑直接喝的给我整吐了</t>
        </is>
      </c>
      <c r="F19" t="inlineStr">
        <is>
          <t>来源：小红书平台用户评论</t>
        </is>
      </c>
      <c r="G19" t="inlineStr">
        <is>
          <t>小红书</t>
        </is>
      </c>
      <c r="H19" s="2" t="str">
        <f>=HYPERLINK("http://数据未收集", "数据未收集")</f>
        <v>数据未收集</v>
      </c>
      <c r="I19" s="3">
        <v>46080</v>
      </c>
      <c r="J19" s="4">
        <v>46241</v>
      </c>
      <c r="K19" t="inlineStr">
        <is>
          <t>梅见 青梅酒 口感 评价</t>
        </is>
      </c>
      <c r="L19">
        <v>4</v>
      </c>
      <c r="M19" t="inlineStr">
        <is>
          <t>MJ-XHS-U-012</t>
        </is>
      </c>
      <c r="N19" t="inlineStr">
        <is>
          <t>公开评论</t>
        </is>
      </c>
      <c r="O19"/>
      <c r="P19" t="inlineStr">
        <is>
          <t>【原始编号】MJPE008
【笔记发布日期】2026-02-21
【初步标签】单饮负担、调饮改善、身体反应自述</t>
        </is>
      </c>
      <c r="Q19" t="inlineStr">
        <is>
          <t>目标品牌</t>
        </is>
      </c>
      <c r="R19"/>
      <c r="S19"/>
    </row>
    <row r="20" ht="25.5" customHeight="1">
      <c r="A20" t="inlineStr">
        <is>
          <t>MJ-RAW-0019</t>
        </is>
      </c>
      <c r="B20" t="inlineStr">
        <is>
          <t>梅见产品体验反馈</t>
        </is>
      </c>
      <c r="C20" t="inlineStr">
        <is>
          <t>PRJ001</t>
        </is>
      </c>
      <c r="D20" t="inlineStr">
        <is>
          <t>梅见</t>
        </is>
      </c>
      <c r="E20" t="inlineStr">
        <is>
          <t>单喝梅见真的很难喝</t>
        </is>
      </c>
      <c r="F20" t="inlineStr">
        <is>
          <t>来源：小红书平台用户评论</t>
        </is>
      </c>
      <c r="G20" t="inlineStr">
        <is>
          <t>小红书</t>
        </is>
      </c>
      <c r="H20" s="2" t="str">
        <f>=HYPERLINK("http://数据未收集", "数据未收集")</f>
        <v>数据未收集</v>
      </c>
      <c r="I20" s="3">
        <v>46079</v>
      </c>
      <c r="J20" s="4">
        <v>46241</v>
      </c>
      <c r="K20" t="inlineStr">
        <is>
          <t>梅见 青梅酒 口感 评价</t>
        </is>
      </c>
      <c r="L20">
        <v>8</v>
      </c>
      <c r="M20" t="inlineStr">
        <is>
          <t>MJ-XHS-U-013</t>
        </is>
      </c>
      <c r="N20" t="inlineStr">
        <is>
          <t>公开评论</t>
        </is>
      </c>
      <c r="O20"/>
      <c r="P20" t="inlineStr">
        <is>
          <t>【原始编号】MJPE009
【笔记发布日期】2026-01-25
【初步标签】单喝难入口</t>
        </is>
      </c>
      <c r="Q20" t="inlineStr">
        <is>
          <t>目标品牌</t>
        </is>
      </c>
      <c r="R20"/>
      <c r="S20"/>
    </row>
    <row r="21" ht="25.5" customHeight="1">
      <c r="A21" t="inlineStr">
        <is>
          <t>MJ-RAW-0020</t>
        </is>
      </c>
      <c r="B21" t="inlineStr">
        <is>
          <t>梅见产品体验反馈</t>
        </is>
      </c>
      <c r="C21" t="inlineStr">
        <is>
          <t>PRJ001</t>
        </is>
      </c>
      <c r="D21" t="inlineStr">
        <is>
          <t>梅见</t>
        </is>
      </c>
      <c r="E21" t="inlineStr">
        <is>
          <t>这个也要调吗，可能，我单喝也不好喝</t>
        </is>
      </c>
      <c r="F21" t="inlineStr">
        <is>
          <t>来源：小红书平台用户评论</t>
        </is>
      </c>
      <c r="G21" t="inlineStr">
        <is>
          <t>小红书</t>
        </is>
      </c>
      <c r="H21" s="2" t="str">
        <f>=HYPERLINK("http://数据未收集", "数据未收集")</f>
        <v>数据未收集</v>
      </c>
      <c r="I21" s="3">
        <v>46057</v>
      </c>
      <c r="J21" s="4">
        <v>46241</v>
      </c>
      <c r="K21" t="inlineStr">
        <is>
          <t>梅见 青梅酒 口感 评价</t>
        </is>
      </c>
      <c r="L21">
        <v>3</v>
      </c>
      <c r="M21" t="inlineStr">
        <is>
          <t>MJ-XHS-U-014</t>
        </is>
      </c>
      <c r="N21" t="inlineStr">
        <is>
          <t>公开评论</t>
        </is>
      </c>
      <c r="O21"/>
      <c r="P21" t="inlineStr">
        <is>
          <t>【原始编号】MJPE010
【笔记发布日期】2026-01-25
【初步标签】调饮门槛、单喝难入口</t>
        </is>
      </c>
      <c r="Q21" t="inlineStr">
        <is>
          <t>目标品牌</t>
        </is>
      </c>
      <c r="R21"/>
      <c r="S21"/>
    </row>
    <row r="22" ht="25.5" customHeight="1">
      <c r="A22" t="inlineStr">
        <is>
          <t>MJ-RAW-0021</t>
        </is>
      </c>
      <c r="B22" t="inlineStr">
        <is>
          <t>梅见产品体验反馈</t>
        </is>
      </c>
      <c r="C22" t="inlineStr">
        <is>
          <t>PRJ001</t>
        </is>
      </c>
      <c r="D22" t="inlineStr">
        <is>
          <t>梅见多口味尝鲜组合</t>
        </is>
      </c>
      <c r="E22" t="inlineStr">
        <is>
          <t>这款150毫升的小瓶梅见实在是太可爱啦，对于一个梅见迷来说，小瓶刚刚好，一次喝完，不怕会变味，7种味道，本人最喜欢烟熏风味的，超酸的也不错，送的山岩杯颜值也很高！</t>
        </is>
      </c>
      <c r="F22" t="inlineStr">
        <is>
          <t>梅见青梅酒6种口味组合｜多口味尝鲜组合150mL×8瓶｜页面未展示数字星级｜未显示追评标识</t>
        </is>
      </c>
      <c r="G22" t="inlineStr">
        <is>
          <t>京东</t>
        </is>
      </c>
      <c r="H22" s="2" t="str">
        <f>=HYPERLINK("http://数据未收集", "数据未收集")</f>
        <v>数据未收集</v>
      </c>
      <c r="I22" s="3">
        <v>46235</v>
      </c>
      <c r="J22" s="4">
        <v>46241</v>
      </c>
      <c r="K22" t="inlineStr">
        <is>
          <t>梅见青梅酒</t>
        </is>
      </c>
      <c r="L22"/>
      <c r="M22" t="inlineStr">
        <is>
          <t>JD-U001</t>
        </is>
      </c>
      <c r="N22" t="inlineStr">
        <is>
          <t>公开评论</t>
        </is>
      </c>
      <c r="O22"/>
      <c r="P22" t="inlineStr">
        <is>
          <t>【具体平台】京东
【链接说明】商品详情页，非单条评论固定链接
【证据截图】待补充</t>
        </is>
      </c>
      <c r="Q22" t="inlineStr">
        <is>
          <t>目标品牌</t>
        </is>
      </c>
      <c r="R22"/>
      <c r="S22"/>
    </row>
    <row r="23" ht="25.5" customHeight="1">
      <c r="A23" t="inlineStr">
        <is>
          <t>MJ-RAW-0022</t>
        </is>
      </c>
      <c r="B23" t="inlineStr">
        <is>
          <t>梅见产品体验反馈</t>
        </is>
      </c>
      <c r="C23" t="inlineStr">
        <is>
          <t>PRJ001</t>
        </is>
      </c>
      <c r="D23" t="inlineStr">
        <is>
          <t>梅见青梅酒6种口味组合</t>
        </is>
      </c>
      <c r="E23" t="inlineStr">
        <is>
          <t>收到这瓶青梅酒特意冰了一晚，倒出来色泽偏浅黄很干净。入口先是梅子酸香接着是淡淡酒甜，尾味不涩不苦。加了冰块喝更解腻，吃完油腻外卖来一杯很顺胃，度数不高不容易上头</t>
        </is>
      </c>
      <c r="F23" t="inlineStr">
        <is>
          <t>梅见青梅酒6种口味组合｜330mL×6瓶｜页面未展示数字星级｜未显示追评标识</t>
        </is>
      </c>
      <c r="G23" t="inlineStr">
        <is>
          <t>京东</t>
        </is>
      </c>
      <c r="H23" s="2" t="str">
        <f>=HYPERLINK("http://数据未收集", "数据未收集")</f>
        <v>数据未收集</v>
      </c>
      <c r="I23" s="3">
        <v>46234</v>
      </c>
      <c r="J23" s="4">
        <v>46241</v>
      </c>
      <c r="K23" t="inlineStr">
        <is>
          <t>梅见青梅酒</t>
        </is>
      </c>
      <c r="L23"/>
      <c r="M23" t="inlineStr">
        <is>
          <t>JD-U002</t>
        </is>
      </c>
      <c r="N23" t="inlineStr">
        <is>
          <t>公开评论</t>
        </is>
      </c>
      <c r="O23"/>
      <c r="P23" t="inlineStr">
        <is>
          <t>【具体平台】京东
【链接说明】商品详情页，非单条评论固定链接
【证据截图】待补充</t>
        </is>
      </c>
      <c r="Q23" t="inlineStr">
        <is>
          <t>目标品牌</t>
        </is>
      </c>
      <c r="R23"/>
      <c r="S23"/>
    </row>
    <row r="24" ht="25.5" customHeight="1">
      <c r="A24" t="inlineStr">
        <is>
          <t>MJ-RAW-0023</t>
        </is>
      </c>
      <c r="B24" t="inlineStr">
        <is>
          <t>梅见产品体验反馈</t>
        </is>
      </c>
      <c r="C24" t="inlineStr">
        <is>
          <t>PRJ001</t>
        </is>
      </c>
      <c r="D24" t="inlineStr">
        <is>
          <t>梅见多口味尝鲜组合</t>
        </is>
      </c>
      <c r="E24" t="inlineStr">
        <is>
          <t>味道酸甜平衡：很好喝口感顺滑度：好喝酒精度数：刚刚好香气浓郁度：香</t>
        </is>
      </c>
      <c r="F24" t="inlineStr">
        <is>
          <t>梅见青梅酒6种口味组合｜多口味尝鲜组合150mL×8瓶｜页面未展示数字星级｜未显示追评标识</t>
        </is>
      </c>
      <c r="G24" t="inlineStr">
        <is>
          <t>京东</t>
        </is>
      </c>
      <c r="H24" s="2" t="str">
        <f>=HYPERLINK("http://数据未收集", "数据未收集")</f>
        <v>数据未收集</v>
      </c>
      <c r="I24" s="3">
        <v>46232</v>
      </c>
      <c r="J24" s="4">
        <v>46241</v>
      </c>
      <c r="K24" t="inlineStr">
        <is>
          <t>梅见青梅酒</t>
        </is>
      </c>
      <c r="L24"/>
      <c r="M24" t="inlineStr">
        <is>
          <t>JD-U003</t>
        </is>
      </c>
      <c r="N24" t="inlineStr">
        <is>
          <t>公开评论</t>
        </is>
      </c>
      <c r="O24"/>
      <c r="P24" t="inlineStr">
        <is>
          <t>【具体平台】京东
【链接说明】商品详情页，非单条评论固定链接
【证据截图】待补充</t>
        </is>
      </c>
      <c r="Q24" t="inlineStr">
        <is>
          <t>目标品牌</t>
        </is>
      </c>
      <c r="R24"/>
      <c r="S24"/>
    </row>
    <row r="25" ht="25.5" customHeight="1">
      <c r="A25" t="inlineStr">
        <is>
          <t>MJ-RAW-0024</t>
        </is>
      </c>
      <c r="B25" t="inlineStr">
        <is>
          <t>梅见产品体验反馈</t>
        </is>
      </c>
      <c r="C25" t="inlineStr">
        <is>
          <t>PRJ001</t>
        </is>
      </c>
      <c r="D25" t="inlineStr">
        <is>
          <t>梅见原味</t>
        </is>
      </c>
      <c r="E25" t="inlineStr">
        <is>
          <t>梅见梅子酒酸甜恰到好处，果香浓郁清新，入口顺滑不涩，冰镇后口感更佳。它完美诠释青梅本味，佐餐解腻效果出众。瓶身简约大气，12度微醺刚刚好，轻松惬意无压力。不论是热闹聚餐还是安静独处，来上一杯都非常舒心，亲民定价却有不俗品质，已经多次回购。</t>
        </is>
      </c>
      <c r="F25" t="inlineStr">
        <is>
          <t>梅见原味青梅酒｜原味330mL×6瓶｜页面未展示数字星级｜未显示追评标识</t>
        </is>
      </c>
      <c r="G25" t="inlineStr">
        <is>
          <t>京东</t>
        </is>
      </c>
      <c r="H25" s="2" t="str">
        <f>=HYPERLINK("http://数据未收集", "数据未收集")</f>
        <v>数据未收集</v>
      </c>
      <c r="I25" s="3">
        <v>46240</v>
      </c>
      <c r="J25" s="4">
        <v>46241</v>
      </c>
      <c r="K25" t="inlineStr">
        <is>
          <t>梅见原味</t>
        </is>
      </c>
      <c r="L25"/>
      <c r="M25" t="inlineStr">
        <is>
          <t>JD-U005</t>
        </is>
      </c>
      <c r="N25" t="inlineStr">
        <is>
          <t>公开评论</t>
        </is>
      </c>
      <c r="O25"/>
      <c r="P25" t="inlineStr">
        <is>
          <t>【具体平台】京东
【链接说明】商品详情页，非单条评论固定链接
【证据截图】待补充</t>
        </is>
      </c>
      <c r="Q25" t="inlineStr">
        <is>
          <t>目标品牌</t>
        </is>
      </c>
      <c r="R25"/>
      <c r="S25"/>
    </row>
    <row r="26" ht="25.5" customHeight="1">
      <c r="A26" t="inlineStr">
        <is>
          <t>MJ-RAW-0025</t>
        </is>
      </c>
      <c r="B26" t="inlineStr">
        <is>
          <t>梅见产品体验反馈</t>
        </is>
      </c>
      <c r="C26" t="inlineStr">
        <is>
          <t>PRJ001</t>
        </is>
      </c>
      <c r="D26" t="inlineStr">
        <is>
          <t>梅见原味</t>
        </is>
      </c>
      <c r="E26" t="inlineStr">
        <is>
          <t>嗯，感觉香味还是比较清淡的，配饮料没那么好喝，本身就比较清淡了，因为酒精的酒精度也不是很大，就是喝着玩都可以。加冰以后口感很好。</t>
        </is>
      </c>
      <c r="F26" t="inlineStr">
        <is>
          <t>梅见原味青梅酒｜原味330mL×6瓶｜页面未展示数字星级｜未显示追评标识</t>
        </is>
      </c>
      <c r="G26" t="inlineStr">
        <is>
          <t>京东</t>
        </is>
      </c>
      <c r="H26" s="2" t="str">
        <f>=HYPERLINK("http://数据未收集", "数据未收集")</f>
        <v>数据未收集</v>
      </c>
      <c r="I26" s="3">
        <v>46239</v>
      </c>
      <c r="J26" s="4">
        <v>46241</v>
      </c>
      <c r="K26" t="inlineStr">
        <is>
          <t>梅见原味</t>
        </is>
      </c>
      <c r="L26"/>
      <c r="M26" t="inlineStr">
        <is>
          <t>JD-U006</t>
        </is>
      </c>
      <c r="N26" t="inlineStr">
        <is>
          <t>公开评论</t>
        </is>
      </c>
      <c r="O26"/>
      <c r="P26" t="inlineStr">
        <is>
          <t>【具体平台】京东
【链接说明】商品详情页，非单条评论固定链接
【证据截图】待补充</t>
        </is>
      </c>
      <c r="Q26" t="inlineStr">
        <is>
          <t>目标品牌</t>
        </is>
      </c>
      <c r="R26"/>
      <c r="S26"/>
    </row>
    <row r="27" ht="25.5" customHeight="1">
      <c r="A27" t="inlineStr">
        <is>
          <t>MJ-RAW-0026</t>
        </is>
      </c>
      <c r="B27" t="inlineStr">
        <is>
          <t>梅见产品体验反馈</t>
        </is>
      </c>
      <c r="C27" t="inlineStr">
        <is>
          <t>PRJ001</t>
        </is>
      </c>
      <c r="D27" t="inlineStr">
        <is>
          <t>梅见原味</t>
        </is>
      </c>
      <c r="E27" t="inlineStr">
        <is>
          <t>感觉烟熏的那款会比这款味道好很多，这款的话口感一般，整体喝下来还是烟熏的那个酸甜感更重一点，这款口感偏淡，反正不不太好喝感觉</t>
        </is>
      </c>
      <c r="F27" t="inlineStr">
        <is>
          <t>梅见原味青梅酒｜原味330mL×6瓶｜页面未展示数字星级｜未显示追评标识</t>
        </is>
      </c>
      <c r="G27" t="inlineStr">
        <is>
          <t>京东</t>
        </is>
      </c>
      <c r="H27" s="2" t="str">
        <f>=HYPERLINK("http://数据未收集", "数据未收集")</f>
        <v>数据未收集</v>
      </c>
      <c r="I27" s="3">
        <v>46191</v>
      </c>
      <c r="J27" s="4">
        <v>46241</v>
      </c>
      <c r="K27" t="inlineStr">
        <is>
          <t>梅见原味</t>
        </is>
      </c>
      <c r="L27"/>
      <c r="M27" t="inlineStr">
        <is>
          <t>JD-U008</t>
        </is>
      </c>
      <c r="N27" t="inlineStr">
        <is>
          <t>公开评论</t>
        </is>
      </c>
      <c r="O27"/>
      <c r="P27" t="inlineStr">
        <is>
          <t>【具体平台】京东
【链接说明】商品详情页，非单条评论固定链接
【证据截图】待补充</t>
        </is>
      </c>
      <c r="Q27" t="inlineStr">
        <is>
          <t>目标品牌</t>
        </is>
      </c>
      <c r="R27"/>
      <c r="S27"/>
    </row>
    <row r="28" ht="25.5" customHeight="1">
      <c r="A28" t="inlineStr">
        <is>
          <t>MJ-RAW-0027</t>
        </is>
      </c>
      <c r="B28" t="inlineStr">
        <is>
          <t>梅见产品体验反馈</t>
        </is>
      </c>
      <c r="C28" t="inlineStr">
        <is>
          <t>PRJ001</t>
        </is>
      </c>
      <c r="D28" t="inlineStr">
        <is>
          <t>梅见原味</t>
        </is>
      </c>
      <c r="E28" t="inlineStr">
        <is>
          <t>工业酒精味比较重。一点点青梅的回甘</t>
        </is>
      </c>
      <c r="F28" t="inlineStr">
        <is>
          <t>梅见原味青梅酒｜原味330mL×1瓶｜页面未展示数字星级｜未显示追评标识</t>
        </is>
      </c>
      <c r="G28" t="inlineStr">
        <is>
          <t>京东</t>
        </is>
      </c>
      <c r="H28" s="2" t="str">
        <f>=HYPERLINK("http://数据未收集", "数据未收集")</f>
        <v>数据未收集</v>
      </c>
      <c r="I28" s="3">
        <v>46189</v>
      </c>
      <c r="J28" s="4">
        <v>46241</v>
      </c>
      <c r="K28" t="inlineStr">
        <is>
          <t>梅见原味</t>
        </is>
      </c>
      <c r="L28"/>
      <c r="M28" t="inlineStr">
        <is>
          <t>JD-U009</t>
        </is>
      </c>
      <c r="N28" t="inlineStr">
        <is>
          <t>公开评论</t>
        </is>
      </c>
      <c r="O28"/>
      <c r="P28" t="inlineStr">
        <is>
          <t>【具体平台】京东
【链接说明】商品详情页，非单条评论固定链接
【证据截图】待补充</t>
        </is>
      </c>
      <c r="Q28" t="inlineStr">
        <is>
          <t>目标品牌</t>
        </is>
      </c>
      <c r="R28"/>
      <c r="S28"/>
    </row>
    <row r="29" ht="25.5" customHeight="1">
      <c r="A29" t="inlineStr">
        <is>
          <t>MJ-RAW-0028</t>
        </is>
      </c>
      <c r="B29" t="inlineStr">
        <is>
          <t>梅见产品体验反馈</t>
        </is>
      </c>
      <c r="C29" t="inlineStr">
        <is>
          <t>PRJ001</t>
        </is>
      </c>
      <c r="D29" t="inlineStr">
        <is>
          <t>梅见金桂</t>
        </is>
      </c>
      <c r="E29" t="inlineStr">
        <is>
          <t>喝完嘴里真的有留香，淡淡的果香挺持久的 🍵冰过之后口感更清爽，甜度也刚好，不腻包装很用心，送人也体面，会回购 👍 👍</t>
        </is>
      </c>
      <c r="F29" t="inlineStr">
        <is>
          <t>梅见金桂青梅酒｜金桂150mL×1瓶｜页面未展示数字星级｜未显示追评标识</t>
        </is>
      </c>
      <c r="G29" t="inlineStr">
        <is>
          <t>京东</t>
        </is>
      </c>
      <c r="H29" s="2" t="str">
        <f>=HYPERLINK("http://数据未收集", "数据未收集")</f>
        <v>数据未收集</v>
      </c>
      <c r="I29" s="3">
        <v>46240</v>
      </c>
      <c r="J29" s="4">
        <v>46241</v>
      </c>
      <c r="K29" t="inlineStr">
        <is>
          <t>梅见金桂</t>
        </is>
      </c>
      <c r="L29"/>
      <c r="M29" t="inlineStr">
        <is>
          <t>JD-U010</t>
        </is>
      </c>
      <c r="N29" t="inlineStr">
        <is>
          <t>公开评论</t>
        </is>
      </c>
      <c r="O29"/>
      <c r="P29" t="inlineStr">
        <is>
          <t>【具体平台】京东
【链接说明】商品详情页，非单条评论固定链接
【证据截图】待补充</t>
        </is>
      </c>
      <c r="Q29" t="inlineStr">
        <is>
          <t>目标品牌</t>
        </is>
      </c>
      <c r="R29"/>
      <c r="S29"/>
    </row>
    <row r="30" ht="25.5" customHeight="1">
      <c r="A30" t="inlineStr">
        <is>
          <t>TB-20260809-036</t>
        </is>
      </c>
      <c r="B30" t="inlineStr">
        <is>
          <t>梅见产品体验反馈</t>
        </is>
      </c>
      <c r="C30" t="inlineStr">
        <is>
          <t>PRJ001</t>
        </is>
      </c>
      <c r="D30" t="inlineStr">
        <is>
          <t>梅见｜12度发酵330ml</t>
        </is>
      </c>
      <c r="E30" t="inlineStr">
        <is>
          <t>果酒颜色正，喝起来顺口，喝着酸溜溜。</t>
        </is>
      </c>
      <c r="F30" t="inlineStr">
        <is>
          <t>品牌：梅见｜商品/规格：12度发酵330ml｜SKU：681094845930</t>
        </is>
      </c>
      <c r="G30" t="inlineStr">
        <is>
          <t>淘宝</t>
        </is>
      </c>
      <c r="H30" s="2" t="str">
        <f>=HYPERLINK("https://detail.tmall.com/item.htm?id=681094845930", "https://detail.tmall.com/item.htm?id=681094845930")</f>
        <v>https://detail.tmall.com/item.htm?id=681094845930</v>
      </c>
      <c r="I30" s="3">
        <v>46207</v>
      </c>
      <c r="J30" s="4">
        <v>46243</v>
      </c>
      <c r="K30" t="inlineStr">
        <is>
          <t>梅见 青梅酒 商品评价</t>
        </is>
      </c>
      <c r="L30"/>
      <c r="M30" t="inlineStr">
        <is>
          <t>TB-U-20260809-036</t>
        </is>
      </c>
      <c r="N30" t="inlineStr">
        <is>
          <t>公开评论</t>
        </is>
      </c>
      <c r="O30"/>
      <c r="P30" t="inlineStr">
        <is>
          <t>情绪粗标：中性；主题粗标：外观；入口感；酸度；梅见旗舰店商品评价；未记录用户名；已排除商家回复；评价页未展示评论点赞/有用数，点赞数留空</t>
        </is>
      </c>
      <c r="Q30" t="inlineStr">
        <is>
          <t>目标品牌</t>
        </is>
      </c>
      <c r="R30"/>
      <c r="S30"/>
    </row>
    <row r="31" ht="25.5" customHeight="1">
      <c r="A31" t="inlineStr">
        <is>
          <t>MJ-RAW-0032</t>
        </is>
      </c>
      <c r="B31" t="inlineStr">
        <is>
          <t>梅见产品体验反馈</t>
        </is>
      </c>
      <c r="C31" t="inlineStr">
        <is>
          <t>PRJ001</t>
        </is>
      </c>
      <c r="D31" t="inlineStr">
        <is>
          <t>梅见12度超酸150ml</t>
        </is>
      </c>
      <c r="E31" t="inlineStr">
        <is>
          <t>单喝有点酸，兑过元气森林葡萄水和水溶C西柚，味道都不错，还有淡淡的梅子香，好喝不辣口（没有照片了，已经喝完了）</t>
        </is>
      </c>
      <c r="F31" t="inlineStr">
        <is>
          <t>梅见旗舰店｜超酸梅见及时光梅多口味商品｜已购：12度超酸梅见150ml</t>
        </is>
      </c>
      <c r="G31" t="inlineStr">
        <is>
          <t>淘宝</t>
        </is>
      </c>
      <c r="H31" s="2" t="str">
        <f>=HYPERLINK("https://detail.tmall.com/item.htm?id=720970105698", "https://detail.tmall.com/item.htm?id=720970105698")</f>
        <v>https://detail.tmall.com/item.htm?id=720970105698</v>
      </c>
      <c r="I31" s="3">
        <v>46218</v>
      </c>
      <c r="J31" s="4">
        <v>46241</v>
      </c>
      <c r="K31" t="inlineStr">
        <is>
          <t>梅见超酸青梅酒</t>
        </is>
      </c>
      <c r="L31"/>
      <c r="M31" t="inlineStr">
        <is>
          <t>TB-U004</t>
        </is>
      </c>
      <c r="N31" t="inlineStr">
        <is>
          <t>公开评论</t>
        </is>
      </c>
      <c r="O31"/>
      <c r="P31" t="inlineStr">
        <is>
          <t>【原始编号】TB-MJ-004
【具体平台】淘宝/天猫
【链接说明】商品详情页，非单条评论固定链接</t>
        </is>
      </c>
      <c r="Q31" t="inlineStr">
        <is>
          <t>目标品牌</t>
        </is>
      </c>
      <c r="R31"/>
      <c r="S31"/>
    </row>
    <row r="32" ht="25.5" customHeight="1">
      <c r="A32" t="inlineStr">
        <is>
          <t>MJ-RAW-0033</t>
        </is>
      </c>
      <c r="B32" t="inlineStr">
        <is>
          <t>梅见产品体验反馈</t>
        </is>
      </c>
      <c r="C32" t="inlineStr">
        <is>
          <t>PRJ001</t>
        </is>
      </c>
      <c r="D32" t="inlineStr">
        <is>
          <t>时光梅8度山楂味220ml</t>
        </is>
      </c>
      <c r="E32" t="inlineStr">
        <is>
          <t>我感觉有点酸，不太适合喜欢甜口的人。</t>
        </is>
      </c>
      <c r="F32" t="inlineStr">
        <is>
          <t>梅见旗舰店｜超酸梅见及时光梅多口味商品｜已购：8度时光梅山楂味220ml</t>
        </is>
      </c>
      <c r="G32" t="inlineStr">
        <is>
          <t>淘宝</t>
        </is>
      </c>
      <c r="H32" s="2" t="str">
        <f>=HYPERLINK("https://detail.tmall.com/item.htm?id=720970105698", "https://detail.tmall.com/item.htm?id=720970105698")</f>
        <v>https://detail.tmall.com/item.htm?id=720970105698</v>
      </c>
      <c r="I32" s="3">
        <v>46236</v>
      </c>
      <c r="J32" s="4">
        <v>46241</v>
      </c>
      <c r="K32" t="inlineStr">
        <is>
          <t>梅见时光梅山楂味</t>
        </is>
      </c>
      <c r="L32"/>
      <c r="M32" t="inlineStr">
        <is>
          <t>TB-U005</t>
        </is>
      </c>
      <c r="N32" t="inlineStr">
        <is>
          <t>公开评论</t>
        </is>
      </c>
      <c r="O32"/>
      <c r="P32" t="inlineStr">
        <is>
          <t>【原始编号】TB-MJ-005
【具体平台】淘宝/天猫
【链接说明】商品详情页，非单条评论固定链接</t>
        </is>
      </c>
      <c r="Q32" t="inlineStr">
        <is>
          <t>目标品牌</t>
        </is>
      </c>
      <c r="R32"/>
      <c r="S32"/>
    </row>
    <row r="33" ht="25.5" customHeight="1">
      <c r="A33" t="inlineStr">
        <is>
          <t>MJ-RAW-0034</t>
        </is>
      </c>
      <c r="B33" t="inlineStr">
        <is>
          <t>梅见产品体验反馈</t>
        </is>
      </c>
      <c r="C33" t="inlineStr">
        <is>
          <t>PRJ001</t>
        </is>
      </c>
      <c r="D33" t="inlineStr">
        <is>
          <t>梅见12度乌梅150ml</t>
        </is>
      </c>
      <c r="E33" t="inlineStr">
        <is>
          <t>对于不能喝酒的小白来说应该还行吧，个人觉得甜度太大了</t>
        </is>
      </c>
      <c r="F33" t="inlineStr">
        <is>
          <t>梅见旗舰店｜超酸梅见及时光梅多口味商品｜已购：12度梅见乌梅150ml</t>
        </is>
      </c>
      <c r="G33" t="inlineStr">
        <is>
          <t>淘宝</t>
        </is>
      </c>
      <c r="H33" s="2" t="str">
        <f>=HYPERLINK("https://detail.tmall.com/item.htm?id=720970105698", "https://detail.tmall.com/item.htm?id=720970105698")</f>
        <v>https://detail.tmall.com/item.htm?id=720970105698</v>
      </c>
      <c r="I33" s="3">
        <v>46180</v>
      </c>
      <c r="J33" s="4">
        <v>46241</v>
      </c>
      <c r="K33" t="inlineStr">
        <is>
          <t>梅见乌梅青梅酒</t>
        </is>
      </c>
      <c r="L33"/>
      <c r="M33" t="inlineStr">
        <is>
          <t>TB-U006</t>
        </is>
      </c>
      <c r="N33" t="inlineStr">
        <is>
          <t>公开评论</t>
        </is>
      </c>
      <c r="O33"/>
      <c r="P33" t="inlineStr">
        <is>
          <t>【原始编号】TB-MJ-006
【具体平台】淘宝/天猫
【链接说明】商品详情页，非单条评论固定链接</t>
        </is>
      </c>
      <c r="Q33" t="inlineStr">
        <is>
          <t>目标品牌</t>
        </is>
      </c>
      <c r="R33"/>
      <c r="S33"/>
    </row>
    <row r="34" ht="25.5" customHeight="1">
      <c r="A34" t="inlineStr">
        <is>
          <t>MJ-RAW-0035</t>
        </is>
      </c>
      <c r="B34" t="inlineStr">
        <is>
          <t>梅见产品体验反馈</t>
        </is>
      </c>
      <c r="C34" t="inlineStr">
        <is>
          <t>PRJ001</t>
        </is>
      </c>
      <c r="D34" t="inlineStr">
        <is>
          <t>梅见金桂330ml与时光梅原味330ml组合</t>
        </is>
      </c>
      <c r="E34" t="inlineStr">
        <is>
          <t>收到果酒了，口感真的很清爽，喝着很舒服非常不错，梅见+可乐，完美</t>
        </is>
      </c>
      <c r="F34" t="inlineStr">
        <is>
          <t>梅见旗舰店｜梅见青梅酒2瓶组合｜已购：金桂梅见330ml+时光梅原味330ml</t>
        </is>
      </c>
      <c r="G34" t="inlineStr">
        <is>
          <t>淘宝</t>
        </is>
      </c>
      <c r="H34" s="2" t="str">
        <f>=HYPERLINK("https://detail.tmall.com/item.htm?id=985574698133", "https://detail.tmall.com/item.htm?id=985574698133")</f>
        <v>https://detail.tmall.com/item.htm?id=985574698133</v>
      </c>
      <c r="I34" s="3">
        <v>46231</v>
      </c>
      <c r="J34" s="4">
        <v>46241</v>
      </c>
      <c r="K34" t="inlineStr">
        <is>
          <t>梅见青梅酒2瓶组合</t>
        </is>
      </c>
      <c r="L34"/>
      <c r="M34" t="inlineStr">
        <is>
          <t>TB-U007</t>
        </is>
      </c>
      <c r="N34" t="inlineStr">
        <is>
          <t>公开评论</t>
        </is>
      </c>
      <c r="O34"/>
      <c r="P34" t="inlineStr">
        <is>
          <t>【原始编号】TB-MJ-007
【具体平台】淘宝/天猫
【链接说明】商品详情页，非单条评论固定链接</t>
        </is>
      </c>
      <c r="Q34" t="inlineStr">
        <is>
          <t>目标品牌</t>
        </is>
      </c>
      <c r="R34"/>
      <c r="S34"/>
    </row>
    <row r="35" ht="25.5" customHeight="1">
      <c r="A35" t="inlineStr">
        <is>
          <t>MJ-RAW-0036</t>
        </is>
      </c>
      <c r="B35" t="inlineStr">
        <is>
          <t>梅见产品体验反馈</t>
        </is>
      </c>
      <c r="C35" t="inlineStr">
        <is>
          <t>PRJ001</t>
        </is>
      </c>
      <c r="D35" t="inlineStr">
        <is>
          <t>梅见金桂330ml与时光梅原味330ml组合</t>
        </is>
      </c>
      <c r="E35" t="inlineStr">
        <is>
          <t>这酒度数刚刚好，喝着不冲也不淡。</t>
        </is>
      </c>
      <c r="F35" t="inlineStr">
        <is>
          <t>梅见旗舰店｜梅见青梅酒2瓶组合｜已购：金桂梅见330ml+时光梅原味330ml</t>
        </is>
      </c>
      <c r="G35" t="inlineStr">
        <is>
          <t>淘宝</t>
        </is>
      </c>
      <c r="H35" s="2" t="str">
        <f>=HYPERLINK("https://detail.tmall.com/item.htm?id=985574698133", "https://detail.tmall.com/item.htm?id=985574698133")</f>
        <v>https://detail.tmall.com/item.htm?id=985574698133</v>
      </c>
      <c r="I35" s="3">
        <v>46229</v>
      </c>
      <c r="J35" s="4">
        <v>46241</v>
      </c>
      <c r="K35" t="inlineStr">
        <is>
          <t>梅见青梅酒2瓶组合</t>
        </is>
      </c>
      <c r="L35"/>
      <c r="M35" t="inlineStr">
        <is>
          <t>TB-U008</t>
        </is>
      </c>
      <c r="N35" t="inlineStr">
        <is>
          <t>公开评论</t>
        </is>
      </c>
      <c r="O35"/>
      <c r="P35" t="inlineStr">
        <is>
          <t>【原始编号】TB-MJ-008
【具体平台】淘宝/天猫
【链接说明】商品详情页，非单条评论固定链接</t>
        </is>
      </c>
      <c r="Q35" t="inlineStr">
        <is>
          <t>目标品牌</t>
        </is>
      </c>
      <c r="R35"/>
      <c r="S35"/>
    </row>
    <row r="36" ht="25.5" customHeight="1">
      <c r="A36" t="inlineStr">
        <is>
          <t>MJ-RAW-0037</t>
        </is>
      </c>
      <c r="B36" t="inlineStr">
        <is>
          <t>梅见产品体验反馈</t>
        </is>
      </c>
      <c r="C36" t="inlineStr">
        <is>
          <t>PRJ001</t>
        </is>
      </c>
      <c r="D36" t="inlineStr">
        <is>
          <t>青柑梅见330ml与时光梅原味330ml组合</t>
        </is>
      </c>
      <c r="E36" t="inlineStr">
        <is>
          <t>除了小贵，其他没毛病，微醺最好。</t>
        </is>
      </c>
      <c r="F36" t="inlineStr">
        <is>
          <t>梅见旗舰店｜梅见青梅酒2瓶组合｜已购：青柑梅见330ml+时光梅原味330ml</t>
        </is>
      </c>
      <c r="G36" t="inlineStr">
        <is>
          <t>淘宝</t>
        </is>
      </c>
      <c r="H36" s="2" t="str">
        <f>=HYPERLINK("https://detail.tmall.com/item.htm?id=985574698133", "https://detail.tmall.com/item.htm?id=985574698133")</f>
        <v>https://detail.tmall.com/item.htm?id=985574698133</v>
      </c>
      <c r="I36" s="3">
        <v>46201</v>
      </c>
      <c r="J36" s="4">
        <v>46241</v>
      </c>
      <c r="K36" t="inlineStr">
        <is>
          <t>梅见青梅酒2瓶组合</t>
        </is>
      </c>
      <c r="L36"/>
      <c r="M36" t="inlineStr">
        <is>
          <t>TB-U009</t>
        </is>
      </c>
      <c r="N36" t="inlineStr">
        <is>
          <t>公开评论</t>
        </is>
      </c>
      <c r="O36"/>
      <c r="P36" t="inlineStr">
        <is>
          <t>【原始编号】TB-MJ-009
【具体平台】淘宝/天猫
【链接说明】商品详情页，非单条评论固定链接</t>
        </is>
      </c>
      <c r="Q36" t="inlineStr">
        <is>
          <t>目标品牌</t>
        </is>
      </c>
      <c r="R36"/>
      <c r="S36"/>
    </row>
    <row r="37" ht="25.5" customHeight="1">
      <c r="A37" t="inlineStr">
        <is>
          <t>MJ-RAW-0038</t>
        </is>
      </c>
      <c r="B37" t="inlineStr">
        <is>
          <t>梅见产品体验反馈</t>
        </is>
      </c>
      <c r="C37" t="inlineStr">
        <is>
          <t>PRJ001</t>
        </is>
      </c>
      <c r="D37" t="inlineStr">
        <is>
          <t>时光梅8度青柠佛手柑味330ml</t>
        </is>
      </c>
      <c r="E37" t="inlineStr">
        <is>
          <t>第一次买8%vol.下次再买高一点浓度的。</t>
        </is>
      </c>
      <c r="F37" t="inlineStr">
        <is>
          <t>时光梅旗舰店｜梅见时光梅酒多口味商品｜已购：青柠佛手柑味330ml两瓶</t>
        </is>
      </c>
      <c r="G37" t="inlineStr">
        <is>
          <t>淘宝</t>
        </is>
      </c>
      <c r="H37" s="2" t="str">
        <f>=HYPERLINK("https://detail.tmall.com/item.htm?id=668453338559", "https://detail.tmall.com/item.htm?id=668453338559")</f>
        <v>https://detail.tmall.com/item.htm?id=668453338559</v>
      </c>
      <c r="I37" s="3">
        <v>46229</v>
      </c>
      <c r="J37" s="4">
        <v>46241</v>
      </c>
      <c r="K37" t="inlineStr">
        <is>
          <t>梅见时光梅酒</t>
        </is>
      </c>
      <c r="L37"/>
      <c r="M37" t="inlineStr">
        <is>
          <t>TB-U010</t>
        </is>
      </c>
      <c r="N37" t="inlineStr">
        <is>
          <t>公开评论</t>
        </is>
      </c>
      <c r="O37"/>
      <c r="P37" t="inlineStr">
        <is>
          <t>【原始编号】TB-MJ-010
【具体平台】淘宝/天猫
【链接说明】商品详情页，非单条评论固定链接</t>
        </is>
      </c>
      <c r="Q37" t="inlineStr">
        <is>
          <t>目标品牌</t>
        </is>
      </c>
      <c r="R37"/>
      <c r="S37"/>
    </row>
    <row r="38" ht="25.5" customHeight="1">
      <c r="A38" t="inlineStr">
        <is>
          <t>MJ-RAW-0039</t>
        </is>
      </c>
      <c r="B38" t="inlineStr">
        <is>
          <t>梅见产品体验反馈</t>
        </is>
      </c>
      <c r="C38" t="inlineStr">
        <is>
          <t>PRJ001</t>
        </is>
      </c>
      <c r="D38" t="inlineStr">
        <is>
          <t>时光梅8度杨梅味330ml</t>
        </is>
      </c>
      <c r="E38" t="inlineStr">
        <is>
          <t>喝完确实有点微醺，挺舒服的，适合放松时喝。</t>
        </is>
      </c>
      <c r="F38" t="inlineStr">
        <is>
          <t>时光梅旗舰店｜梅见时光梅酒多口味商品｜已购：杨梅味330ml两瓶</t>
        </is>
      </c>
      <c r="G38" t="inlineStr">
        <is>
          <t>淘宝</t>
        </is>
      </c>
      <c r="H38" s="2" t="str">
        <f>=HYPERLINK("https://detail.tmall.com/item.htm?id=668453338559", "https://detail.tmall.com/item.htm?id=668453338559")</f>
        <v>https://detail.tmall.com/item.htm?id=668453338559</v>
      </c>
      <c r="I38" s="3">
        <v>46167</v>
      </c>
      <c r="J38" s="4">
        <v>46241</v>
      </c>
      <c r="K38" t="inlineStr">
        <is>
          <t>梅见时光梅酒</t>
        </is>
      </c>
      <c r="L38"/>
      <c r="M38" t="inlineStr">
        <is>
          <t>TB-U011</t>
        </is>
      </c>
      <c r="N38" t="inlineStr">
        <is>
          <t>公开评论</t>
        </is>
      </c>
      <c r="O38"/>
      <c r="P38" t="inlineStr">
        <is>
          <t>【原始编号】TB-MJ-011
【具体平台】淘宝/天猫
【链接说明】商品详情页，非单条评论固定链接</t>
        </is>
      </c>
      <c r="Q38" t="inlineStr">
        <is>
          <t>目标品牌</t>
        </is>
      </c>
      <c r="R38"/>
      <c r="S38"/>
    </row>
    <row r="39" ht="25.5" customHeight="1">
      <c r="A39" t="inlineStr">
        <is>
          <t>MJ-RAW-0040</t>
        </is>
      </c>
      <c r="B39" t="inlineStr">
        <is>
          <t>梅见产品体验反馈</t>
        </is>
      </c>
      <c r="C39" t="inlineStr">
        <is>
          <t>PRJ001</t>
        </is>
      </c>
      <c r="D39" t="inlineStr">
        <is>
          <t>时光梅8度青梅味与杨梅味330ml组合</t>
        </is>
      </c>
      <c r="E39" t="inlineStr">
        <is>
          <t>还不错，青梅的味道好喝点，其他的不喜欢</t>
        </is>
      </c>
      <c r="F39" t="inlineStr">
        <is>
          <t>时光梅旗舰店｜梅见时光梅酒多口味商品｜已购：青梅味+杨梅味330ml</t>
        </is>
      </c>
      <c r="G39" t="inlineStr">
        <is>
          <t>淘宝</t>
        </is>
      </c>
      <c r="H39" s="2" t="str">
        <f>=HYPERLINK("https://detail.tmall.com/item.htm?id=668453338559", "https://detail.tmall.com/item.htm?id=668453338559")</f>
        <v>https://detail.tmall.com/item.htm?id=668453338559</v>
      </c>
      <c r="I39" s="3">
        <v>46119</v>
      </c>
      <c r="J39" s="4">
        <v>46241</v>
      </c>
      <c r="K39" t="inlineStr">
        <is>
          <t>梅见时光梅酒</t>
        </is>
      </c>
      <c r="L39"/>
      <c r="M39" t="inlineStr">
        <is>
          <t>TB-U012</t>
        </is>
      </c>
      <c r="N39" t="inlineStr">
        <is>
          <t>公开评论</t>
        </is>
      </c>
      <c r="O39"/>
      <c r="P39" t="inlineStr">
        <is>
          <t>【原始编号】TB-MJ-012
【具体平台】淘宝/天猫
【链接说明】商品详情页，非单条评论固定链接</t>
        </is>
      </c>
      <c r="Q39" t="inlineStr">
        <is>
          <t>目标品牌</t>
        </is>
      </c>
      <c r="R39"/>
      <c r="S39"/>
    </row>
    <row r="40" ht="25.5" customHeight="1">
      <c r="A40" t="inlineStr">
        <is>
          <t>MJ-RAW-0041</t>
        </is>
      </c>
      <c r="B40" t="inlineStr">
        <is>
          <t>梅见产品体验反馈</t>
        </is>
      </c>
      <c r="C40" t="inlineStr">
        <is>
          <t>PRJ001</t>
        </is>
      </c>
      <c r="D40" t="inlineStr">
        <is>
          <t>梅见</t>
        </is>
      </c>
      <c r="E40" t="inlineStr">
        <is>
          <t>那个玫瑰花醋我买的为啥巨酸[听歌][流泪]我当时买了好几瓶，酸得我想哭[听歌][听歌]疯狂加蜂蜜也很酸[听歌][听歌][听歌]</t>
        </is>
      </c>
      <c r="F40" t="inlineStr">
        <is>
          <t>来源：抖音平台用户评论</t>
        </is>
      </c>
      <c r="G40" t="inlineStr">
        <is>
          <t>抖音</t>
        </is>
      </c>
      <c r="H40" s="2" t="str">
        <f>=HYPERLINK("https://www.douyin.com/search/%E6%A2%85%E8%A7%81%E9%9D%92%E6%A2%85%E9%85%92?modal_id=7630325990690194419&amp;type=video", "https://www.douyin.com/search/%E6%A2%85%E8%A7%81%E9%9D%92%E6%A2%85%E9%85%92?modal_id=7630325990690194419&amp;type=video")</f>
        <v>https://www.douyin.com/search/%E6%A2%85%E8%A7%81%E9%9D%92%E6%A2%85%E9%85%92?modal_id=7630325990690194419&amp;type=video</v>
      </c>
      <c r="I40" s="3">
        <v>46143</v>
      </c>
      <c r="J40" s="4">
        <v>46241</v>
      </c>
      <c r="K40" t="inlineStr">
        <is>
          <t>梅见 青梅酒 口感 评价</t>
        </is>
      </c>
      <c r="L40">
        <v>15</v>
      </c>
      <c r="M40" t="inlineStr">
        <is>
          <t>MJ-DY-U-004</t>
        </is>
      </c>
      <c r="N40" t="inlineStr">
        <is>
          <t>公开评论</t>
        </is>
      </c>
      <c r="O40"/>
      <c r="P40" t="inlineStr">
        <is>
          <t>社媒平台初筛语料，待进一步清洗与分析</t>
        </is>
      </c>
      <c r="Q40" t="inlineStr">
        <is>
          <t>目标品牌</t>
        </is>
      </c>
      <c r="R40"/>
      <c r="S40"/>
    </row>
    <row r="41" ht="25.5" customHeight="1">
      <c r="A41" t="inlineStr">
        <is>
          <t>MJ-RAW-0042</t>
        </is>
      </c>
      <c r="B41" t="inlineStr">
        <is>
          <t>梅见产品体验反馈</t>
        </is>
      </c>
      <c r="C41" t="inlineStr">
        <is>
          <t>PRJ001</t>
        </is>
      </c>
      <c r="D41" t="inlineStr">
        <is>
          <t>梅见</t>
        </is>
      </c>
      <c r="E41" t="inlineStr">
        <is>
          <t>哥 我来了 梅见空口喝就好喝 兑葡萄味的气泡水和养乐多也不错 推荐</t>
        </is>
      </c>
      <c r="F41" t="inlineStr">
        <is>
          <t>来源：抖音平台用户评论</t>
        </is>
      </c>
      <c r="G41" t="inlineStr">
        <is>
          <t>抖音</t>
        </is>
      </c>
      <c r="H41" s="2" t="str">
        <f>=HYPERLINK("https://www.douyin.com/jingxuan/search/%E6%A2%85%E8%A7%81?aid=5d675a76-bfbf-47be-9dd6-a3198f6b9bc9&amp;modal_id=7618135895257924594&amp;type=general", "https://www.douyin.com/jingxuan/search/%E6%A2%85%E8%A7%81?aid=5d675a76-bfbf-47be-9dd6-a3198f6b9bc9&amp;modal_id=7618135895257924594&amp;type=general")</f>
        <v>https://www.douyin.com/jingxuan/search/%E6%A2%85%E8%A7%81?aid=5d675a76-bfbf-47be-9dd6-a3198f6b9bc9&amp;modal_id=7618135895257924594&amp;type=general</v>
      </c>
      <c r="I41" s="3">
        <v>46098</v>
      </c>
      <c r="J41" s="4">
        <v>46241</v>
      </c>
      <c r="K41" t="inlineStr">
        <is>
          <t>梅见 青梅酒 口感 评价</t>
        </is>
      </c>
      <c r="L41">
        <v>7</v>
      </c>
      <c r="M41" t="inlineStr">
        <is>
          <t>MJ-DY-U-005</t>
        </is>
      </c>
      <c r="N41" t="inlineStr">
        <is>
          <t>公开评论</t>
        </is>
      </c>
      <c r="O41"/>
      <c r="P41" t="inlineStr">
        <is>
          <t>社媒平台初筛语料，待进一步清洗与分析</t>
        </is>
      </c>
      <c r="Q41" t="inlineStr">
        <is>
          <t>目标品牌</t>
        </is>
      </c>
      <c r="R41"/>
      <c r="S41"/>
    </row>
    <row r="42" ht="25.5" customHeight="1">
      <c r="A42" t="inlineStr">
        <is>
          <t>MJ-RAW-0043</t>
        </is>
      </c>
      <c r="B42" t="inlineStr">
        <is>
          <t>梅见产品体验反馈</t>
        </is>
      </c>
      <c r="C42" t="inlineStr">
        <is>
          <t>PRJ001</t>
        </is>
      </c>
      <c r="D42" t="inlineStr">
        <is>
          <t>梅见</t>
        </is>
      </c>
      <c r="E42" t="inlineStr">
        <is>
          <t xml:space="preserve">1.水溶c+茉莉花茶+梅见 比例1:1:1 </t>
        </is>
      </c>
      <c r="F42" t="inlineStr">
        <is>
          <t>来源：抖音平台用户评论</t>
        </is>
      </c>
      <c r="G42" t="inlineStr">
        <is>
          <t>抖音</t>
        </is>
      </c>
      <c r="H42" s="2" t="str">
        <f>=HYPERLINK("https://www.douyin.com/jingxuan/search/%E6%A2%85%E8%A7%81%E9%9D%92%E6%A2%85%E6%9E%9C%E9%85%92?aid=31cba53f-1ead-41a4-8ab2-c89001b4512f&amp;modal_id=7546647568504179968&amp;type=general", "https://www.douyin.com/jingxuan/search/%E6%A2%85%E8%A7%81%E9%9D%92%E6%A2%85%E6%9E%9C%E9%85%92?aid=31cba53f-1ead-41a4-8ab2-c89001b4512f&amp;modal_id=7546647568504179968&amp;type=general")</f>
        <v>https://www.douyin.com/jingxuan/search/%E6%A2%85%E8%A7%81%E9%9D%92%E6%A2%85%E6%9E%9C%E9%85%92?aid=31cba53f-1ead-41a4-8ab2-c89001b4512f&amp;modal_id=7546647568504179968&amp;type=general</v>
      </c>
      <c r="I42" s="3">
        <v>45906</v>
      </c>
      <c r="J42" s="4">
        <v>46241</v>
      </c>
      <c r="K42" t="inlineStr">
        <is>
          <t>梅见 青梅酒 口感 评价</t>
        </is>
      </c>
      <c r="L42">
        <v>216</v>
      </c>
      <c r="M42" t="inlineStr">
        <is>
          <t>MJ-DY-U-006</t>
        </is>
      </c>
      <c r="N42" t="inlineStr">
        <is>
          <t>公开评论</t>
        </is>
      </c>
      <c r="O42"/>
      <c r="P42" t="inlineStr">
        <is>
          <t>社媒平台初筛语料，待进一步清洗与分析</t>
        </is>
      </c>
      <c r="Q42" t="inlineStr">
        <is>
          <t>目标品牌</t>
        </is>
      </c>
      <c r="R42"/>
      <c r="S42"/>
    </row>
    <row r="43" ht="25.5" customHeight="1">
      <c r="A43" t="inlineStr">
        <is>
          <t>MJ-RAW-0044</t>
        </is>
      </c>
      <c r="B43" t="inlineStr">
        <is>
          <t>梅见产品体验反馈</t>
        </is>
      </c>
      <c r="C43" t="inlineStr">
        <is>
          <t>PRJ001</t>
        </is>
      </c>
      <c r="D43" t="inlineStr">
        <is>
          <t>梅见</t>
        </is>
      </c>
      <c r="E43" t="inlineStr">
        <is>
          <t xml:space="preserve">2.青梅绿茶+梅见 比例3:1 </t>
        </is>
      </c>
      <c r="F43" t="inlineStr">
        <is>
          <t>来源：抖音平台用户评论</t>
        </is>
      </c>
      <c r="G43" t="inlineStr">
        <is>
          <t>抖音</t>
        </is>
      </c>
      <c r="H43" s="2" t="str">
        <f>=HYPERLINK("http://数据未收集", "数据未收集")</f>
        <v>数据未收集</v>
      </c>
      <c r="I43" s="3"/>
      <c r="J43" s="4">
        <v>46243</v>
      </c>
      <c r="K43" t="inlineStr">
        <is>
          <t>梅见 青梅酒 口感 评价</t>
        </is>
      </c>
      <c r="L43"/>
      <c r="M43" t="inlineStr">
        <is>
          <t>MJ-DY-U-007</t>
        </is>
      </c>
      <c r="N43" t="inlineStr">
        <is>
          <t>公开评论</t>
        </is>
      </c>
      <c r="O43"/>
      <c r="P43" t="inlineStr">
        <is>
          <t>社媒平台初筛语料，待进一步清洗与分析</t>
        </is>
      </c>
      <c r="Q43" t="inlineStr">
        <is>
          <t>目标品牌</t>
        </is>
      </c>
      <c r="R43"/>
      <c r="S43"/>
    </row>
    <row r="44" ht="25.5" customHeight="1">
      <c r="A44" t="inlineStr">
        <is>
          <t>MJ-RAW-0045</t>
        </is>
      </c>
      <c r="B44" t="inlineStr">
        <is>
          <t>梅见产品体验反馈</t>
        </is>
      </c>
      <c r="C44" t="inlineStr">
        <is>
          <t>PRJ001</t>
        </is>
      </c>
      <c r="D44" t="inlineStr">
        <is>
          <t>梅见</t>
        </is>
      </c>
      <c r="E44" t="inlineStr">
        <is>
          <t xml:space="preserve">3.酸梅汤+梅见 比例2:1 </t>
        </is>
      </c>
      <c r="F44" t="inlineStr">
        <is>
          <t>来源：抖音平台用户评论</t>
        </is>
      </c>
      <c r="G44" t="inlineStr">
        <is>
          <t>抖音</t>
        </is>
      </c>
      <c r="H44" s="2" t="str">
        <f>=HYPERLINK("http://数据未收集", "数据未收集")</f>
        <v>数据未收集</v>
      </c>
      <c r="I44" s="3"/>
      <c r="J44" s="4">
        <v>46243</v>
      </c>
      <c r="K44" t="inlineStr">
        <is>
          <t>梅见 青梅酒 口感 评价</t>
        </is>
      </c>
      <c r="L44"/>
      <c r="M44" t="inlineStr">
        <is>
          <t>MJ-DY-U-008</t>
        </is>
      </c>
      <c r="N44" t="inlineStr">
        <is>
          <t>公开评论</t>
        </is>
      </c>
      <c r="O44"/>
      <c r="P44" t="inlineStr">
        <is>
          <t>社媒平台初筛语料，待进一步清洗与分析</t>
        </is>
      </c>
      <c r="Q44" t="inlineStr">
        <is>
          <t>目标品牌</t>
        </is>
      </c>
      <c r="R44"/>
      <c r="S44"/>
    </row>
    <row r="45" ht="25.5" customHeight="1">
      <c r="A45" t="inlineStr">
        <is>
          <t>MJ-RAW-0046</t>
        </is>
      </c>
      <c r="B45" t="inlineStr">
        <is>
          <t>梅见产品体验反馈</t>
        </is>
      </c>
      <c r="C45" t="inlineStr">
        <is>
          <t>PRJ001</t>
        </is>
      </c>
      <c r="D45" t="inlineStr">
        <is>
          <t>梅见</t>
        </is>
      </c>
      <c r="E45" t="inlineStr">
        <is>
          <t xml:space="preserve">4.冰红茶+梅见 比例1:1 </t>
        </is>
      </c>
      <c r="F45" t="inlineStr">
        <is>
          <t>来源：抖音平台用户评论</t>
        </is>
      </c>
      <c r="G45" t="inlineStr">
        <is>
          <t>抖音</t>
        </is>
      </c>
      <c r="H45" s="2" t="str">
        <f>=HYPERLINK("http://数据未收集", "数据未收集")</f>
        <v>数据未收集</v>
      </c>
      <c r="I45" s="3"/>
      <c r="J45" s="4">
        <v>46243</v>
      </c>
      <c r="K45" t="inlineStr">
        <is>
          <t>梅见 青梅酒 口感 评价</t>
        </is>
      </c>
      <c r="L45"/>
      <c r="M45" t="inlineStr">
        <is>
          <t>MJ-DY-U-009</t>
        </is>
      </c>
      <c r="N45" t="inlineStr">
        <is>
          <t>公开评论</t>
        </is>
      </c>
      <c r="O45"/>
      <c r="P45" t="inlineStr">
        <is>
          <t>社媒平台初筛语料，待进一步清洗与分析</t>
        </is>
      </c>
      <c r="Q45" t="inlineStr">
        <is>
          <t>目标品牌</t>
        </is>
      </c>
      <c r="R45"/>
      <c r="S45"/>
    </row>
    <row r="46" ht="25.5" customHeight="1">
      <c r="A46" t="inlineStr">
        <is>
          <t>MJ-RAW-0047</t>
        </is>
      </c>
      <c r="B46" t="inlineStr">
        <is>
          <t>梅见产品体验反馈</t>
        </is>
      </c>
      <c r="C46" t="inlineStr">
        <is>
          <t>PRJ001</t>
        </is>
      </c>
      <c r="D46" t="inlineStr">
        <is>
          <t>梅见</t>
        </is>
      </c>
      <c r="E46" t="inlineStr">
        <is>
          <t>避雷:乌龙茶+梅见脉动+梅见</t>
        </is>
      </c>
      <c r="F46" t="inlineStr">
        <is>
          <t>来源：抖音平台用户评论</t>
        </is>
      </c>
      <c r="G46" t="inlineStr">
        <is>
          <t>抖音</t>
        </is>
      </c>
      <c r="H46" s="2" t="str">
        <f>=HYPERLINK("http://数据未收集", "数据未收集")</f>
        <v>数据未收集</v>
      </c>
      <c r="I46" s="3"/>
      <c r="J46" s="4">
        <v>46243</v>
      </c>
      <c r="K46" t="inlineStr">
        <is>
          <t>梅见 青梅酒 口感 评价</t>
        </is>
      </c>
      <c r="L46"/>
      <c r="M46" t="inlineStr">
        <is>
          <t>MJ-DY-U-010</t>
        </is>
      </c>
      <c r="N46" t="inlineStr">
        <is>
          <t>公开评论</t>
        </is>
      </c>
      <c r="O46"/>
      <c r="P46" t="inlineStr">
        <is>
          <t>社媒平台初筛语料，待进一步清洗与分析</t>
        </is>
      </c>
      <c r="Q46" t="inlineStr">
        <is>
          <t>目标品牌</t>
        </is>
      </c>
      <c r="R46"/>
      <c r="S46"/>
    </row>
    <row r="47" ht="25.5" customHeight="1">
      <c r="A47" t="inlineStr">
        <is>
          <t>XHS-SOC-0020</t>
        </is>
      </c>
      <c r="B47" t="inlineStr">
        <is>
          <t>梅见产品体验反馈</t>
        </is>
      </c>
      <c r="C47" t="inlineStr">
        <is>
          <t>PRJ001</t>
        </is>
      </c>
      <c r="D47" t="inlineStr">
        <is>
          <t>梅见</t>
        </is>
      </c>
      <c r="E47" t="inlineStr">
        <is>
          <t>自己泡的梅酒、国外的梅酒、梅见都试过，梅见我的口粮酒了。入口很顺，高粱酒的香味也够</t>
        </is>
      </c>
      <c r="F47" t="inlineStr">
        <is>
          <t>梅见成分分析-浓缩汁勾兑｜2025-10-01｜小红书</t>
        </is>
      </c>
      <c r="G47" t="inlineStr">
        <is>
          <t>小红书</t>
        </is>
      </c>
      <c r="H47" s="2" t="str">
        <f>=HYPERLINK("https://www.xiaohongshu.com/search_result/梅见测评", "https://www.xiaohongshu.com/search_result/梅见测评")</f>
        <v>https://www.xiaohongshu.com/search_result/梅见测评</v>
      </c>
      <c r="I47" s="3">
        <v>45941</v>
      </c>
      <c r="J47" s="4">
        <v>46243</v>
      </c>
      <c r="K47" t="inlineStr">
        <is>
          <t>梅见测评</t>
        </is>
      </c>
      <c r="L47">
        <v>84</v>
      </c>
      <c r="M47" t="inlineStr">
        <is>
          <t>XHS-U0099</t>
        </is>
      </c>
      <c r="N47" t="inlineStr">
        <is>
          <t>公开评论</t>
        </is>
      </c>
      <c r="O47"/>
      <c r="P47" t="inlineStr">
        <is>
          <t>原始:2025-10-11·重庆；当前为搜索结果页链接，正式入库前需补原笔记链接</t>
        </is>
      </c>
      <c r="Q47" t="inlineStr">
        <is>
          <t>目标品牌</t>
        </is>
      </c>
      <c r="R47"/>
      <c r="S47"/>
    </row>
    <row r="48" ht="25.5" customHeight="1">
      <c r="A48" t="inlineStr">
        <is>
          <t>XHS-SOC-0021</t>
        </is>
      </c>
      <c r="B48" t="inlineStr">
        <is>
          <t>梅见产品体验反馈</t>
        </is>
      </c>
      <c r="C48" t="inlineStr">
        <is>
          <t>PRJ001</t>
        </is>
      </c>
      <c r="D48" t="inlineStr">
        <is>
          <t>梅见</t>
        </is>
      </c>
      <c r="E48" t="inlineStr">
        <is>
          <t>你相信我姐妹，这个比原味好喝太多</t>
        </is>
      </c>
      <c r="F48" t="inlineStr">
        <is>
          <t>梅见加柠檬汁雪碧酸梅汤蔓越莓｜2025-05-07｜小红书</t>
        </is>
      </c>
      <c r="G48" t="inlineStr">
        <is>
          <t>小红书</t>
        </is>
      </c>
      <c r="H48" s="2" t="str">
        <f>=HYPERLINK("https://www.xiaohongshu.com/explore/69fc7e9a000000003502d2e8", "https://www.xiaohongshu.com/explore/69fc7e9a000000003502d2e8")</f>
        <v>https://www.xiaohongshu.com/explore/69fc7e9a000000003502d2e8</v>
      </c>
      <c r="I48" s="3">
        <v>46160</v>
      </c>
      <c r="J48" s="4">
        <v>46243</v>
      </c>
      <c r="K48" t="inlineStr">
        <is>
          <t>梅见兑饮料</t>
        </is>
      </c>
      <c r="L48">
        <v>3</v>
      </c>
      <c r="M48" t="inlineStr">
        <is>
          <t>XHS-U0031</t>
        </is>
      </c>
      <c r="N48" t="inlineStr">
        <is>
          <t>公开评论</t>
        </is>
      </c>
      <c r="O48"/>
      <c r="P48" t="inlineStr">
        <is>
          <t>原始:05-18;年份推定·广东</t>
        </is>
      </c>
      <c r="Q48" t="inlineStr">
        <is>
          <t>目标品牌</t>
        </is>
      </c>
      <c r="R48"/>
      <c r="S48"/>
    </row>
    <row r="49" ht="25.5" customHeight="1">
      <c r="A49" t="inlineStr">
        <is>
          <t>XHS-SOC-0025</t>
        </is>
      </c>
      <c r="B49" t="inlineStr">
        <is>
          <t>梅见产品体验反馈</t>
        </is>
      </c>
      <c r="C49" t="inlineStr">
        <is>
          <t>PRJ001</t>
        </is>
      </c>
      <c r="D49" t="inlineStr">
        <is>
          <t>梅见</t>
        </is>
      </c>
      <c r="E49" t="inlineStr">
        <is>
          <t>好难喝这个直接喝</t>
        </is>
      </c>
      <c r="F49" t="inlineStr">
        <is>
          <t>梅见加柠檬汁雪碧酸梅汤蔓越莓｜2025-05-07｜小红书</t>
        </is>
      </c>
      <c r="G49" t="inlineStr">
        <is>
          <t>小红书</t>
        </is>
      </c>
      <c r="H49" s="2" t="str">
        <f>=HYPERLINK("https://www.xiaohongshu.com/explore/69fc7e9a000000003502d2e8", "https://www.xiaohongshu.com/explore/69fc7e9a000000003502d2e8")</f>
        <v>https://www.xiaohongshu.com/explore/69fc7e9a000000003502d2e8</v>
      </c>
      <c r="I49" s="3">
        <v>46161</v>
      </c>
      <c r="J49" s="4">
        <v>46243</v>
      </c>
      <c r="K49" t="inlineStr">
        <is>
          <t>梅见兑饮料</t>
        </is>
      </c>
      <c r="L49">
        <v>1</v>
      </c>
      <c r="M49" t="inlineStr">
        <is>
          <t>XHS-U0020</t>
        </is>
      </c>
      <c r="N49" t="inlineStr">
        <is>
          <t>公开评论</t>
        </is>
      </c>
      <c r="O49"/>
      <c r="P49" t="inlineStr">
        <is>
          <t>原始:05-19;年份推定·广东</t>
        </is>
      </c>
      <c r="Q49" t="inlineStr">
        <is>
          <t>目标品牌</t>
        </is>
      </c>
      <c r="R49"/>
      <c r="S49"/>
    </row>
    <row r="50" ht="25.5" customHeight="1">
      <c r="A50" t="inlineStr">
        <is>
          <t>XHS-SOC-0026</t>
        </is>
      </c>
      <c r="B50" t="inlineStr">
        <is>
          <t>梅见产品体验反馈</t>
        </is>
      </c>
      <c r="C50" t="inlineStr">
        <is>
          <t>PRJ001</t>
        </is>
      </c>
      <c r="D50" t="inlineStr">
        <is>
          <t>梅见</t>
        </is>
      </c>
      <c r="E50" t="inlineStr">
        <is>
          <t>直接喝呀，这个又不难喝</t>
        </is>
      </c>
      <c r="F50" t="inlineStr">
        <is>
          <t>梅见加柠檬汁雪碧酸梅汤蔓越莓｜2025-05-07｜小红书</t>
        </is>
      </c>
      <c r="G50" t="inlineStr">
        <is>
          <t>小红书</t>
        </is>
      </c>
      <c r="H50" s="2" t="str">
        <f>=HYPERLINK("https://www.xiaohongshu.com/explore/69fc7e9a000000003502d2e8", "https://www.xiaohongshu.com/explore/69fc7e9a000000003502d2e8")</f>
        <v>https://www.xiaohongshu.com/explore/69fc7e9a000000003502d2e8</v>
      </c>
      <c r="I50" s="3">
        <v>46152</v>
      </c>
      <c r="J50" s="4">
        <v>46243</v>
      </c>
      <c r="K50" t="inlineStr">
        <is>
          <t>梅见兑饮料</t>
        </is>
      </c>
      <c r="L50">
        <v>1</v>
      </c>
      <c r="M50" t="inlineStr">
        <is>
          <t>XHS-U0026</t>
        </is>
      </c>
      <c r="N50" t="inlineStr">
        <is>
          <t>公开评论</t>
        </is>
      </c>
      <c r="O50"/>
      <c r="P50" t="inlineStr">
        <is>
          <t>原始:05-10;年份推定·广东</t>
        </is>
      </c>
      <c r="Q50" t="inlineStr">
        <is>
          <t>目标品牌</t>
        </is>
      </c>
      <c r="R50"/>
      <c r="S50"/>
    </row>
    <row r="51" ht="25.5" customHeight="1">
      <c r="A51" t="inlineStr">
        <is>
          <t>XHS-SOC-0027</t>
        </is>
      </c>
      <c r="B51" t="inlineStr">
        <is>
          <t>梅见产品体验反馈</t>
        </is>
      </c>
      <c r="C51" t="inlineStr">
        <is>
          <t>PRJ001</t>
        </is>
      </c>
      <c r="D51" t="inlineStr">
        <is>
          <t>梅见</t>
        </is>
      </c>
      <c r="E51" t="inlineStr">
        <is>
          <t>水溶c那个西柚味的配这个我觉得好好喝</t>
        </is>
      </c>
      <c r="F51" t="inlineStr">
        <is>
          <t>梅见加柠檬汁雪碧酸梅汤蔓越莓｜2025-05-07｜小红书</t>
        </is>
      </c>
      <c r="G51" t="inlineStr">
        <is>
          <t>小红书</t>
        </is>
      </c>
      <c r="H51" s="2" t="str">
        <f>=HYPERLINK("https://www.xiaohongshu.com/explore/69fc7e9a000000003502d2e8", "https://www.xiaohongshu.com/explore/69fc7e9a000000003502d2e8")</f>
        <v>https://www.xiaohongshu.com/explore/69fc7e9a000000003502d2e8</v>
      </c>
      <c r="I51" s="3">
        <v>46156</v>
      </c>
      <c r="J51" s="4">
        <v>46243</v>
      </c>
      <c r="K51" t="inlineStr">
        <is>
          <t>梅见兑饮料</t>
        </is>
      </c>
      <c r="L51">
        <v>1</v>
      </c>
      <c r="M51" t="inlineStr">
        <is>
          <t>XHS-U0042</t>
        </is>
      </c>
      <c r="N51" t="inlineStr">
        <is>
          <t>公开评论</t>
        </is>
      </c>
      <c r="O51"/>
      <c r="P51" t="inlineStr">
        <is>
          <t>原始:05-14;年份推定·重庆</t>
        </is>
      </c>
      <c r="Q51" t="inlineStr">
        <is>
          <t>目标品牌</t>
        </is>
      </c>
      <c r="R51"/>
      <c r="S51"/>
    </row>
    <row r="52" ht="25.5" customHeight="1">
      <c r="A52" t="inlineStr">
        <is>
          <t>XHS-SOC-0030</t>
        </is>
      </c>
      <c r="B52" t="inlineStr">
        <is>
          <t>梅见产品体验反馈</t>
        </is>
      </c>
      <c r="C52" t="inlineStr">
        <is>
          <t>PRJ001</t>
        </is>
      </c>
      <c r="D52" t="inlineStr">
        <is>
          <t>低度酒</t>
        </is>
      </c>
      <c r="E52" t="inlineStr">
        <is>
          <t>当喝酒已经没有酒味的时候 不过这种时候已经晚了</t>
        </is>
      </c>
      <c r="F52" t="inlineStr">
        <is>
          <t>如何能醺而不挂｜2025-07-05｜小红书</t>
        </is>
      </c>
      <c r="G52" t="inlineStr">
        <is>
          <t>小红书</t>
        </is>
      </c>
      <c r="H52" s="2" t="str">
        <f>=HYPERLINK("https://www.xiaohongshu.com/search_result/不想喝醉", "https://www.xiaohongshu.com/search_result/不想喝醉")</f>
        <v>https://www.xiaohongshu.com/search_result/不想喝醉</v>
      </c>
      <c r="I52" s="3">
        <v>46219</v>
      </c>
      <c r="J52" s="4">
        <v>46243</v>
      </c>
      <c r="K52" t="inlineStr">
        <is>
          <t>不想喝醉</t>
        </is>
      </c>
      <c r="L52">
        <v>37</v>
      </c>
      <c r="M52" t="inlineStr">
        <is>
          <t>XHS-U0290</t>
        </is>
      </c>
      <c r="N52" t="inlineStr">
        <is>
          <t>公开评论</t>
        </is>
      </c>
      <c r="O52"/>
      <c r="P52" t="inlineStr">
        <is>
          <t>原始:07-16;年份推定·福建；当前为搜索结果页链接，正式入库前需补原笔记链接</t>
        </is>
      </c>
      <c r="Q52" t="inlineStr">
        <is>
          <t>低度酒品类</t>
        </is>
      </c>
      <c r="R52"/>
      <c r="S52"/>
    </row>
    <row r="53" ht="25.5" customHeight="1">
      <c r="A53" t="inlineStr">
        <is>
          <t>XHS-SOC-0036</t>
        </is>
      </c>
      <c r="B53" t="inlineStr">
        <is>
          <t>梅见产品体验反馈</t>
        </is>
      </c>
      <c r="C53" t="inlineStr">
        <is>
          <t>PRJ001</t>
        </is>
      </c>
      <c r="D53" t="inlineStr">
        <is>
          <t>梅见</t>
        </is>
      </c>
      <c r="E53" t="inlineStr">
        <is>
          <t>桂花的，加个冰球直接喝，好喝，原味的就算了</t>
        </is>
      </c>
      <c r="F53" t="inlineStr">
        <is>
          <t>梅见加柠檬汁雪碧酸梅汤蔓越莓｜2025-05-07｜小红书</t>
        </is>
      </c>
      <c r="G53" t="inlineStr">
        <is>
          <t>小红书</t>
        </is>
      </c>
      <c r="H53" s="2" t="str">
        <f>=HYPERLINK("https://www.xiaohongshu.com/explore/69fc7e9a000000003502d2e8", "https://www.xiaohongshu.com/explore/69fc7e9a000000003502d2e8")</f>
        <v>https://www.xiaohongshu.com/explore/69fc7e9a000000003502d2e8</v>
      </c>
      <c r="I53" s="3">
        <v>46181</v>
      </c>
      <c r="J53" s="4">
        <v>46243</v>
      </c>
      <c r="K53" t="inlineStr">
        <is>
          <t>梅见兑饮料</t>
        </is>
      </c>
      <c r="L53">
        <v>0</v>
      </c>
      <c r="M53" t="inlineStr">
        <is>
          <t>XHS-U0015</t>
        </is>
      </c>
      <c r="N53" t="inlineStr">
        <is>
          <t>公开评论</t>
        </is>
      </c>
      <c r="O53"/>
      <c r="P53" t="inlineStr">
        <is>
          <t>原始:06-08;年份推定·江西</t>
        </is>
      </c>
      <c r="Q53" t="inlineStr">
        <is>
          <t>目标品牌</t>
        </is>
      </c>
      <c r="R53"/>
      <c r="S53"/>
    </row>
    <row r="54" ht="25.5" customHeight="1">
      <c r="A54" t="inlineStr">
        <is>
          <t>XHS-SOC-0037</t>
        </is>
      </c>
      <c r="B54" t="inlineStr">
        <is>
          <t>梅见产品体验反馈</t>
        </is>
      </c>
      <c r="C54" t="inlineStr">
        <is>
          <t>PRJ001</t>
        </is>
      </c>
      <c r="D54" t="inlineStr">
        <is>
          <t>梅见</t>
        </is>
      </c>
      <c r="E54" t="inlineStr">
        <is>
          <t>说白了，单喝不好喝。加什么都好喝</t>
        </is>
      </c>
      <c r="F54" t="inlineStr">
        <is>
          <t>梅见加柠檬汁雪碧酸梅汤蔓越莓｜2025-05-07｜小红书</t>
        </is>
      </c>
      <c r="G54" t="inlineStr">
        <is>
          <t>小红书</t>
        </is>
      </c>
      <c r="H54" s="2" t="str">
        <f>=HYPERLINK("https://www.xiaohongshu.com/explore/69fc7e9a000000003502d2e8", "https://www.xiaohongshu.com/explore/69fc7e9a000000003502d2e8")</f>
        <v>https://www.xiaohongshu.com/explore/69fc7e9a000000003502d2e8</v>
      </c>
      <c r="I54" s="3">
        <v>46163</v>
      </c>
      <c r="J54" s="4">
        <v>46243</v>
      </c>
      <c r="K54" t="inlineStr">
        <is>
          <t>梅见兑饮料</t>
        </is>
      </c>
      <c r="L54">
        <v>0</v>
      </c>
      <c r="M54" t="inlineStr">
        <is>
          <t>XHS-U0019</t>
        </is>
      </c>
      <c r="N54" t="inlineStr">
        <is>
          <t>公开评论</t>
        </is>
      </c>
      <c r="O54"/>
      <c r="P54" t="inlineStr">
        <is>
          <t>原始:05-21;年份推定·广东</t>
        </is>
      </c>
      <c r="Q54" t="inlineStr">
        <is>
          <t>目标品牌</t>
        </is>
      </c>
      <c r="R54"/>
      <c r="S54"/>
    </row>
    <row r="55" ht="25.5" customHeight="1">
      <c r="A55" t="inlineStr">
        <is>
          <t>XHS-SOC-0038</t>
        </is>
      </c>
      <c r="B55" t="inlineStr">
        <is>
          <t>梅见产品体验反馈</t>
        </is>
      </c>
      <c r="C55" t="inlineStr">
        <is>
          <t>PRJ001</t>
        </is>
      </c>
      <c r="D55" t="inlineStr">
        <is>
          <t>梅见</t>
        </is>
      </c>
      <c r="E55" t="inlineStr">
        <is>
          <t>茉莉蜜茶，4:1，或者3:2，喝起来特别清爽</t>
        </is>
      </c>
      <c r="F55" t="inlineStr">
        <is>
          <t>梅见加柠檬汁雪碧酸梅汤蔓越莓｜2025-05-07｜小红书</t>
        </is>
      </c>
      <c r="G55" t="inlineStr">
        <is>
          <t>小红书</t>
        </is>
      </c>
      <c r="H55" s="2" t="str">
        <f>=HYPERLINK("https://www.xiaohongshu.com/explore/69fc7e9a000000003502d2e8", "https://www.xiaohongshu.com/explore/69fc7e9a000000003502d2e8")</f>
        <v>https://www.xiaohongshu.com/explore/69fc7e9a000000003502d2e8</v>
      </c>
      <c r="I55" s="3">
        <v>46162</v>
      </c>
      <c r="J55" s="4">
        <v>46243</v>
      </c>
      <c r="K55" t="inlineStr">
        <is>
          <t>梅见兑饮料</t>
        </is>
      </c>
      <c r="L55">
        <v>0</v>
      </c>
      <c r="M55" t="inlineStr">
        <is>
          <t>XHS-U0021</t>
        </is>
      </c>
      <c r="N55" t="inlineStr">
        <is>
          <t>公开评论</t>
        </is>
      </c>
      <c r="O55"/>
      <c r="P55" t="inlineStr">
        <is>
          <t>原始:05-20;年份推定·广东</t>
        </is>
      </c>
      <c r="Q55" t="inlineStr">
        <is>
          <t>目标品牌</t>
        </is>
      </c>
      <c r="R55"/>
      <c r="S55"/>
    </row>
    <row r="56" ht="25.5" customHeight="1">
      <c r="A56" t="inlineStr">
        <is>
          <t>XHS-SOC-0039</t>
        </is>
      </c>
      <c r="B56" t="inlineStr">
        <is>
          <t>梅见产品体验反馈</t>
        </is>
      </c>
      <c r="C56" t="inlineStr">
        <is>
          <t>PRJ001</t>
        </is>
      </c>
      <c r="D56" t="inlineStr">
        <is>
          <t>梅见</t>
        </is>
      </c>
      <c r="E56" t="inlineStr">
        <is>
          <t>茉莉花茶，旺旺果粒多，好喝！！！！</t>
        </is>
      </c>
      <c r="F56" t="inlineStr">
        <is>
          <t>梅见加柠檬汁雪碧酸梅汤蔓越莓｜2025-05-07｜小红书</t>
        </is>
      </c>
      <c r="G56" t="inlineStr">
        <is>
          <t>小红书</t>
        </is>
      </c>
      <c r="H56" s="2" t="str">
        <f>=HYPERLINK("https://www.xiaohongshu.com/explore/69fc7e9a000000003502d2e8", "https://www.xiaohongshu.com/explore/69fc7e9a000000003502d2e8")</f>
        <v>https://www.xiaohongshu.com/explore/69fc7e9a000000003502d2e8</v>
      </c>
      <c r="I56" s="3">
        <v>46222</v>
      </c>
      <c r="J56" s="4">
        <v>46243</v>
      </c>
      <c r="K56" t="inlineStr">
        <is>
          <t>梅见兑饮料</t>
        </is>
      </c>
      <c r="L56">
        <v>0</v>
      </c>
      <c r="M56" t="inlineStr">
        <is>
          <t>XHS-U0023</t>
        </is>
      </c>
      <c r="N56" t="inlineStr">
        <is>
          <t>公开评论</t>
        </is>
      </c>
      <c r="O56"/>
      <c r="P56" t="inlineStr">
        <is>
          <t>原始:07-19;年份推定·吉林</t>
        </is>
      </c>
      <c r="Q56" t="inlineStr">
        <is>
          <t>目标品牌</t>
        </is>
      </c>
      <c r="R56"/>
      <c r="S56"/>
    </row>
    <row r="57" ht="25.5" customHeight="1">
      <c r="A57" t="inlineStr">
        <is>
          <t>XHS-SOC-0040</t>
        </is>
      </c>
      <c r="B57" t="inlineStr">
        <is>
          <t>梅见产品体验反馈</t>
        </is>
      </c>
      <c r="C57" t="inlineStr">
        <is>
          <t>PRJ001</t>
        </is>
      </c>
      <c r="D57" t="inlineStr">
        <is>
          <t>梅见</t>
        </is>
      </c>
      <c r="E57" t="inlineStr">
        <is>
          <t>我觉得要加很多冰块，很好喝</t>
        </is>
      </c>
      <c r="F57" t="inlineStr">
        <is>
          <t>梅见加柠檬汁雪碧酸梅汤蔓越莓｜2025-05-07｜小红书</t>
        </is>
      </c>
      <c r="G57" t="inlineStr">
        <is>
          <t>小红书</t>
        </is>
      </c>
      <c r="H57" s="2" t="str">
        <f>=HYPERLINK("https://www.xiaohongshu.com/explore/69fc7e9a000000003502d2e8", "https://www.xiaohongshu.com/explore/69fc7e9a000000003502d2e8")</f>
        <v>https://www.xiaohongshu.com/explore/69fc7e9a000000003502d2e8</v>
      </c>
      <c r="I57" s="3">
        <v>46170</v>
      </c>
      <c r="J57" s="4">
        <v>46243</v>
      </c>
      <c r="K57" t="inlineStr">
        <is>
          <t>梅见兑饮料</t>
        </is>
      </c>
      <c r="L57">
        <v>0</v>
      </c>
      <c r="M57" t="inlineStr">
        <is>
          <t>XHS-U0033</t>
        </is>
      </c>
      <c r="N57" t="inlineStr">
        <is>
          <t>公开评论</t>
        </is>
      </c>
      <c r="O57"/>
      <c r="P57" t="inlineStr">
        <is>
          <t>原始:05-28;年份推定·浙江</t>
        </is>
      </c>
      <c r="Q57" t="inlineStr">
        <is>
          <t>目标品牌</t>
        </is>
      </c>
      <c r="R57"/>
      <c r="S57"/>
    </row>
    <row r="58" ht="25.5" customHeight="1">
      <c r="A58" t="inlineStr">
        <is>
          <t>XHS-SOC-0041</t>
        </is>
      </c>
      <c r="B58" t="inlineStr">
        <is>
          <t>梅见产品体验反馈</t>
        </is>
      </c>
      <c r="C58" t="inlineStr">
        <is>
          <t>PRJ001</t>
        </is>
      </c>
      <c r="D58" t="inlineStr">
        <is>
          <t>梅见</t>
        </is>
      </c>
      <c r="E58" t="inlineStr">
        <is>
          <t>加青梅绿茶，我觉得挺好喝的</t>
        </is>
      </c>
      <c r="F58" t="inlineStr">
        <is>
          <t>梅见加柠檬汁雪碧酸梅汤蔓越莓｜2025-05-07｜小红书</t>
        </is>
      </c>
      <c r="G58" t="inlineStr">
        <is>
          <t>小红书</t>
        </is>
      </c>
      <c r="H58" s="2" t="str">
        <f>=HYPERLINK("https://www.xiaohongshu.com/explore/69fc7e9a000000003502d2e8", "https://www.xiaohongshu.com/explore/69fc7e9a000000003502d2e8")</f>
        <v>https://www.xiaohongshu.com/explore/69fc7e9a000000003502d2e8</v>
      </c>
      <c r="I58" s="3">
        <v>46175</v>
      </c>
      <c r="J58" s="4">
        <v>46243</v>
      </c>
      <c r="K58" t="inlineStr">
        <is>
          <t>梅见兑饮料</t>
        </is>
      </c>
      <c r="L58">
        <v>0</v>
      </c>
      <c r="M58" t="inlineStr">
        <is>
          <t>XHS-U0035</t>
        </is>
      </c>
      <c r="N58" t="inlineStr">
        <is>
          <t>公开评论</t>
        </is>
      </c>
      <c r="O58"/>
      <c r="P58" t="inlineStr">
        <is>
          <t>原始:06-02;年份推定·广东</t>
        </is>
      </c>
      <c r="Q58" t="inlineStr">
        <is>
          <t>目标品牌</t>
        </is>
      </c>
      <c r="R58"/>
      <c r="S58"/>
    </row>
    <row r="59" ht="25.5" customHeight="1">
      <c r="A59" t="inlineStr">
        <is>
          <t>XHS-SOC-0042</t>
        </is>
      </c>
      <c r="B59" t="inlineStr">
        <is>
          <t>梅见产品体验反馈</t>
        </is>
      </c>
      <c r="C59" t="inlineStr">
        <is>
          <t>PRJ001</t>
        </is>
      </c>
      <c r="D59" t="inlineStr">
        <is>
          <t>梅见</t>
        </is>
      </c>
      <c r="E59" t="inlineStr">
        <is>
          <t>自己泡啊，比买的好喝太多了</t>
        </is>
      </c>
      <c r="F59" t="inlineStr">
        <is>
          <t>除了梅见还有其他梅子酒推荐吗｜2025-07-04｜小红书</t>
        </is>
      </c>
      <c r="G59" t="inlineStr">
        <is>
          <t>小红书</t>
        </is>
      </c>
      <c r="H59" s="2" t="str">
        <f>=HYPERLINK("https://www.xiaohongshu.com/explore/6a48b570000000001603dc9b", "https://www.xiaohongshu.com/explore/6a48b570000000001603dc9b")</f>
        <v>https://www.xiaohongshu.com/explore/6a48b570000000001603dc9b</v>
      </c>
      <c r="I59" s="3">
        <v>46209</v>
      </c>
      <c r="J59" s="4">
        <v>46243</v>
      </c>
      <c r="K59" t="inlineStr">
        <is>
          <t>青梅酒推荐</t>
        </is>
      </c>
      <c r="L59">
        <v>0</v>
      </c>
      <c r="M59" t="inlineStr">
        <is>
          <t>XHS-U0200</t>
        </is>
      </c>
      <c r="N59" t="inlineStr">
        <is>
          <t>公开评论</t>
        </is>
      </c>
      <c r="O59"/>
      <c r="P59" t="inlineStr">
        <is>
          <t>原始:07-06;年份推定·四川</t>
        </is>
      </c>
      <c r="Q59" t="inlineStr">
        <is>
          <t>目标品牌</t>
        </is>
      </c>
      <c r="R59"/>
      <c r="S59"/>
    </row>
    <row r="60" ht="25.5" customHeight="1">
      <c r="A60" t="inlineStr">
        <is>
          <t>DY-SOC-0048</t>
        </is>
      </c>
      <c r="B60" t="inlineStr">
        <is>
          <t>梅见产品体验反馈</t>
        </is>
      </c>
      <c r="C60" t="inlineStr">
        <is>
          <t>PRJ001</t>
        </is>
      </c>
      <c r="D60" t="inlineStr">
        <is>
          <t>梅见</t>
        </is>
      </c>
      <c r="E60" t="inlineStr">
        <is>
          <t>喝酒对我而言就是成年人的糖水苦日子里的那点甜</t>
        </is>
      </c>
      <c r="F60" t="inlineStr">
        <is>
          <t>微醺结束一天最好方式｜2025-06-20｜抖音</t>
        </is>
      </c>
      <c r="G60" t="inlineStr">
        <is>
          <t>抖音</t>
        </is>
      </c>
      <c r="H60" s="2" t="str">
        <f>=HYPERLINK("https://www.douyin.com/video/7653362603619687025", "https://www.douyin.com/video/7653362603619687025")</f>
        <v>https://www.douyin.com/video/7653362603619687025</v>
      </c>
      <c r="I60" s="3">
        <v>46212</v>
      </c>
      <c r="J60" s="4">
        <v>46243</v>
      </c>
      <c r="K60" t="inlineStr">
        <is>
          <t>梅见青梅酒</t>
        </is>
      </c>
      <c r="L60"/>
      <c r="M60" t="inlineStr">
        <is>
          <t>DY-U0002</t>
        </is>
      </c>
      <c r="N60" t="inlineStr">
        <is>
          <t>公开评论</t>
        </is>
      </c>
      <c r="O60"/>
      <c r="P60" t="inlineStr">
        <is>
          <t>点赞数未成功识别，暂置空，禁止随机补值；原始:1月前;月份估算;原始时间未精确提取,根据页面公示时间范围估算;评论点赞数未精确提取,填写为0待人工复核</t>
        </is>
      </c>
      <c r="Q60" t="inlineStr">
        <is>
          <t>目标品牌</t>
        </is>
      </c>
      <c r="R60"/>
      <c r="S60"/>
    </row>
    <row r="61" ht="25.5" customHeight="1">
      <c r="A61" t="inlineStr">
        <is>
          <t>DY-SOC-0049</t>
        </is>
      </c>
      <c r="B61" t="inlineStr">
        <is>
          <t>梅见产品体验反馈</t>
        </is>
      </c>
      <c r="C61" t="inlineStr">
        <is>
          <t>PRJ001</t>
        </is>
      </c>
      <c r="D61" t="inlineStr">
        <is>
          <t>梅见</t>
        </is>
      </c>
      <c r="E61" t="inlineStr">
        <is>
          <t>这个酒对我而言就是成年人的糖水苦日子里的那点甜</t>
        </is>
      </c>
      <c r="F61" t="inlineStr">
        <is>
          <t>微醺结束一天最好方式｜2025-06-20｜抖音</t>
        </is>
      </c>
      <c r="G61" t="inlineStr">
        <is>
          <t>抖音</t>
        </is>
      </c>
      <c r="H61" s="2" t="str">
        <f>=HYPERLINK("https://www.douyin.com/video/7653362603619687025", "https://www.douyin.com/video/7653362603619687025")</f>
        <v>https://www.douyin.com/video/7653362603619687025</v>
      </c>
      <c r="I61" s="3">
        <v>46212</v>
      </c>
      <c r="J61" s="4">
        <v>46243</v>
      </c>
      <c r="K61" t="inlineStr">
        <is>
          <t>梅见青梅酒</t>
        </is>
      </c>
      <c r="L61"/>
      <c r="M61" t="inlineStr">
        <is>
          <t>DY-U0035</t>
        </is>
      </c>
      <c r="N61" t="inlineStr">
        <is>
          <t>公开评论</t>
        </is>
      </c>
      <c r="O61"/>
      <c r="P61" t="inlineStr">
        <is>
          <t>点赞数未成功识别，暂置空，禁止随机补值；原始:1月前;月份估算;原始时间未精确提取,根据页面公示时间范围估算;评论点赞数未精确提取,填写为0待人工复核</t>
        </is>
      </c>
      <c r="Q61" t="inlineStr">
        <is>
          <t>目标品牌</t>
        </is>
      </c>
      <c r="R61"/>
      <c r="S61"/>
    </row>
    <row r="62" ht="25.5" customHeight="1">
      <c r="A62" t="inlineStr">
        <is>
          <t>DY-SOC-0050</t>
        </is>
      </c>
      <c r="B62" t="inlineStr">
        <is>
          <t>梅见产品体验反馈</t>
        </is>
      </c>
      <c r="C62" t="inlineStr">
        <is>
          <t>PRJ001</t>
        </is>
      </c>
      <c r="D62" t="inlineStr">
        <is>
          <t>梅见</t>
        </is>
      </c>
      <c r="E62" t="inlineStr">
        <is>
          <t>红牛配劲酒好喝还是这个</t>
        </is>
      </c>
      <c r="F62" t="inlineStr">
        <is>
          <t>微醺结束一天最好方式｜2025-06-20｜抖音</t>
        </is>
      </c>
      <c r="G62" t="inlineStr">
        <is>
          <t>抖音</t>
        </is>
      </c>
      <c r="H62" s="2" t="str">
        <f>=HYPERLINK("https://www.douyin.com/video/7653362603619687025", "https://www.douyin.com/video/7653362603619687025")</f>
        <v>https://www.douyin.com/video/7653362603619687025</v>
      </c>
      <c r="I62" s="3">
        <v>46212</v>
      </c>
      <c r="J62" s="4">
        <v>46243</v>
      </c>
      <c r="K62" t="inlineStr">
        <is>
          <t>梅见青梅酒</t>
        </is>
      </c>
      <c r="L62"/>
      <c r="M62" t="inlineStr">
        <is>
          <t>DY-U0056</t>
        </is>
      </c>
      <c r="N62" t="inlineStr">
        <is>
          <t>公开评论</t>
        </is>
      </c>
      <c r="O62"/>
      <c r="P62" t="inlineStr">
        <is>
          <t>点赞数未成功识别，暂置空，禁止随机补值；原始:1月前;月份估算;原始时间未精确提取,根据页面公示时间范围估算;评论点赞数未精确提取,填写为0待人工复核</t>
        </is>
      </c>
      <c r="Q62" t="inlineStr">
        <is>
          <t>目标品牌</t>
        </is>
      </c>
      <c r="R62"/>
      <c r="S62"/>
    </row>
    <row r="63" ht="25.5" customHeight="1">
      <c r="A63" t="inlineStr">
        <is>
          <t>DY-SOC-0051</t>
        </is>
      </c>
      <c r="B63" t="inlineStr">
        <is>
          <t>梅见产品体验反馈</t>
        </is>
      </c>
      <c r="C63" t="inlineStr">
        <is>
          <t>PRJ001</t>
        </is>
      </c>
      <c r="D63" t="inlineStr">
        <is>
          <t>梅见</t>
        </is>
      </c>
      <c r="E63" t="inlineStr">
        <is>
          <t>生活就像这杯酒酸甜都有但最后回味还是有点甜就行</t>
        </is>
      </c>
      <c r="F63" t="inlineStr">
        <is>
          <t>微醺结束一天最好方式｜2025-06-20｜抖音</t>
        </is>
      </c>
      <c r="G63" t="inlineStr">
        <is>
          <t>抖音</t>
        </is>
      </c>
      <c r="H63" s="2" t="str">
        <f>=HYPERLINK("https://www.douyin.com/video/7653362603619687025", "https://www.douyin.com/video/7653362603619687025")</f>
        <v>https://www.douyin.com/video/7653362603619687025</v>
      </c>
      <c r="I63" s="3">
        <v>46212</v>
      </c>
      <c r="J63" s="4">
        <v>46243</v>
      </c>
      <c r="K63" t="inlineStr">
        <is>
          <t>梅见青梅酒</t>
        </is>
      </c>
      <c r="L63"/>
      <c r="M63" t="inlineStr">
        <is>
          <t>DY-U0057</t>
        </is>
      </c>
      <c r="N63" t="inlineStr">
        <is>
          <t>公开评论</t>
        </is>
      </c>
      <c r="O63"/>
      <c r="P63" t="inlineStr">
        <is>
          <t>点赞数未成功识别，暂置空，禁止随机补值；原始:1月前;月份估算;原始时间未精确提取,根据页面公示时间范围估算;评论点赞数未精确提取,填写为0待人工复核</t>
        </is>
      </c>
      <c r="Q63" t="inlineStr">
        <is>
          <t>目标品牌</t>
        </is>
      </c>
      <c r="R63"/>
      <c r="S63"/>
    </row>
    <row r="64" ht="25.5" customHeight="1">
      <c r="A64" t="inlineStr">
        <is>
          <t>DY-SOC-0052</t>
        </is>
      </c>
      <c r="B64" t="inlineStr">
        <is>
          <t>梅见产品体验反馈</t>
        </is>
      </c>
      <c r="C64" t="inlineStr">
        <is>
          <t>PRJ001</t>
        </is>
      </c>
      <c r="D64" t="inlineStr">
        <is>
          <t>梅见</t>
        </is>
      </c>
      <c r="E64" t="inlineStr">
        <is>
          <t>好喝爱喝棒棒的感觉</t>
        </is>
      </c>
      <c r="F64" t="inlineStr">
        <is>
          <t>微醺结束一天最好方式｜2025-06-20｜抖音</t>
        </is>
      </c>
      <c r="G64" t="inlineStr">
        <is>
          <t>抖音</t>
        </is>
      </c>
      <c r="H64" s="2" t="str">
        <f>=HYPERLINK("https://www.douyin.com/video/7653362603619687025", "https://www.douyin.com/video/7653362603619687025")</f>
        <v>https://www.douyin.com/video/7653362603619687025</v>
      </c>
      <c r="I64" s="3">
        <v>45828</v>
      </c>
      <c r="J64" s="4">
        <v>46243</v>
      </c>
      <c r="K64" t="inlineStr">
        <is>
          <t>梅见青梅酒</t>
        </is>
      </c>
      <c r="L64"/>
      <c r="M64" t="inlineStr">
        <is>
          <t>DY-U0067</t>
        </is>
      </c>
      <c r="N64" t="inlineStr">
        <is>
          <t>公开评论</t>
        </is>
      </c>
      <c r="O64"/>
      <c r="P64" t="inlineStr">
        <is>
          <t>点赞数未成功识别，暂置空，禁止随机补值；当前日期来自视频发布时间，评论发布时间未识别</t>
        </is>
      </c>
      <c r="Q64" t="inlineStr">
        <is>
          <t>目标品牌</t>
        </is>
      </c>
      <c r="R64"/>
      <c r="S64"/>
    </row>
    <row r="65" ht="25.5" customHeight="1">
      <c r="A65" t="inlineStr">
        <is>
          <t>DY-SOC-0053</t>
        </is>
      </c>
      <c r="B65" t="inlineStr">
        <is>
          <t>梅见产品体验反馈</t>
        </is>
      </c>
      <c r="C65" t="inlineStr">
        <is>
          <t>PRJ001</t>
        </is>
      </c>
      <c r="D65" t="inlineStr">
        <is>
          <t>梅见</t>
        </is>
      </c>
      <c r="E65" t="inlineStr">
        <is>
          <t>生活已经够苦了晚上不来点甜的酒怎么对得起自己</t>
        </is>
      </c>
      <c r="F65" t="inlineStr">
        <is>
          <t>微醺结束一天最好方式｜2025-06-20｜抖音</t>
        </is>
      </c>
      <c r="G65" t="inlineStr">
        <is>
          <t>抖音</t>
        </is>
      </c>
      <c r="H65" s="2" t="str">
        <f>=HYPERLINK("https://www.douyin.com/video/7653362603619687025", "https://www.douyin.com/video/7653362603619687025")</f>
        <v>https://www.douyin.com/video/7653362603619687025</v>
      </c>
      <c r="I65" s="3">
        <v>46212</v>
      </c>
      <c r="J65" s="4">
        <v>46243</v>
      </c>
      <c r="K65" t="inlineStr">
        <is>
          <t>梅见青梅酒</t>
        </is>
      </c>
      <c r="L65"/>
      <c r="M65" t="inlineStr">
        <is>
          <t>DY-U0078</t>
        </is>
      </c>
      <c r="N65" t="inlineStr">
        <is>
          <t>公开评论</t>
        </is>
      </c>
      <c r="O65"/>
      <c r="P65" t="inlineStr">
        <is>
          <t>点赞数未成功识别，暂置空，禁止随机补值；原始:1月前;月份估算;原始时间未精确提取,根据页面公示时间范围估算;评论点赞数未精确提取,填写为0待人工复核</t>
        </is>
      </c>
      <c r="Q65" t="inlineStr">
        <is>
          <t>目标品牌</t>
        </is>
      </c>
      <c r="R65"/>
      <c r="S65"/>
    </row>
    <row r="66" ht="25.5" customHeight="1">
      <c r="A66" t="inlineStr">
        <is>
          <t>DY-SOC-0054</t>
        </is>
      </c>
      <c r="B66" t="inlineStr">
        <is>
          <t>梅见产品体验反馈</t>
        </is>
      </c>
      <c r="C66" t="inlineStr">
        <is>
          <t>PRJ001</t>
        </is>
      </c>
      <c r="D66" t="inlineStr">
        <is>
          <t>梅见</t>
        </is>
      </c>
      <c r="E66" t="inlineStr">
        <is>
          <t>没想到梅见竟然有六种口味真是让人惊喜女生喝也超有感觉</t>
        </is>
      </c>
      <c r="F66" t="inlineStr">
        <is>
          <t>梅见口味大揭秘｜2025-05-23｜抖音</t>
        </is>
      </c>
      <c r="G66" t="inlineStr">
        <is>
          <t>抖音</t>
        </is>
      </c>
      <c r="H66" s="2" t="str">
        <f>=HYPERLINK("https://www.douyin.com/video/7667186302345412315", "https://www.douyin.com/video/7667186302345412315")</f>
        <v>https://www.douyin.com/video/7667186302345412315</v>
      </c>
      <c r="I66" s="3">
        <v>45800</v>
      </c>
      <c r="J66" s="4">
        <v>46243</v>
      </c>
      <c r="K66" t="inlineStr">
        <is>
          <t>梅见好喝吗</t>
        </is>
      </c>
      <c r="L66"/>
      <c r="M66" t="inlineStr">
        <is>
          <t>DY-U0083</t>
        </is>
      </c>
      <c r="N66" t="inlineStr">
        <is>
          <t>公开评论</t>
        </is>
      </c>
      <c r="O66"/>
      <c r="P66" t="inlineStr">
        <is>
          <t>点赞数未成功识别，暂置空，禁止随机补值</t>
        </is>
      </c>
      <c r="Q66" t="inlineStr">
        <is>
          <t>目标品牌</t>
        </is>
      </c>
      <c r="R66"/>
      <c r="S66"/>
    </row>
    <row r="67" ht="25.5" customHeight="1">
      <c r="A67" t="inlineStr">
        <is>
          <t>DY-SOC-0055</t>
        </is>
      </c>
      <c r="B67" t="inlineStr">
        <is>
          <t>梅见产品体验反馈</t>
        </is>
      </c>
      <c r="C67" t="inlineStr">
        <is>
          <t>PRJ001</t>
        </is>
      </c>
      <c r="D67" t="inlineStr">
        <is>
          <t>梅见</t>
        </is>
      </c>
      <c r="E67" t="inlineStr">
        <is>
          <t>酸到眯眼睛了但看着就解腻夏天来一杯肯定舒服啊</t>
        </is>
      </c>
      <c r="F67" t="inlineStr">
        <is>
          <t>梅见口味大揭秘｜2025-05-23｜抖音</t>
        </is>
      </c>
      <c r="G67" t="inlineStr">
        <is>
          <t>抖音</t>
        </is>
      </c>
      <c r="H67" s="2" t="str">
        <f>=HYPERLINK("https://www.douyin.com/video/7667186302345412315", "https://www.douyin.com/video/7667186302345412315")</f>
        <v>https://www.douyin.com/video/7667186302345412315</v>
      </c>
      <c r="I67" s="3">
        <v>45800</v>
      </c>
      <c r="J67" s="4">
        <v>46243</v>
      </c>
      <c r="K67" t="inlineStr">
        <is>
          <t>梅见好喝吗</t>
        </is>
      </c>
      <c r="L67"/>
      <c r="M67" t="inlineStr">
        <is>
          <t>DY-U0084</t>
        </is>
      </c>
      <c r="N67" t="inlineStr">
        <is>
          <t>公开评论</t>
        </is>
      </c>
      <c r="O67"/>
      <c r="P67" t="inlineStr">
        <is>
          <t>点赞数未成功识别，暂置空，禁止随机补值</t>
        </is>
      </c>
      <c r="Q67" t="inlineStr">
        <is>
          <t>目标品牌</t>
        </is>
      </c>
      <c r="R67"/>
      <c r="S67"/>
    </row>
    <row r="68" ht="25.5" customHeight="1">
      <c r="A68" t="inlineStr">
        <is>
          <t>DY-SOC-0056</t>
        </is>
      </c>
      <c r="B68" t="inlineStr">
        <is>
          <t>梅见产品体验反馈</t>
        </is>
      </c>
      <c r="C68" t="inlineStr">
        <is>
          <t>PRJ001</t>
        </is>
      </c>
      <c r="D68" t="inlineStr">
        <is>
          <t>梅见</t>
        </is>
      </c>
      <c r="E68" t="inlineStr">
        <is>
          <t>这几种口味我只喝过两种[捂脸]</t>
        </is>
      </c>
      <c r="F68" t="inlineStr">
        <is>
          <t>梅见口味大揭秘｜2025-05-23｜抖音</t>
        </is>
      </c>
      <c r="G68" t="inlineStr">
        <is>
          <t>抖音</t>
        </is>
      </c>
      <c r="H68" s="2" t="str">
        <f>=HYPERLINK("https://www.douyin.com/video/7667186302345412315", "https://www.douyin.com/video/7667186302345412315")</f>
        <v>https://www.douyin.com/video/7667186302345412315</v>
      </c>
      <c r="I68" s="3">
        <v>45800</v>
      </c>
      <c r="J68" s="4">
        <v>46243</v>
      </c>
      <c r="K68" t="inlineStr">
        <is>
          <t>梅见好喝吗</t>
        </is>
      </c>
      <c r="L68"/>
      <c r="M68" t="inlineStr">
        <is>
          <t>DY-U0086</t>
        </is>
      </c>
      <c r="N68" t="inlineStr">
        <is>
          <t>公开评论</t>
        </is>
      </c>
      <c r="O68"/>
      <c r="P68" t="inlineStr">
        <is>
          <t>点赞数未成功识别，暂置空，禁止随机补值；当前日期来自视频发布时间，评论发布时间未识别</t>
        </is>
      </c>
      <c r="Q68" t="inlineStr">
        <is>
          <t>目标品牌</t>
        </is>
      </c>
      <c r="R68"/>
      <c r="S68"/>
    </row>
    <row r="69" ht="25.5" customHeight="1">
      <c r="A69" t="inlineStr">
        <is>
          <t>DY-SOC-0057</t>
        </is>
      </c>
      <c r="B69" t="inlineStr">
        <is>
          <t>梅见产品体验反馈</t>
        </is>
      </c>
      <c r="C69" t="inlineStr">
        <is>
          <t>PRJ001</t>
        </is>
      </c>
      <c r="D69" t="inlineStr">
        <is>
          <t>梅见</t>
        </is>
      </c>
      <c r="E69" t="inlineStr">
        <is>
          <t>我还挺喜欢喝这个味道的</t>
        </is>
      </c>
      <c r="F69" t="inlineStr">
        <is>
          <t>梅见口味大揭秘｜2025-05-23｜抖音</t>
        </is>
      </c>
      <c r="G69" t="inlineStr">
        <is>
          <t>抖音</t>
        </is>
      </c>
      <c r="H69" s="2" t="str">
        <f>=HYPERLINK("https://www.douyin.com/video/7667186302345412315", "https://www.douyin.com/video/7667186302345412315")</f>
        <v>https://www.douyin.com/video/7667186302345412315</v>
      </c>
      <c r="I69" s="3">
        <v>45800</v>
      </c>
      <c r="J69" s="4">
        <v>46243</v>
      </c>
      <c r="K69" t="inlineStr">
        <is>
          <t>梅见好喝吗</t>
        </is>
      </c>
      <c r="L69"/>
      <c r="M69" t="inlineStr">
        <is>
          <t>DY-U0087</t>
        </is>
      </c>
      <c r="N69" t="inlineStr">
        <is>
          <t>公开评论</t>
        </is>
      </c>
      <c r="O69"/>
      <c r="P69" t="inlineStr">
        <is>
          <t>点赞数未成功识别，暂置空，禁止随机补值</t>
        </is>
      </c>
      <c r="Q69" t="inlineStr">
        <is>
          <t>目标品牌</t>
        </is>
      </c>
      <c r="R69"/>
      <c r="S69"/>
    </row>
    <row r="70" ht="25.5" customHeight="1">
      <c r="A70" t="inlineStr">
        <is>
          <t>DY-SOC-0058</t>
        </is>
      </c>
      <c r="B70" t="inlineStr">
        <is>
          <t>梅见产品体验反馈</t>
        </is>
      </c>
      <c r="C70" t="inlineStr">
        <is>
          <t>PRJ001</t>
        </is>
      </c>
      <c r="D70" t="inlineStr">
        <is>
          <t>梅见</t>
        </is>
      </c>
      <c r="E70" t="inlineStr">
        <is>
          <t>好喝的呀我喜欢的口味都有</t>
        </is>
      </c>
      <c r="F70" t="inlineStr">
        <is>
          <t>梅见口味大揭秘｜2025-05-23｜抖音</t>
        </is>
      </c>
      <c r="G70" t="inlineStr">
        <is>
          <t>抖音</t>
        </is>
      </c>
      <c r="H70" s="2" t="str">
        <f>=HYPERLINK("https://www.douyin.com/video/7667186302345412315", "https://www.douyin.com/video/7667186302345412315")</f>
        <v>https://www.douyin.com/video/7667186302345412315</v>
      </c>
      <c r="I70" s="3">
        <v>45800</v>
      </c>
      <c r="J70" s="4">
        <v>46243</v>
      </c>
      <c r="K70" t="inlineStr">
        <is>
          <t>梅见好喝吗</t>
        </is>
      </c>
      <c r="L70"/>
      <c r="M70" t="inlineStr">
        <is>
          <t>DY-U0088</t>
        </is>
      </c>
      <c r="N70" t="inlineStr">
        <is>
          <t>公开评论</t>
        </is>
      </c>
      <c r="O70"/>
      <c r="P70" t="inlineStr">
        <is>
          <t>点赞数未成功识别，暂置空，禁止随机补值</t>
        </is>
      </c>
      <c r="Q70" t="inlineStr">
        <is>
          <t>目标品牌</t>
        </is>
      </c>
      <c r="R70"/>
      <c r="S70"/>
    </row>
    <row r="71" ht="25.5" customHeight="1">
      <c r="A71" t="inlineStr">
        <is>
          <t>DY-SOC-0059</t>
        </is>
      </c>
      <c r="B71" t="inlineStr">
        <is>
          <t>梅见产品体验反馈</t>
        </is>
      </c>
      <c r="C71" t="inlineStr">
        <is>
          <t>PRJ001</t>
        </is>
      </c>
      <c r="D71" t="inlineStr">
        <is>
          <t>梅见</t>
        </is>
      </c>
      <c r="E71" t="inlineStr">
        <is>
          <t>明天去买点想喝酒了</t>
        </is>
      </c>
      <c r="F71" t="inlineStr">
        <is>
          <t>萍姐微醺局终于喝到好喝的梅见｜2025-07-11｜抖音</t>
        </is>
      </c>
      <c r="G71" t="inlineStr">
        <is>
          <t>抖音</t>
        </is>
      </c>
      <c r="H71" s="2" t="str">
        <f>=HYPERLINK("https://www.douyin.com/video/7661213968078401147", "https://www.douyin.com/video/7661213968078401147")</f>
        <v>https://www.douyin.com/video/7661213968078401147</v>
      </c>
      <c r="I71" s="3">
        <v>45849</v>
      </c>
      <c r="J71" s="4">
        <v>46243</v>
      </c>
      <c r="K71" t="inlineStr">
        <is>
          <t>梅见口感</t>
        </is>
      </c>
      <c r="L71"/>
      <c r="M71" t="inlineStr">
        <is>
          <t>DY-U0096</t>
        </is>
      </c>
      <c r="N71" t="inlineStr">
        <is>
          <t>公开评论</t>
        </is>
      </c>
      <c r="O71"/>
      <c r="P71" t="inlineStr">
        <is>
          <t>点赞数未成功识别，暂置空，禁止随机补值</t>
        </is>
      </c>
      <c r="Q71" t="inlineStr">
        <is>
          <t>目标品牌</t>
        </is>
      </c>
      <c r="R71"/>
      <c r="S71"/>
    </row>
    <row r="72" ht="25.5" customHeight="1">
      <c r="A72" t="inlineStr">
        <is>
          <t>DY-SOC-0060</t>
        </is>
      </c>
      <c r="B72" t="inlineStr">
        <is>
          <t>梅见产品体验反馈</t>
        </is>
      </c>
      <c r="C72" t="inlineStr">
        <is>
          <t>PRJ001</t>
        </is>
      </c>
      <c r="D72" t="inlineStr">
        <is>
          <t>梅见</t>
        </is>
      </c>
      <c r="E72" t="inlineStr">
        <is>
          <t>艾特我小姐妹喝点</t>
        </is>
      </c>
      <c r="F72" t="inlineStr">
        <is>
          <t>萍姐微醺局终于喝到好喝的梅见｜2025-07-11｜抖音</t>
        </is>
      </c>
      <c r="G72" t="inlineStr">
        <is>
          <t>抖音</t>
        </is>
      </c>
      <c r="H72" s="2" t="str">
        <f>=HYPERLINK("https://www.douyin.com/video/7661213968078401147", "https://www.douyin.com/video/7661213968078401147")</f>
        <v>https://www.douyin.com/video/7661213968078401147</v>
      </c>
      <c r="I72" s="3">
        <v>45849</v>
      </c>
      <c r="J72" s="4">
        <v>46243</v>
      </c>
      <c r="K72" t="inlineStr">
        <is>
          <t>梅见口感</t>
        </is>
      </c>
      <c r="L72"/>
      <c r="M72" t="inlineStr">
        <is>
          <t>DY-U0098</t>
        </is>
      </c>
      <c r="N72" t="inlineStr">
        <is>
          <t>公开评论</t>
        </is>
      </c>
      <c r="O72"/>
      <c r="P72" t="inlineStr">
        <is>
          <t>点赞数未成功识别，暂置空，禁止随机补值；当前日期来自视频发布时间，评论发布时间未识别</t>
        </is>
      </c>
      <c r="Q72" t="inlineStr">
        <is>
          <t>目标品牌</t>
        </is>
      </c>
      <c r="R72"/>
      <c r="S72"/>
    </row>
    <row r="73" ht="25.5" customHeight="1">
      <c r="A73" t="inlineStr">
        <is>
          <t>DY-SOC-0061</t>
        </is>
      </c>
      <c r="B73" t="inlineStr">
        <is>
          <t>梅见产品体验反馈</t>
        </is>
      </c>
      <c r="C73" t="inlineStr">
        <is>
          <t>PRJ001</t>
        </is>
      </c>
      <c r="D73" t="inlineStr">
        <is>
          <t>梅见</t>
        </is>
      </c>
      <c r="E73" t="inlineStr">
        <is>
          <t>准备买一瓶慢慢喝</t>
        </is>
      </c>
      <c r="F73" t="inlineStr">
        <is>
          <t>萍姐微醺局终于喝到好喝的梅见｜2025-07-11｜抖音</t>
        </is>
      </c>
      <c r="G73" t="inlineStr">
        <is>
          <t>抖音</t>
        </is>
      </c>
      <c r="H73" s="2" t="str">
        <f>=HYPERLINK("https://www.douyin.com/video/7661213968078401147", "https://www.douyin.com/video/7661213968078401147")</f>
        <v>https://www.douyin.com/video/7661213968078401147</v>
      </c>
      <c r="I73" s="3">
        <v>45849</v>
      </c>
      <c r="J73" s="4">
        <v>46243</v>
      </c>
      <c r="K73" t="inlineStr">
        <is>
          <t>梅见口感</t>
        </is>
      </c>
      <c r="L73"/>
      <c r="M73" t="inlineStr">
        <is>
          <t>DY-U0100</t>
        </is>
      </c>
      <c r="N73" t="inlineStr">
        <is>
          <t>公开评论</t>
        </is>
      </c>
      <c r="O73"/>
      <c r="P73" t="inlineStr">
        <is>
          <t>点赞数未成功识别，暂置空，禁止随机补值</t>
        </is>
      </c>
      <c r="Q73" t="inlineStr">
        <is>
          <t>目标品牌</t>
        </is>
      </c>
      <c r="R73"/>
      <c r="S73"/>
    </row>
    <row r="74" ht="25.5" customHeight="1">
      <c r="A74" t="inlineStr">
        <is>
          <t>DY-SOC-0062</t>
        </is>
      </c>
      <c r="B74" t="inlineStr">
        <is>
          <t>梅见产品体验反馈</t>
        </is>
      </c>
      <c r="C74" t="inlineStr">
        <is>
          <t>PRJ001</t>
        </is>
      </c>
      <c r="D74" t="inlineStr">
        <is>
          <t>梅见</t>
        </is>
      </c>
      <c r="E74" t="inlineStr">
        <is>
          <t>平常也是没事儿来一瓶</t>
        </is>
      </c>
      <c r="F74" t="inlineStr">
        <is>
          <t>萍姐微醺局终于喝到好喝的梅见｜2025-07-11｜抖音</t>
        </is>
      </c>
      <c r="G74" t="inlineStr">
        <is>
          <t>抖音</t>
        </is>
      </c>
      <c r="H74" s="2" t="str">
        <f>=HYPERLINK("https://www.douyin.com/video/7661213968078401147", "https://www.douyin.com/video/7661213968078401147")</f>
        <v>https://www.douyin.com/video/7661213968078401147</v>
      </c>
      <c r="I74" s="3">
        <v>45849</v>
      </c>
      <c r="J74" s="4">
        <v>46243</v>
      </c>
      <c r="K74" t="inlineStr">
        <is>
          <t>梅见口感</t>
        </is>
      </c>
      <c r="L74"/>
      <c r="M74" t="inlineStr">
        <is>
          <t>DY-U0101</t>
        </is>
      </c>
      <c r="N74" t="inlineStr">
        <is>
          <t>公开评论</t>
        </is>
      </c>
      <c r="O74"/>
      <c r="P74" t="inlineStr">
        <is>
          <t>点赞数未成功识别，暂置空，禁止随机补值</t>
        </is>
      </c>
      <c r="Q74" t="inlineStr">
        <is>
          <t>目标品牌</t>
        </is>
      </c>
      <c r="R74"/>
      <c r="S74"/>
    </row>
    <row r="75" ht="25.5" customHeight="1">
      <c r="A75" t="inlineStr">
        <is>
          <t>DY-SOC-0063</t>
        </is>
      </c>
      <c r="B75" t="inlineStr">
        <is>
          <t>梅见产品体验反馈</t>
        </is>
      </c>
      <c r="C75" t="inlineStr">
        <is>
          <t>PRJ001</t>
        </is>
      </c>
      <c r="D75" t="inlineStr">
        <is>
          <t>梅见</t>
        </is>
      </c>
      <c r="E75" t="inlineStr">
        <is>
          <t>看着真惬意和朋友一起小酌一杯心情都变好了</t>
        </is>
      </c>
      <c r="F75" t="inlineStr">
        <is>
          <t>萍姐微醺局终于喝到好喝的梅见｜2025-07-11｜抖音</t>
        </is>
      </c>
      <c r="G75" t="inlineStr">
        <is>
          <t>抖音</t>
        </is>
      </c>
      <c r="H75" s="2" t="str">
        <f>=HYPERLINK("https://www.douyin.com/video/7661213968078401147", "https://www.douyin.com/video/7661213968078401147")</f>
        <v>https://www.douyin.com/video/7661213968078401147</v>
      </c>
      <c r="I75" s="3">
        <v>45849</v>
      </c>
      <c r="J75" s="4">
        <v>46243</v>
      </c>
      <c r="K75" t="inlineStr">
        <is>
          <t>梅见口感</t>
        </is>
      </c>
      <c r="L75"/>
      <c r="M75" t="inlineStr">
        <is>
          <t>DY-U0103</t>
        </is>
      </c>
      <c r="N75" t="inlineStr">
        <is>
          <t>公开评论</t>
        </is>
      </c>
      <c r="O75"/>
      <c r="P75" t="inlineStr">
        <is>
          <t>点赞数未成功识别，暂置空，禁止随机补值；当前日期来自视频发布时间，评论发布时间未识别</t>
        </is>
      </c>
      <c r="Q75" t="inlineStr">
        <is>
          <t>目标品牌</t>
        </is>
      </c>
      <c r="R75"/>
      <c r="S75"/>
    </row>
    <row r="76" ht="25.5" customHeight="1">
      <c r="A76" t="inlineStr">
        <is>
          <t>DY-SOC-0064</t>
        </is>
      </c>
      <c r="B76" t="inlineStr">
        <is>
          <t>梅见产品体验反馈</t>
        </is>
      </c>
      <c r="C76" t="inlineStr">
        <is>
          <t>PRJ001</t>
        </is>
      </c>
      <c r="D76" t="inlineStr">
        <is>
          <t>梅见</t>
        </is>
      </c>
      <c r="E76" t="inlineStr">
        <is>
          <t>我梅见大瓶3瓶倒[捂脸]</t>
        </is>
      </c>
      <c r="F76" t="inlineStr">
        <is>
          <t>喝酒一时爽喝完悔断肠｜2025-08-22｜抖音</t>
        </is>
      </c>
      <c r="G76" t="inlineStr">
        <is>
          <t>抖音</t>
        </is>
      </c>
      <c r="H76" s="2" t="str">
        <f>=HYPERLINK("https://www.douyin.com/video/7615205755860422373", "https://www.douyin.com/video/7615205755860422373")</f>
        <v>https://www.douyin.com/video/7615205755860422373</v>
      </c>
      <c r="I76" s="3">
        <v>45891</v>
      </c>
      <c r="J76" s="4">
        <v>46243</v>
      </c>
      <c r="K76" t="inlineStr">
        <is>
          <t>梅见上头</t>
        </is>
      </c>
      <c r="L76"/>
      <c r="M76" t="inlineStr">
        <is>
          <t>DY-U0109</t>
        </is>
      </c>
      <c r="N76" t="inlineStr">
        <is>
          <t>公开评论</t>
        </is>
      </c>
      <c r="O76"/>
      <c r="P76" t="inlineStr">
        <is>
          <t>点赞数未成功识别，暂置空，禁止随机补值；当前日期来自视频发布时间，评论发布时间未识别</t>
        </is>
      </c>
      <c r="Q76" t="inlineStr">
        <is>
          <t>目标品牌</t>
        </is>
      </c>
      <c r="R76"/>
      <c r="S76"/>
    </row>
    <row r="77" ht="25.5" customHeight="1">
      <c r="A77" t="inlineStr">
        <is>
          <t>DY-SOC-0065</t>
        </is>
      </c>
      <c r="B77" t="inlineStr">
        <is>
          <t>梅见产品体验反馈</t>
        </is>
      </c>
      <c r="C77" t="inlineStr">
        <is>
          <t>PRJ001</t>
        </is>
      </c>
      <c r="D77" t="inlineStr">
        <is>
          <t>梅见</t>
        </is>
      </c>
      <c r="E77" t="inlineStr">
        <is>
          <t>什么时候我们碰一下杯</t>
        </is>
      </c>
      <c r="F77" t="inlineStr">
        <is>
          <t>喝酒一时爽喝完悔断肠｜2025-08-22｜抖音</t>
        </is>
      </c>
      <c r="G77" t="inlineStr">
        <is>
          <t>抖音</t>
        </is>
      </c>
      <c r="H77" s="2" t="str">
        <f>=HYPERLINK("https://www.douyin.com/video/7615205755860422373", "https://www.douyin.com/video/7615205755860422373")</f>
        <v>https://www.douyin.com/video/7615205755860422373</v>
      </c>
      <c r="I77" s="3">
        <v>45891</v>
      </c>
      <c r="J77" s="4">
        <v>46243</v>
      </c>
      <c r="K77" t="inlineStr">
        <is>
          <t>梅见上头</t>
        </is>
      </c>
      <c r="L77"/>
      <c r="M77" t="inlineStr">
        <is>
          <t>DY-U0111</t>
        </is>
      </c>
      <c r="N77" t="inlineStr">
        <is>
          <t>公开评论</t>
        </is>
      </c>
      <c r="O77"/>
      <c r="P77" t="inlineStr">
        <is>
          <t>点赞数未成功识别，暂置空，禁止随机补值；当前日期来自视频发布时间，评论发布时间未识别</t>
        </is>
      </c>
      <c r="Q77" t="inlineStr">
        <is>
          <t>目标品牌</t>
        </is>
      </c>
      <c r="R77"/>
      <c r="S77"/>
    </row>
    <row r="78" ht="25.5" customHeight="1">
      <c r="A78" t="inlineStr">
        <is>
          <t>DY-SOC-0066</t>
        </is>
      </c>
      <c r="B78" t="inlineStr">
        <is>
          <t>梅见产品体验反馈</t>
        </is>
      </c>
      <c r="C78" t="inlineStr">
        <is>
          <t>PRJ001</t>
        </is>
      </c>
      <c r="D78" t="inlineStr">
        <is>
          <t>梅见</t>
        </is>
      </c>
      <c r="E78" t="inlineStr">
        <is>
          <t>尝尝我们山东的特产三鞭补酒</t>
        </is>
      </c>
      <c r="F78" t="inlineStr">
        <is>
          <t>喝酒一时爽喝完悔断肠｜2025-08-22｜抖音</t>
        </is>
      </c>
      <c r="G78" t="inlineStr">
        <is>
          <t>抖音</t>
        </is>
      </c>
      <c r="H78" s="2" t="str">
        <f>=HYPERLINK("https://www.douyin.com/video/7615205755860422373", "https://www.douyin.com/video/7615205755860422373")</f>
        <v>https://www.douyin.com/video/7615205755860422373</v>
      </c>
      <c r="I78" s="3">
        <v>45891</v>
      </c>
      <c r="J78" s="4">
        <v>46243</v>
      </c>
      <c r="K78" t="inlineStr">
        <is>
          <t>梅见上头</t>
        </is>
      </c>
      <c r="L78"/>
      <c r="M78" t="inlineStr">
        <is>
          <t>DY-U0114</t>
        </is>
      </c>
      <c r="N78" t="inlineStr">
        <is>
          <t>公开评论</t>
        </is>
      </c>
      <c r="O78"/>
      <c r="P78" t="inlineStr">
        <is>
          <t>点赞数未成功识别，暂置空，禁止随机补值；当前日期来自视频发布时间，评论发布时间未识别</t>
        </is>
      </c>
      <c r="Q78" t="inlineStr">
        <is>
          <t>目标品牌</t>
        </is>
      </c>
      <c r="R78"/>
      <c r="S78"/>
    </row>
    <row r="79" ht="25.5" customHeight="1">
      <c r="A79" t="inlineStr">
        <is>
          <t>DY-SOC-0067</t>
        </is>
      </c>
      <c r="B79" t="inlineStr">
        <is>
          <t>梅见产品体验反馈</t>
        </is>
      </c>
      <c r="C79" t="inlineStr">
        <is>
          <t>PRJ001</t>
        </is>
      </c>
      <c r="D79" t="inlineStr">
        <is>
          <t>梅见</t>
        </is>
      </c>
      <c r="E79" t="inlineStr">
        <is>
          <t>太会喝了我整瓶尝尝[舔屏]</t>
        </is>
      </c>
      <c r="F79" t="inlineStr">
        <is>
          <t>喝酒一时爽喝完悔断肠｜2025-08-22｜抖音</t>
        </is>
      </c>
      <c r="G79" t="inlineStr">
        <is>
          <t>抖音</t>
        </is>
      </c>
      <c r="H79" s="2" t="str">
        <f>=HYPERLINK("https://www.douyin.com/video/7615205755860422373", "https://www.douyin.com/video/7615205755860422373")</f>
        <v>https://www.douyin.com/video/7615205755860422373</v>
      </c>
      <c r="I79" s="3">
        <v>45891</v>
      </c>
      <c r="J79" s="4">
        <v>46243</v>
      </c>
      <c r="K79" t="inlineStr">
        <is>
          <t>梅见上头</t>
        </is>
      </c>
      <c r="L79"/>
      <c r="M79" t="inlineStr">
        <is>
          <t>DY-U0115</t>
        </is>
      </c>
      <c r="N79" t="inlineStr">
        <is>
          <t>公开评论</t>
        </is>
      </c>
      <c r="O79"/>
      <c r="P79" t="inlineStr">
        <is>
          <t>点赞数未成功识别，暂置空，禁止随机补值；当前日期来自视频发布时间，评论发布时间未识别</t>
        </is>
      </c>
      <c r="Q79" t="inlineStr">
        <is>
          <t>目标品牌</t>
        </is>
      </c>
      <c r="R79"/>
      <c r="S79"/>
    </row>
    <row r="80" ht="25.5" customHeight="1">
      <c r="A80" t="inlineStr">
        <is>
          <t>DY-SOC-0139</t>
        </is>
      </c>
      <c r="B80" t="inlineStr">
        <is>
          <t>梅见产品体验反馈</t>
        </is>
      </c>
      <c r="C80" t="inlineStr">
        <is>
          <t>PRJ001</t>
        </is>
      </c>
      <c r="D80" t="inlineStr">
        <is>
          <t>梅见</t>
        </is>
      </c>
      <c r="E80" t="inlineStr">
        <is>
          <t>不好喝我喝着一股白酒味[捂脸]</t>
        </is>
      </c>
      <c r="F80" t="inlineStr">
        <is>
          <t>喝酒一时爽喝完悔断肠｜2025-08-22｜抖音</t>
        </is>
      </c>
      <c r="G80" t="inlineStr">
        <is>
          <t>抖音</t>
        </is>
      </c>
      <c r="H80" s="2" t="str">
        <f>=HYPERLINK("https://www.douyin.com/video/7615205755860422373", "https://www.douyin.com/video/7615205755860422373")</f>
        <v>https://www.douyin.com/video/7615205755860422373</v>
      </c>
      <c r="I80" s="3">
        <v>45891</v>
      </c>
      <c r="J80" s="4">
        <v>46243</v>
      </c>
      <c r="K80" t="inlineStr">
        <is>
          <t>梅见上头</t>
        </is>
      </c>
      <c r="L80"/>
      <c r="M80" t="inlineStr">
        <is>
          <t>DY-U0116</t>
        </is>
      </c>
      <c r="N80" t="inlineStr">
        <is>
          <t>公开评论</t>
        </is>
      </c>
      <c r="O80"/>
      <c r="P80" t="inlineStr">
        <is>
          <t>点赞数未成功识别，暂置空，禁止随机补值；当前日期来自视频发布时间，评论发布时间未识别</t>
        </is>
      </c>
      <c r="Q80" t="inlineStr">
        <is>
          <t>目标品牌</t>
        </is>
      </c>
      <c r="R80"/>
      <c r="S80"/>
    </row>
    <row r="81" ht="25.5" customHeight="1">
      <c r="A81" t="inlineStr">
        <is>
          <t>DY-SOC-0141</t>
        </is>
      </c>
      <c r="B81" t="inlineStr">
        <is>
          <t>梅见产品体验反馈</t>
        </is>
      </c>
      <c r="C81" t="inlineStr">
        <is>
          <t>PRJ001</t>
        </is>
      </c>
      <c r="D81" t="inlineStr">
        <is>
          <t>梅见</t>
        </is>
      </c>
      <c r="E81" t="inlineStr">
        <is>
          <t>原来青梅要盐水浸泡去涩回家也要试试自制</t>
        </is>
      </c>
      <c r="F81" t="inlineStr">
        <is>
          <t>当一颗青梅从树上到杯里｜2025-02-04｜抖音</t>
        </is>
      </c>
      <c r="G81" t="inlineStr">
        <is>
          <t>抖音</t>
        </is>
      </c>
      <c r="H81" s="2" t="str">
        <f>=HYPERLINK("https://www.douyin.com/video/7631092113903553833", "https://www.douyin.com/video/7631092113903553833")</f>
        <v>https://www.douyin.com/video/7631092113903553833</v>
      </c>
      <c r="I81" s="3">
        <v>45692</v>
      </c>
      <c r="J81" s="4">
        <v>46243</v>
      </c>
      <c r="K81" t="inlineStr">
        <is>
          <t>梅见为什么火</t>
        </is>
      </c>
      <c r="L81"/>
      <c r="M81" t="inlineStr">
        <is>
          <t>DY-U0148</t>
        </is>
      </c>
      <c r="N81" t="inlineStr">
        <is>
          <t>公开评论</t>
        </is>
      </c>
      <c r="O81"/>
      <c r="P81" t="inlineStr">
        <is>
          <t>点赞数未成功识别，暂置空，禁止随机补值</t>
        </is>
      </c>
      <c r="Q81" t="inlineStr">
        <is>
          <t>目标品牌</t>
        </is>
      </c>
      <c r="R81"/>
      <c r="S81"/>
    </row>
    <row r="82" ht="25.5" customHeight="1">
      <c r="A82" t="inlineStr">
        <is>
          <t>DY-SOC-0142</t>
        </is>
      </c>
      <c r="B82" t="inlineStr">
        <is>
          <t>梅见产品体验反馈</t>
        </is>
      </c>
      <c r="C82" t="inlineStr">
        <is>
          <t>PRJ001</t>
        </is>
      </c>
      <c r="D82" t="inlineStr">
        <is>
          <t>梅见</t>
        </is>
      </c>
      <c r="E82" t="inlineStr">
        <is>
          <t>人人都是生活艺术家</t>
        </is>
      </c>
      <c r="F82" t="inlineStr">
        <is>
          <t>当一颗青梅从树上到杯里｜2025-02-04｜抖音</t>
        </is>
      </c>
      <c r="G82" t="inlineStr">
        <is>
          <t>抖音</t>
        </is>
      </c>
      <c r="H82" s="2" t="str">
        <f>=HYPERLINK("https://www.douyin.com/video/7631092113903553833", "https://www.douyin.com/video/7631092113903553833")</f>
        <v>https://www.douyin.com/video/7631092113903553833</v>
      </c>
      <c r="I82" s="3">
        <v>45692</v>
      </c>
      <c r="J82" s="4">
        <v>46243</v>
      </c>
      <c r="K82" t="inlineStr">
        <is>
          <t>梅见为什么火</t>
        </is>
      </c>
      <c r="L82"/>
      <c r="M82" t="inlineStr">
        <is>
          <t>DY-U0150</t>
        </is>
      </c>
      <c r="N82" t="inlineStr">
        <is>
          <t>公开评论</t>
        </is>
      </c>
      <c r="O82"/>
      <c r="P82" t="inlineStr">
        <is>
          <t>点赞数未成功识别，暂置空，禁止随机补值；当前日期来自视频发布时间，评论发布时间未识别</t>
        </is>
      </c>
      <c r="Q82" t="inlineStr">
        <is>
          <t>目标品牌</t>
        </is>
      </c>
      <c r="R82"/>
      <c r="S82"/>
    </row>
    <row r="83" ht="25.5" customHeight="1">
      <c r="A83" t="inlineStr">
        <is>
          <t>DY-SOC-0146</t>
        </is>
      </c>
      <c r="B83" t="inlineStr">
        <is>
          <t>梅见产品体验反馈</t>
        </is>
      </c>
      <c r="C83" t="inlineStr">
        <is>
          <t>PRJ001</t>
        </is>
      </c>
      <c r="D83" t="inlineStr">
        <is>
          <t>梅见</t>
        </is>
      </c>
      <c r="E83" t="inlineStr">
        <is>
          <t>那5000个陶坛的酒库也太壮观了</t>
        </is>
      </c>
      <c r="F83" t="inlineStr">
        <is>
          <t>当一颗青梅从树上到杯里｜2025-02-04｜抖音</t>
        </is>
      </c>
      <c r="G83" t="inlineStr">
        <is>
          <t>抖音</t>
        </is>
      </c>
      <c r="H83" s="2" t="str">
        <f>=HYPERLINK("https://www.douyin.com/video/7631092113903553833", "https://www.douyin.com/video/7631092113903553833")</f>
        <v>https://www.douyin.com/video/7631092113903553833</v>
      </c>
      <c r="I83" s="3">
        <v>45692</v>
      </c>
      <c r="J83" s="4">
        <v>46243</v>
      </c>
      <c r="K83" t="inlineStr">
        <is>
          <t>梅见为什么火</t>
        </is>
      </c>
      <c r="L83"/>
      <c r="M83" t="inlineStr">
        <is>
          <t>DY-U0156</t>
        </is>
      </c>
      <c r="N83" t="inlineStr">
        <is>
          <t>公开评论</t>
        </is>
      </c>
      <c r="O83"/>
      <c r="P83" t="inlineStr">
        <is>
          <t>点赞数未成功识别，暂置空，禁止随机补值；当前日期来自视频发布时间，评论发布时间未识别</t>
        </is>
      </c>
      <c r="Q83" t="inlineStr">
        <is>
          <t>目标品牌</t>
        </is>
      </c>
      <c r="R83"/>
      <c r="S83"/>
    </row>
    <row r="84" ht="25.5" customHeight="1">
      <c r="A84" t="inlineStr">
        <is>
          <t>DY-SOC-0147</t>
        </is>
      </c>
      <c r="B84" t="inlineStr">
        <is>
          <t>梅见产品体验反馈</t>
        </is>
      </c>
      <c r="C84" t="inlineStr">
        <is>
          <t>PRJ001</t>
        </is>
      </c>
      <c r="D84" t="inlineStr">
        <is>
          <t>梅见</t>
        </is>
      </c>
      <c r="E84" t="inlineStr">
        <is>
          <t>两个女孩闹掰的原因竟然是怀疑自己其实在对方的心里没那么重要</t>
        </is>
      </c>
      <c r="F84" t="inlineStr">
        <is>
          <t>闺蜜友情故事｜2025-04-24｜抖音</t>
        </is>
      </c>
      <c r="G84" t="inlineStr">
        <is>
          <t>抖音</t>
        </is>
      </c>
      <c r="H84" s="2" t="str">
        <f>=HYPERLINK("https://www.douyin.com/video/7631955535173445747", "https://www.douyin.com/video/7631955535173445747")</f>
        <v>https://www.douyin.com/video/7631955535173445747</v>
      </c>
      <c r="I84" s="3">
        <v>45771</v>
      </c>
      <c r="J84" s="4">
        <v>46243</v>
      </c>
      <c r="K84" t="inlineStr">
        <is>
          <t>梅见女生酒</t>
        </is>
      </c>
      <c r="L84"/>
      <c r="M84" t="inlineStr">
        <is>
          <t>DY-U0160</t>
        </is>
      </c>
      <c r="N84" t="inlineStr">
        <is>
          <t>公开评论</t>
        </is>
      </c>
      <c r="O84"/>
      <c r="P84" t="inlineStr">
        <is>
          <t>点赞数未成功识别，暂置空，禁止随机补值；当前日期来自视频发布时间，评论发布时间未识别</t>
        </is>
      </c>
      <c r="Q84" t="inlineStr">
        <is>
          <t>目标品牌</t>
        </is>
      </c>
      <c r="R84"/>
      <c r="S84"/>
    </row>
    <row r="85" ht="25.5" customHeight="1">
      <c r="A85" t="inlineStr">
        <is>
          <t>DY-SOC-0148</t>
        </is>
      </c>
      <c r="B85" t="inlineStr">
        <is>
          <t>梅见产品体验反馈</t>
        </is>
      </c>
      <c r="C85" t="inlineStr">
        <is>
          <t>PRJ001</t>
        </is>
      </c>
      <c r="D85" t="inlineStr">
        <is>
          <t>梅见</t>
        </is>
      </c>
      <c r="E85" t="inlineStr">
        <is>
          <t>刚刚扣一快得雷霆</t>
        </is>
      </c>
      <c r="F85" t="inlineStr">
        <is>
          <t>闺蜜友情故事｜2025-04-24｜抖音</t>
        </is>
      </c>
      <c r="G85" t="inlineStr">
        <is>
          <t>抖音</t>
        </is>
      </c>
      <c r="H85" s="2" t="str">
        <f>=HYPERLINK("https://www.douyin.com/video/7631955535173445747", "https://www.douyin.com/video/7631955535173445747")</f>
        <v>https://www.douyin.com/video/7631955535173445747</v>
      </c>
      <c r="I85" s="3">
        <v>45771</v>
      </c>
      <c r="J85" s="4">
        <v>46243</v>
      </c>
      <c r="K85" t="inlineStr">
        <is>
          <t>梅见女生酒</t>
        </is>
      </c>
      <c r="L85"/>
      <c r="M85" t="inlineStr">
        <is>
          <t>DY-U0161</t>
        </is>
      </c>
      <c r="N85" t="inlineStr">
        <is>
          <t>公开评论</t>
        </is>
      </c>
      <c r="O85"/>
      <c r="P85" t="inlineStr">
        <is>
          <t>点赞数未成功识别，暂置空，禁止随机补值；当前日期来自视频发布时间，评论发布时间未识别</t>
        </is>
      </c>
      <c r="Q85" t="inlineStr">
        <is>
          <t>目标品牌</t>
        </is>
      </c>
      <c r="R85"/>
      <c r="S85"/>
    </row>
    <row r="86" ht="25.5" customHeight="1">
      <c r="A86" t="inlineStr">
        <is>
          <t>DY-SOC-0149</t>
        </is>
      </c>
      <c r="B86" t="inlineStr">
        <is>
          <t>梅见产品体验反馈</t>
        </is>
      </c>
      <c r="C86" t="inlineStr">
        <is>
          <t>PRJ001</t>
        </is>
      </c>
      <c r="D86" t="inlineStr">
        <is>
          <t>梅见</t>
        </is>
      </c>
      <c r="E86" t="inlineStr">
        <is>
          <t>女生的友谊真的很莫名其妙看到她跟别人玩就不高兴</t>
        </is>
      </c>
      <c r="F86" t="inlineStr">
        <is>
          <t>闺蜜友情故事｜2025-04-24｜抖音</t>
        </is>
      </c>
      <c r="G86" t="inlineStr">
        <is>
          <t>抖音</t>
        </is>
      </c>
      <c r="H86" s="2" t="str">
        <f>=HYPERLINK("https://www.douyin.com/video/7631955535173445747", "https://www.douyin.com/video/7631955535173445747")</f>
        <v>https://www.douyin.com/video/7631955535173445747</v>
      </c>
      <c r="I86" s="3">
        <v>45771</v>
      </c>
      <c r="J86" s="4">
        <v>46243</v>
      </c>
      <c r="K86" t="inlineStr">
        <is>
          <t>梅见女生酒</t>
        </is>
      </c>
      <c r="L86"/>
      <c r="M86" t="inlineStr">
        <is>
          <t>DY-U0162</t>
        </is>
      </c>
      <c r="N86" t="inlineStr">
        <is>
          <t>公开评论</t>
        </is>
      </c>
      <c r="O86"/>
      <c r="P86" t="inlineStr">
        <is>
          <t>点赞数未成功识别，暂置空，禁止随机补值；当前日期来自视频发布时间，评论发布时间未识别</t>
        </is>
      </c>
      <c r="Q86" t="inlineStr">
        <is>
          <t>目标品牌</t>
        </is>
      </c>
      <c r="R86"/>
      <c r="S86"/>
    </row>
    <row r="87" ht="25.5" customHeight="1">
      <c r="A87" t="inlineStr">
        <is>
          <t>DY-SOC-0150</t>
        </is>
      </c>
      <c r="B87" t="inlineStr">
        <is>
          <t>梅见产品体验反馈</t>
        </is>
      </c>
      <c r="C87" t="inlineStr">
        <is>
          <t>PRJ001</t>
        </is>
      </c>
      <c r="D87" t="inlineStr">
        <is>
          <t>梅见</t>
        </is>
      </c>
      <c r="E87" t="inlineStr">
        <is>
          <t>长大后好像各自都在忙各自的事情各自都有各自新的圈子就慢慢走散了</t>
        </is>
      </c>
      <c r="F87" t="inlineStr">
        <is>
          <t>闺蜜友情故事｜2025-04-24｜抖音</t>
        </is>
      </c>
      <c r="G87" t="inlineStr">
        <is>
          <t>抖音</t>
        </is>
      </c>
      <c r="H87" s="2" t="str">
        <f>=HYPERLINK("https://www.douyin.com/video/7631955535173445747", "https://www.douyin.com/video/7631955535173445747")</f>
        <v>https://www.douyin.com/video/7631955535173445747</v>
      </c>
      <c r="I87" s="3">
        <v>45771</v>
      </c>
      <c r="J87" s="4">
        <v>46243</v>
      </c>
      <c r="K87" t="inlineStr">
        <is>
          <t>梅见女生酒</t>
        </is>
      </c>
      <c r="L87"/>
      <c r="M87" t="inlineStr">
        <is>
          <t>DY-U0163</t>
        </is>
      </c>
      <c r="N87" t="inlineStr">
        <is>
          <t>公开评论</t>
        </is>
      </c>
      <c r="O87"/>
      <c r="P87" t="inlineStr">
        <is>
          <t>点赞数未成功识别，暂置空，禁止随机补值；当前日期来自视频发布时间，评论发布时间未识别</t>
        </is>
      </c>
      <c r="Q87" t="inlineStr">
        <is>
          <t>目标品牌</t>
        </is>
      </c>
      <c r="R87"/>
      <c r="S87"/>
    </row>
    <row r="88" ht="25.5" customHeight="1">
      <c r="A88" t="inlineStr">
        <is>
          <t>DY-SOC-0151</t>
        </is>
      </c>
      <c r="B88" t="inlineStr">
        <is>
          <t>梅见产品体验反馈</t>
        </is>
      </c>
      <c r="C88" t="inlineStr">
        <is>
          <t>PRJ001</t>
        </is>
      </c>
      <c r="D88" t="inlineStr">
        <is>
          <t>梅见</t>
        </is>
      </c>
      <c r="E88" t="inlineStr">
        <is>
          <t>友情感觉就像我以爱人的标准挑选自己的亲人</t>
        </is>
      </c>
      <c r="F88" t="inlineStr">
        <is>
          <t>闺蜜友情故事｜2025-04-24｜抖音</t>
        </is>
      </c>
      <c r="G88" t="inlineStr">
        <is>
          <t>抖音</t>
        </is>
      </c>
      <c r="H88" s="2" t="str">
        <f>=HYPERLINK("https://www.douyin.com/video/7631955535173445747", "https://www.douyin.com/video/7631955535173445747")</f>
        <v>https://www.douyin.com/video/7631955535173445747</v>
      </c>
      <c r="I88" s="3">
        <v>45771</v>
      </c>
      <c r="J88" s="4">
        <v>46243</v>
      </c>
      <c r="K88" t="inlineStr">
        <is>
          <t>梅见女生酒</t>
        </is>
      </c>
      <c r="L88"/>
      <c r="M88" t="inlineStr">
        <is>
          <t>DY-U0164</t>
        </is>
      </c>
      <c r="N88" t="inlineStr">
        <is>
          <t>公开评论</t>
        </is>
      </c>
      <c r="O88"/>
      <c r="P88" t="inlineStr">
        <is>
          <t>点赞数未成功识别，暂置空，禁止随机补值；当前日期来自视频发布时间，评论发布时间未识别</t>
        </is>
      </c>
      <c r="Q88" t="inlineStr">
        <is>
          <t>目标品牌</t>
        </is>
      </c>
      <c r="R88"/>
      <c r="S88"/>
    </row>
    <row r="89" ht="25.5" customHeight="1">
      <c r="A89" t="inlineStr">
        <is>
          <t>DY-SOC-0152</t>
        </is>
      </c>
      <c r="B89" t="inlineStr">
        <is>
          <t>梅见产品体验反馈</t>
        </is>
      </c>
      <c r="C89" t="inlineStr">
        <is>
          <t>PRJ001</t>
        </is>
      </c>
      <c r="D89" t="inlineStr">
        <is>
          <t>梅见</t>
        </is>
      </c>
      <c r="E89" t="inlineStr">
        <is>
          <t>所以友谊这条路到底有没有尽头呢</t>
        </is>
      </c>
      <c r="F89" t="inlineStr">
        <is>
          <t>闺蜜友情故事｜2025-04-24｜抖音</t>
        </is>
      </c>
      <c r="G89" t="inlineStr">
        <is>
          <t>抖音</t>
        </is>
      </c>
      <c r="H89" s="2" t="str">
        <f>=HYPERLINK("https://www.douyin.com/video/7631955535173445747", "https://www.douyin.com/video/7631955535173445747")</f>
        <v>https://www.douyin.com/video/7631955535173445747</v>
      </c>
      <c r="I89" s="3">
        <v>45771</v>
      </c>
      <c r="J89" s="4">
        <v>46243</v>
      </c>
      <c r="K89" t="inlineStr">
        <is>
          <t>梅见女生酒</t>
        </is>
      </c>
      <c r="L89"/>
      <c r="M89" t="inlineStr">
        <is>
          <t>DY-U0165</t>
        </is>
      </c>
      <c r="N89" t="inlineStr">
        <is>
          <t>公开评论</t>
        </is>
      </c>
      <c r="O89"/>
      <c r="P89" t="inlineStr">
        <is>
          <t>点赞数未成功识别，暂置空，禁止随机补值；当前日期来自视频发布时间，评论发布时间未识别</t>
        </is>
      </c>
      <c r="Q89" t="inlineStr">
        <is>
          <t>目标品牌</t>
        </is>
      </c>
      <c r="R89"/>
      <c r="S89"/>
    </row>
    <row r="90" ht="25.5" customHeight="1">
      <c r="A90" t="inlineStr">
        <is>
          <t>DY-SOC-0153</t>
        </is>
      </c>
      <c r="B90" t="inlineStr">
        <is>
          <t>梅见产品体验反馈</t>
        </is>
      </c>
      <c r="C90" t="inlineStr">
        <is>
          <t>PRJ001</t>
        </is>
      </c>
      <c r="D90" t="inlineStr">
        <is>
          <t>梅见</t>
        </is>
      </c>
      <c r="E90" t="inlineStr">
        <is>
          <t>侧脸像一个韩国明星像谁来着那人叫啥来着</t>
        </is>
      </c>
      <c r="F90" t="inlineStr">
        <is>
          <t>晚上独饮的时候｜2025-07-25｜抖音</t>
        </is>
      </c>
      <c r="G90" t="inlineStr">
        <is>
          <t>抖音</t>
        </is>
      </c>
      <c r="H90" s="2" t="str">
        <f>=HYPERLINK("https://www.douyin.com/video/7669008237697792110", "https://www.douyin.com/video/7669008237697792110")</f>
        <v>https://www.douyin.com/video/7669008237697792110</v>
      </c>
      <c r="I90" s="3">
        <v>45863</v>
      </c>
      <c r="J90" s="4">
        <v>46243</v>
      </c>
      <c r="K90" t="inlineStr">
        <is>
          <t>梅见独饮①</t>
        </is>
      </c>
      <c r="L90"/>
      <c r="M90" t="inlineStr">
        <is>
          <t>DY-U0169</t>
        </is>
      </c>
      <c r="N90" t="inlineStr">
        <is>
          <t>公开评论</t>
        </is>
      </c>
      <c r="O90"/>
      <c r="P90" t="inlineStr">
        <is>
          <t>点赞数未成功识别，暂置空，禁止随机补值；当前日期来自视频发布时间，评论发布时间未识别</t>
        </is>
      </c>
      <c r="Q90" t="inlineStr">
        <is>
          <t>目标品牌</t>
        </is>
      </c>
      <c r="R90"/>
      <c r="S90"/>
    </row>
    <row r="91" ht="25.5" customHeight="1">
      <c r="A91" t="inlineStr">
        <is>
          <t>DY-SOC-0154</t>
        </is>
      </c>
      <c r="B91" t="inlineStr">
        <is>
          <t>梅见产品体验反馈</t>
        </is>
      </c>
      <c r="C91" t="inlineStr">
        <is>
          <t>PRJ001</t>
        </is>
      </c>
      <c r="D91" t="inlineStr">
        <is>
          <t>梅见</t>
        </is>
      </c>
      <c r="E91" t="inlineStr">
        <is>
          <t>那个那个受不了[捂脸]</t>
        </is>
      </c>
      <c r="F91" t="inlineStr">
        <is>
          <t>晚上独饮的时候｜2025-07-25｜抖音</t>
        </is>
      </c>
      <c r="G91" t="inlineStr">
        <is>
          <t>抖音</t>
        </is>
      </c>
      <c r="H91" s="2" t="str">
        <f>=HYPERLINK("https://www.douyin.com/video/7669008237697792110", "https://www.douyin.com/video/7669008237697792110")</f>
        <v>https://www.douyin.com/video/7669008237697792110</v>
      </c>
      <c r="I91" s="3">
        <v>45863</v>
      </c>
      <c r="J91" s="4">
        <v>46243</v>
      </c>
      <c r="K91" t="inlineStr">
        <is>
          <t>梅见独饮①</t>
        </is>
      </c>
      <c r="L91"/>
      <c r="M91" t="inlineStr">
        <is>
          <t>DY-U0173</t>
        </is>
      </c>
      <c r="N91" t="inlineStr">
        <is>
          <t>公开评论</t>
        </is>
      </c>
      <c r="O91"/>
      <c r="P91" t="inlineStr">
        <is>
          <t>点赞数未成功识别，暂置空，禁止随机补值；当前日期来自视频发布时间，评论发布时间未识别</t>
        </is>
      </c>
      <c r="Q91" t="inlineStr">
        <is>
          <t>目标品牌</t>
        </is>
      </c>
      <c r="R91"/>
      <c r="S91"/>
    </row>
    <row r="92" ht="25.5" customHeight="1">
      <c r="A92" t="inlineStr">
        <is>
          <t>DY-SOC-0155</t>
        </is>
      </c>
      <c r="B92" t="inlineStr">
        <is>
          <t>梅见产品体验反馈</t>
        </is>
      </c>
      <c r="C92" t="inlineStr">
        <is>
          <t>PRJ001</t>
        </is>
      </c>
      <c r="D92" t="inlineStr">
        <is>
          <t>梅见</t>
        </is>
      </c>
      <c r="E92" t="inlineStr">
        <is>
          <t>你需要的是一个懂你的而不是跟你说这个不行那个不行的</t>
        </is>
      </c>
      <c r="F92" t="inlineStr">
        <is>
          <t>晚上独饮的时候｜2025-07-25｜抖音</t>
        </is>
      </c>
      <c r="G92" t="inlineStr">
        <is>
          <t>抖音</t>
        </is>
      </c>
      <c r="H92" s="2" t="str">
        <f>=HYPERLINK("https://www.douyin.com/video/7669008237697792110", "https://www.douyin.com/video/7669008237697792110")</f>
        <v>https://www.douyin.com/video/7669008237697792110</v>
      </c>
      <c r="I92" s="3">
        <v>45863</v>
      </c>
      <c r="J92" s="4">
        <v>46243</v>
      </c>
      <c r="K92" t="inlineStr">
        <is>
          <t>梅见独饮①</t>
        </is>
      </c>
      <c r="L92"/>
      <c r="M92" t="inlineStr">
        <is>
          <t>DY-U0176</t>
        </is>
      </c>
      <c r="N92" t="inlineStr">
        <is>
          <t>公开评论</t>
        </is>
      </c>
      <c r="O92"/>
      <c r="P92" t="inlineStr">
        <is>
          <t>点赞数未成功识别，暂置空，禁止随机补值</t>
        </is>
      </c>
      <c r="Q92" t="inlineStr">
        <is>
          <t>目标品牌</t>
        </is>
      </c>
      <c r="R92"/>
      <c r="S92"/>
    </row>
    <row r="93" ht="25.5" customHeight="1">
      <c r="A93" t="inlineStr">
        <is>
          <t>DY-SOC-0156</t>
        </is>
      </c>
      <c r="B93" t="inlineStr">
        <is>
          <t>梅见产品体验反馈</t>
        </is>
      </c>
      <c r="C93" t="inlineStr">
        <is>
          <t>PRJ001</t>
        </is>
      </c>
      <c r="D93" t="inlineStr">
        <is>
          <t>梅见</t>
        </is>
      </c>
      <c r="E93" t="inlineStr">
        <is>
          <t>这是黑暗荣耀里的河道英</t>
        </is>
      </c>
      <c r="F93" t="inlineStr">
        <is>
          <t>晚上独饮的时候｜2025-07-25｜抖音</t>
        </is>
      </c>
      <c r="G93" t="inlineStr">
        <is>
          <t>抖音</t>
        </is>
      </c>
      <c r="H93" s="2" t="str">
        <f>=HYPERLINK("https://www.douyin.com/video/7669008237697792110", "https://www.douyin.com/video/7669008237697792110")</f>
        <v>https://www.douyin.com/video/7669008237697792110</v>
      </c>
      <c r="I93" s="3">
        <v>45863</v>
      </c>
      <c r="J93" s="4">
        <v>46243</v>
      </c>
      <c r="K93" t="inlineStr">
        <is>
          <t>梅见独饮①</t>
        </is>
      </c>
      <c r="L93"/>
      <c r="M93" t="inlineStr">
        <is>
          <t>DY-U0177</t>
        </is>
      </c>
      <c r="N93" t="inlineStr">
        <is>
          <t>公开评论</t>
        </is>
      </c>
      <c r="O93"/>
      <c r="P93" t="inlineStr">
        <is>
          <t>点赞数未成功识别，暂置空，禁止随机补值；当前日期来自视频发布时间，评论发布时间未识别</t>
        </is>
      </c>
      <c r="Q93" t="inlineStr">
        <is>
          <t>目标品牌</t>
        </is>
      </c>
      <c r="R93"/>
      <c r="S93"/>
    </row>
    <row r="94" ht="25.5" customHeight="1">
      <c r="A94" t="inlineStr">
        <is>
          <t>DY-SOC-0157</t>
        </is>
      </c>
      <c r="B94" t="inlineStr">
        <is>
          <t>梅见产品体验反馈</t>
        </is>
      </c>
      <c r="C94" t="inlineStr">
        <is>
          <t>PRJ001</t>
        </is>
      </c>
      <c r="D94" t="inlineStr">
        <is>
          <t>梅见</t>
        </is>
      </c>
      <c r="E94" t="inlineStr">
        <is>
          <t>杯子好看酒的颜色也诱人</t>
        </is>
      </c>
      <c r="F94" t="inlineStr">
        <is>
          <t>下班微醺这一刻太惬意｜2025-08-02｜抖音</t>
        </is>
      </c>
      <c r="G94" t="inlineStr">
        <is>
          <t>抖音</t>
        </is>
      </c>
      <c r="H94" s="2" t="str">
        <f>=HYPERLINK("https://www.douyin.com/video/7641146960553096778", "https://www.douyin.com/video/7641146960553096778")</f>
        <v>https://www.douyin.com/video/7641146960553096778</v>
      </c>
      <c r="I94" s="3">
        <v>45871</v>
      </c>
      <c r="J94" s="4">
        <v>46243</v>
      </c>
      <c r="K94" t="inlineStr">
        <is>
          <t>梅见独饮②</t>
        </is>
      </c>
      <c r="L94"/>
      <c r="M94" t="inlineStr">
        <is>
          <t>DY-U0179</t>
        </is>
      </c>
      <c r="N94" t="inlineStr">
        <is>
          <t>公开评论</t>
        </is>
      </c>
      <c r="O94"/>
      <c r="P94" t="inlineStr">
        <is>
          <t>点赞数未成功识别，暂置空，禁止随机补值</t>
        </is>
      </c>
      <c r="Q94" t="inlineStr">
        <is>
          <t>目标品牌</t>
        </is>
      </c>
      <c r="R94"/>
      <c r="S94"/>
    </row>
    <row r="95" ht="25.5" customHeight="1">
      <c r="A95" t="inlineStr">
        <is>
          <t>DY-SOC-0158</t>
        </is>
      </c>
      <c r="B95" t="inlineStr">
        <is>
          <t>梅见产品体验反馈</t>
        </is>
      </c>
      <c r="C95" t="inlineStr">
        <is>
          <t>PRJ001</t>
        </is>
      </c>
      <c r="D95" t="inlineStr">
        <is>
          <t>梅见</t>
        </is>
      </c>
      <c r="E95" t="inlineStr">
        <is>
          <t>烟熏梅见好喝吗求真实口感</t>
        </is>
      </c>
      <c r="F95" t="inlineStr">
        <is>
          <t>下班微醺这一刻太惬意｜2025-08-02｜抖音</t>
        </is>
      </c>
      <c r="G95" t="inlineStr">
        <is>
          <t>抖音</t>
        </is>
      </c>
      <c r="H95" s="2" t="str">
        <f>=HYPERLINK("https://www.douyin.com/video/7641146960553096778", "https://www.douyin.com/video/7641146960553096778")</f>
        <v>https://www.douyin.com/video/7641146960553096778</v>
      </c>
      <c r="I95" s="3">
        <v>45871</v>
      </c>
      <c r="J95" s="4">
        <v>46243</v>
      </c>
      <c r="K95" t="inlineStr">
        <is>
          <t>梅见独饮②</t>
        </is>
      </c>
      <c r="L95"/>
      <c r="M95" t="inlineStr">
        <is>
          <t>DY-U0180</t>
        </is>
      </c>
      <c r="N95" t="inlineStr">
        <is>
          <t>公开评论</t>
        </is>
      </c>
      <c r="O95"/>
      <c r="P95" t="inlineStr">
        <is>
          <t>点赞数未成功识别，暂置空，禁止随机补值</t>
        </is>
      </c>
      <c r="Q95" t="inlineStr">
        <is>
          <t>目标品牌</t>
        </is>
      </c>
      <c r="R95"/>
      <c r="S95"/>
    </row>
    <row r="96" ht="25.5" customHeight="1">
      <c r="A96" t="inlineStr">
        <is>
          <t>DY-SOC-0159</t>
        </is>
      </c>
      <c r="B96" t="inlineStr">
        <is>
          <t>梅见产品体验反馈</t>
        </is>
      </c>
      <c r="C96" t="inlineStr">
        <is>
          <t>PRJ001</t>
        </is>
      </c>
      <c r="D96" t="inlineStr">
        <is>
          <t>梅见</t>
        </is>
      </c>
      <c r="E96" t="inlineStr">
        <is>
          <t>梅见新口味一定要试试</t>
        </is>
      </c>
      <c r="F96" t="inlineStr">
        <is>
          <t>下班微醺这一刻太惬意｜2025-08-02｜抖音</t>
        </is>
      </c>
      <c r="G96" t="inlineStr">
        <is>
          <t>抖音</t>
        </is>
      </c>
      <c r="H96" s="2" t="str">
        <f>=HYPERLINK("https://www.douyin.com/video/7641146960553096778", "https://www.douyin.com/video/7641146960553096778")</f>
        <v>https://www.douyin.com/video/7641146960553096778</v>
      </c>
      <c r="I96" s="3">
        <v>45871</v>
      </c>
      <c r="J96" s="4">
        <v>46243</v>
      </c>
      <c r="K96" t="inlineStr">
        <is>
          <t>梅见独饮②</t>
        </is>
      </c>
      <c r="L96"/>
      <c r="M96" t="inlineStr">
        <is>
          <t>DY-U0181</t>
        </is>
      </c>
      <c r="N96" t="inlineStr">
        <is>
          <t>公开评论</t>
        </is>
      </c>
      <c r="O96"/>
      <c r="P96" t="inlineStr">
        <is>
          <t>点赞数未成功识别，暂置空，禁止随机补值</t>
        </is>
      </c>
      <c r="Q96" t="inlineStr">
        <is>
          <t>目标品牌</t>
        </is>
      </c>
      <c r="R96"/>
      <c r="S96"/>
    </row>
    <row r="97" ht="25.5" customHeight="1">
      <c r="A97" t="inlineStr">
        <is>
          <t>DY-SOC-0160</t>
        </is>
      </c>
      <c r="B97" t="inlineStr">
        <is>
          <t>梅见产品体验反馈</t>
        </is>
      </c>
      <c r="C97" t="inlineStr">
        <is>
          <t>PRJ001</t>
        </is>
      </c>
      <c r="D97" t="inlineStr">
        <is>
          <t>梅见</t>
        </is>
      </c>
      <c r="E97" t="inlineStr">
        <is>
          <t>开头歌曲是什么歌名[流泪]</t>
        </is>
      </c>
      <c r="F97" t="inlineStr">
        <is>
          <t>好久不见我的朋友｜2025-04-28｜抖音</t>
        </is>
      </c>
      <c r="G97" t="inlineStr">
        <is>
          <t>抖音</t>
        </is>
      </c>
      <c r="H97" s="2" t="str">
        <f>=HYPERLINK("https://www.douyin.com/video/7633748408986009262", "https://www.douyin.com/video/7633748408986009262")</f>
        <v>https://www.douyin.com/video/7633748408986009262</v>
      </c>
      <c r="I97" s="3">
        <v>45775</v>
      </c>
      <c r="J97" s="4">
        <v>46243</v>
      </c>
      <c r="K97" t="inlineStr">
        <is>
          <t>梅见朋友聚会①</t>
        </is>
      </c>
      <c r="L97"/>
      <c r="M97" t="inlineStr">
        <is>
          <t>DY-U0187</t>
        </is>
      </c>
      <c r="N97" t="inlineStr">
        <is>
          <t>公开评论</t>
        </is>
      </c>
      <c r="O97"/>
      <c r="P97" t="inlineStr">
        <is>
          <t>点赞数未成功识别，暂置空，禁止随机补值；当前日期来自视频发布时间，评论发布时间未识别</t>
        </is>
      </c>
      <c r="Q97" t="inlineStr">
        <is>
          <t>目标品牌</t>
        </is>
      </c>
      <c r="R97"/>
      <c r="S97"/>
    </row>
    <row r="98" ht="25.5" customHeight="1">
      <c r="A98" t="inlineStr">
        <is>
          <t>DY-SOC-0161</t>
        </is>
      </c>
      <c r="B98" t="inlineStr">
        <is>
          <t>梅见产品体验反馈</t>
        </is>
      </c>
      <c r="C98" t="inlineStr">
        <is>
          <t>PRJ001</t>
        </is>
      </c>
      <c r="D98" t="inlineStr">
        <is>
          <t>梅见</t>
        </is>
      </c>
      <c r="E98" t="inlineStr">
        <is>
          <t>每一个down的加班夜她都会期待下楼能看到你</t>
        </is>
      </c>
      <c r="F98" t="inlineStr">
        <is>
          <t>好久不见我的朋友｜2025-04-28｜抖音</t>
        </is>
      </c>
      <c r="G98" t="inlineStr">
        <is>
          <t>抖音</t>
        </is>
      </c>
      <c r="H98" s="2" t="str">
        <f>=HYPERLINK("https://www.douyin.com/video/7633748408986009262", "https://www.douyin.com/video/7633748408986009262")</f>
        <v>https://www.douyin.com/video/7633748408986009262</v>
      </c>
      <c r="I98" s="3">
        <v>45775</v>
      </c>
      <c r="J98" s="4">
        <v>46243</v>
      </c>
      <c r="K98" t="inlineStr">
        <is>
          <t>梅见朋友聚会①</t>
        </is>
      </c>
      <c r="L98"/>
      <c r="M98" t="inlineStr">
        <is>
          <t>DY-U0188</t>
        </is>
      </c>
      <c r="N98" t="inlineStr">
        <is>
          <t>公开评论</t>
        </is>
      </c>
      <c r="O98"/>
      <c r="P98" t="inlineStr">
        <is>
          <t>点赞数未成功识别，暂置空，禁止随机补值；当前日期来自视频发布时间，评论发布时间未识别</t>
        </is>
      </c>
      <c r="Q98" t="inlineStr">
        <is>
          <t>目标品牌</t>
        </is>
      </c>
      <c r="R98"/>
      <c r="S98"/>
    </row>
    <row r="99" ht="25.5" customHeight="1">
      <c r="A99" t="inlineStr">
        <is>
          <t>DY-SOC-0162</t>
        </is>
      </c>
      <c r="B99" t="inlineStr">
        <is>
          <t>梅见产品体验反馈</t>
        </is>
      </c>
      <c r="C99" t="inlineStr">
        <is>
          <t>PRJ001</t>
        </is>
      </c>
      <c r="D99" t="inlineStr">
        <is>
          <t>梅见</t>
        </is>
      </c>
      <c r="E99" t="inlineStr">
        <is>
          <t>我也down能来找我不</t>
        </is>
      </c>
      <c r="F99" t="inlineStr">
        <is>
          <t>好久不见我的朋友｜2025-04-28｜抖音</t>
        </is>
      </c>
      <c r="G99" t="inlineStr">
        <is>
          <t>抖音</t>
        </is>
      </c>
      <c r="H99" s="2" t="str">
        <f>=HYPERLINK("https://www.douyin.com/video/7633748408986009262", "https://www.douyin.com/video/7633748408986009262")</f>
        <v>https://www.douyin.com/video/7633748408986009262</v>
      </c>
      <c r="I99" s="3">
        <v>45775</v>
      </c>
      <c r="J99" s="4">
        <v>46243</v>
      </c>
      <c r="K99" t="inlineStr">
        <is>
          <t>梅见朋友聚会①</t>
        </is>
      </c>
      <c r="L99"/>
      <c r="M99" t="inlineStr">
        <is>
          <t>DY-U0189</t>
        </is>
      </c>
      <c r="N99" t="inlineStr">
        <is>
          <t>公开评论</t>
        </is>
      </c>
      <c r="O99"/>
      <c r="P99" t="inlineStr">
        <is>
          <t>点赞数未成功识别，暂置空，禁止随机补值；当前日期来自视频发布时间，评论发布时间未识别</t>
        </is>
      </c>
      <c r="Q99" t="inlineStr">
        <is>
          <t>目标品牌</t>
        </is>
      </c>
      <c r="R99"/>
      <c r="S99"/>
    </row>
    <row r="100" ht="25.5" customHeight="1">
      <c r="A100" t="inlineStr">
        <is>
          <t>DY-SOC-0163</t>
        </is>
      </c>
      <c r="B100" t="inlineStr">
        <is>
          <t>梅见产品体验反馈</t>
        </is>
      </c>
      <c r="C100" t="inlineStr">
        <is>
          <t>PRJ001</t>
        </is>
      </c>
      <c r="D100" t="inlineStr">
        <is>
          <t>梅见</t>
        </is>
      </c>
      <c r="E100" t="inlineStr">
        <is>
          <t>当年毕业那天和室友说好每年都要见一次直到后来都默契地决定顶峰相见</t>
        </is>
      </c>
      <c r="F100" t="inlineStr">
        <is>
          <t>好久不见我的朋友｜2025-04-28｜抖音</t>
        </is>
      </c>
      <c r="G100" t="inlineStr">
        <is>
          <t>抖音</t>
        </is>
      </c>
      <c r="H100" s="2" t="str">
        <f>=HYPERLINK("https://www.douyin.com/video/7633748408986009262", "https://www.douyin.com/video/7633748408986009262")</f>
        <v>https://www.douyin.com/video/7633748408986009262</v>
      </c>
      <c r="I100" s="3">
        <v>45775</v>
      </c>
      <c r="J100" s="4">
        <v>46243</v>
      </c>
      <c r="K100" t="inlineStr">
        <is>
          <t>梅见朋友聚会①</t>
        </is>
      </c>
      <c r="L100"/>
      <c r="M100" t="inlineStr">
        <is>
          <t>DY-U0190</t>
        </is>
      </c>
      <c r="N100" t="inlineStr">
        <is>
          <t>公开评论</t>
        </is>
      </c>
      <c r="O100"/>
      <c r="P100" t="inlineStr">
        <is>
          <t>点赞数未成功识别，暂置空，禁止随机补值；当前日期来自视频发布时间，评论发布时间未识别</t>
        </is>
      </c>
      <c r="Q100" t="inlineStr">
        <is>
          <t>目标品牌</t>
        </is>
      </c>
      <c r="R100"/>
      <c r="S100"/>
    </row>
    <row r="101" ht="25.5" customHeight="1">
      <c r="A101" t="inlineStr">
        <is>
          <t>DY-SOC-0164</t>
        </is>
      </c>
      <c r="B101" t="inlineStr">
        <is>
          <t>梅见产品体验反馈</t>
        </is>
      </c>
      <c r="C101" t="inlineStr">
        <is>
          <t>PRJ001</t>
        </is>
      </c>
      <c r="D101" t="inlineStr">
        <is>
          <t>梅见</t>
        </is>
      </c>
      <c r="E101" t="inlineStr">
        <is>
          <t>可惜这辈子没有这么好的朋友</t>
        </is>
      </c>
      <c r="F101" t="inlineStr">
        <is>
          <t>好久不见我的朋友｜2025-04-28｜抖音</t>
        </is>
      </c>
      <c r="G101" t="inlineStr">
        <is>
          <t>抖音</t>
        </is>
      </c>
      <c r="H101" s="2" t="str">
        <f>=HYPERLINK("https://www.douyin.com/video/7633748408986009262", "https://www.douyin.com/video/7633748408986009262")</f>
        <v>https://www.douyin.com/video/7633748408986009262</v>
      </c>
      <c r="I101" s="3">
        <v>45775</v>
      </c>
      <c r="J101" s="4">
        <v>46243</v>
      </c>
      <c r="K101" t="inlineStr">
        <is>
          <t>梅见朋友聚会①</t>
        </is>
      </c>
      <c r="L101"/>
      <c r="M101" t="inlineStr">
        <is>
          <t>DY-U0191</t>
        </is>
      </c>
      <c r="N101" t="inlineStr">
        <is>
          <t>公开评论</t>
        </is>
      </c>
      <c r="O101"/>
      <c r="P101" t="inlineStr">
        <is>
          <t>点赞数未成功识别，暂置空，禁止随机补值；当前日期来自视频发布时间，评论发布时间未识别</t>
        </is>
      </c>
      <c r="Q101" t="inlineStr">
        <is>
          <t>目标品牌</t>
        </is>
      </c>
      <c r="R101"/>
      <c r="S101"/>
    </row>
    <row r="102" ht="25.5" customHeight="1">
      <c r="A102" t="inlineStr">
        <is>
          <t>DY-SOC-0165</t>
        </is>
      </c>
      <c r="B102" t="inlineStr">
        <is>
          <t>梅见产品体验反馈</t>
        </is>
      </c>
      <c r="C102" t="inlineStr">
        <is>
          <t>PRJ001</t>
        </is>
      </c>
      <c r="D102" t="inlineStr">
        <is>
          <t>梅见</t>
        </is>
      </c>
      <c r="E102" t="inlineStr">
        <is>
          <t>之前上高中天天在一起现在也很久没见了但是我清明节去找她玩咯</t>
        </is>
      </c>
      <c r="F102" t="inlineStr">
        <is>
          <t>好久不见我的朋友｜2025-04-28｜抖音</t>
        </is>
      </c>
      <c r="G102" t="inlineStr">
        <is>
          <t>抖音</t>
        </is>
      </c>
      <c r="H102" s="2" t="str">
        <f>=HYPERLINK("https://www.douyin.com/video/7633748408986009262", "https://www.douyin.com/video/7633748408986009262")</f>
        <v>https://www.douyin.com/video/7633748408986009262</v>
      </c>
      <c r="I102" s="3">
        <v>45775</v>
      </c>
      <c r="J102" s="4">
        <v>46243</v>
      </c>
      <c r="K102" t="inlineStr">
        <is>
          <t>梅见朋友聚会①</t>
        </is>
      </c>
      <c r="L102"/>
      <c r="M102" t="inlineStr">
        <is>
          <t>DY-U0192</t>
        </is>
      </c>
      <c r="N102" t="inlineStr">
        <is>
          <t>公开评论</t>
        </is>
      </c>
      <c r="O102"/>
      <c r="P102" t="inlineStr">
        <is>
          <t>点赞数未成功识别，暂置空，禁止随机补值；当前日期来自视频发布时间，评论发布时间未识别</t>
        </is>
      </c>
      <c r="Q102" t="inlineStr">
        <is>
          <t>目标品牌</t>
        </is>
      </c>
      <c r="R102"/>
      <c r="S102"/>
    </row>
    <row r="103" ht="25.5" customHeight="1">
      <c r="A103" t="inlineStr">
        <is>
          <t>DY-SOC-0166</t>
        </is>
      </c>
      <c r="B103" t="inlineStr">
        <is>
          <t>梅见产品体验反馈</t>
        </is>
      </c>
      <c r="C103" t="inlineStr">
        <is>
          <t>PRJ001</t>
        </is>
      </c>
      <c r="D103" t="inlineStr">
        <is>
          <t>梅见</t>
        </is>
      </c>
      <c r="E103" t="inlineStr">
        <is>
          <t>果断三连助力博主</t>
        </is>
      </c>
      <c r="F103" t="inlineStr">
        <is>
          <t>人生几何知己见面喝酒｜2025-05-19｜抖音</t>
        </is>
      </c>
      <c r="G103" t="inlineStr">
        <is>
          <t>抖音</t>
        </is>
      </c>
      <c r="H103" s="2" t="str">
        <f>=HYPERLINK("https://www.douyin.com/video/7506039236925066533", "https://www.douyin.com/video/7506039236925066533")</f>
        <v>https://www.douyin.com/video/7506039236925066533</v>
      </c>
      <c r="I103" s="3">
        <v>45796</v>
      </c>
      <c r="J103" s="4">
        <v>46243</v>
      </c>
      <c r="K103" t="inlineStr">
        <is>
          <t>梅见朋友聚会②</t>
        </is>
      </c>
      <c r="L103"/>
      <c r="M103" t="inlineStr">
        <is>
          <t>DY-U0196</t>
        </is>
      </c>
      <c r="N103" t="inlineStr">
        <is>
          <t>公开评论</t>
        </is>
      </c>
      <c r="O103"/>
      <c r="P103" t="inlineStr">
        <is>
          <t>点赞数未成功识别，暂置空，禁止随机补值；当前日期来自视频发布时间，评论发布时间未识别</t>
        </is>
      </c>
      <c r="Q103" t="inlineStr">
        <is>
          <t>目标品牌</t>
        </is>
      </c>
      <c r="R103"/>
      <c r="S103"/>
    </row>
    <row r="104" ht="25.5" customHeight="1">
      <c r="A104" t="inlineStr">
        <is>
          <t>DY-SOC-0167</t>
        </is>
      </c>
      <c r="B104" t="inlineStr">
        <is>
          <t>梅见产品体验反馈</t>
        </is>
      </c>
      <c r="C104" t="inlineStr">
        <is>
          <t>PRJ001</t>
        </is>
      </c>
      <c r="D104" t="inlineStr">
        <is>
          <t>梅见</t>
        </is>
      </c>
      <c r="E104" t="inlineStr">
        <is>
          <t>有没有什么抽奖活动可以抽粉丝到你家吃饭呢</t>
        </is>
      </c>
      <c r="F104" t="inlineStr">
        <is>
          <t>人生几何知己见面喝酒｜2025-05-19｜抖音</t>
        </is>
      </c>
      <c r="G104" t="inlineStr">
        <is>
          <t>抖音</t>
        </is>
      </c>
      <c r="H104" s="2" t="str">
        <f>=HYPERLINK("https://www.douyin.com/video/7506039236925066533", "https://www.douyin.com/video/7506039236925066533")</f>
        <v>https://www.douyin.com/video/7506039236925066533</v>
      </c>
      <c r="I104" s="3">
        <v>45796</v>
      </c>
      <c r="J104" s="4">
        <v>46243</v>
      </c>
      <c r="K104" t="inlineStr">
        <is>
          <t>梅见朋友聚会②</t>
        </is>
      </c>
      <c r="L104"/>
      <c r="M104" t="inlineStr">
        <is>
          <t>DY-U0197</t>
        </is>
      </c>
      <c r="N104" t="inlineStr">
        <is>
          <t>公开评论</t>
        </is>
      </c>
      <c r="O104"/>
      <c r="P104" t="inlineStr">
        <is>
          <t>点赞数未成功识别，暂置空，禁止随机补值；当前日期来自视频发布时间，评论发布时间未识别</t>
        </is>
      </c>
      <c r="Q104" t="inlineStr">
        <is>
          <t>目标品牌</t>
        </is>
      </c>
      <c r="R104"/>
      <c r="S104"/>
    </row>
    <row r="105" ht="25.5" customHeight="1">
      <c r="A105" t="inlineStr">
        <is>
          <t>DY-SOC-0170</t>
        </is>
      </c>
      <c r="B105" t="inlineStr">
        <is>
          <t>梅见产品体验反馈</t>
        </is>
      </c>
      <c r="C105" t="inlineStr">
        <is>
          <t>PRJ001</t>
        </is>
      </c>
      <c r="D105" t="inlineStr">
        <is>
          <t>梅见</t>
        </is>
      </c>
      <c r="E105" t="inlineStr">
        <is>
          <t>转场效果很出色流畅</t>
        </is>
      </c>
      <c r="F105" t="inlineStr">
        <is>
          <t>人生几何知己见面喝酒｜2025-05-19｜抖音</t>
        </is>
      </c>
      <c r="G105" t="inlineStr">
        <is>
          <t>抖音</t>
        </is>
      </c>
      <c r="H105" s="2" t="str">
        <f>=HYPERLINK("https://www.douyin.com/video/7506039236925066533", "https://www.douyin.com/video/7506039236925066533")</f>
        <v>https://www.douyin.com/video/7506039236925066533</v>
      </c>
      <c r="I105" s="3">
        <v>45796</v>
      </c>
      <c r="J105" s="4">
        <v>46243</v>
      </c>
      <c r="K105" t="inlineStr">
        <is>
          <t>梅见朋友聚会②</t>
        </is>
      </c>
      <c r="L105"/>
      <c r="M105" t="inlineStr">
        <is>
          <t>DY-U0202</t>
        </is>
      </c>
      <c r="N105" t="inlineStr">
        <is>
          <t>公开评论</t>
        </is>
      </c>
      <c r="O105"/>
      <c r="P105" t="inlineStr">
        <is>
          <t>点赞数未成功识别，暂置空，禁止随机补值；当前日期来自视频发布时间，评论发布时间未识别</t>
        </is>
      </c>
      <c r="Q105" t="inlineStr">
        <is>
          <t>目标品牌</t>
        </is>
      </c>
      <c r="R105"/>
      <c r="S105"/>
    </row>
    <row r="106" ht="25.5" customHeight="1">
      <c r="A106" t="inlineStr">
        <is>
          <t>DY-SOC-0171</t>
        </is>
      </c>
      <c r="B106" t="inlineStr">
        <is>
          <t>梅见产品体验反馈</t>
        </is>
      </c>
      <c r="C106" t="inlineStr">
        <is>
          <t>PRJ001</t>
        </is>
      </c>
      <c r="D106" t="inlineStr">
        <is>
          <t>梅见</t>
        </is>
      </c>
      <c r="E106" t="inlineStr">
        <is>
          <t>太羡慕这样的生活了[举手]</t>
        </is>
      </c>
      <c r="F106" t="inlineStr">
        <is>
          <t>人生几何知己见面喝酒｜2025-05-19｜抖音</t>
        </is>
      </c>
      <c r="G106" t="inlineStr">
        <is>
          <t>抖音</t>
        </is>
      </c>
      <c r="H106" s="2" t="str">
        <f>=HYPERLINK("https://www.douyin.com/video/7506039236925066533", "https://www.douyin.com/video/7506039236925066533")</f>
        <v>https://www.douyin.com/video/7506039236925066533</v>
      </c>
      <c r="I106" s="3">
        <v>45796</v>
      </c>
      <c r="J106" s="4">
        <v>46243</v>
      </c>
      <c r="K106" t="inlineStr">
        <is>
          <t>梅见朋友聚会②</t>
        </is>
      </c>
      <c r="L106"/>
      <c r="M106" t="inlineStr">
        <is>
          <t>DY-U0203</t>
        </is>
      </c>
      <c r="N106" t="inlineStr">
        <is>
          <t>公开评论</t>
        </is>
      </c>
      <c r="O106"/>
      <c r="P106" t="inlineStr">
        <is>
          <t>点赞数未成功识别，暂置空，禁止随机补值；当前日期来自视频发布时间，评论发布时间未识别</t>
        </is>
      </c>
      <c r="Q106" t="inlineStr">
        <is>
          <t>目标品牌</t>
        </is>
      </c>
      <c r="R106"/>
      <c r="S106"/>
    </row>
    <row r="107" ht="25.5" customHeight="1">
      <c r="A107" t="inlineStr">
        <is>
          <t>DY-SOC-0172</t>
        </is>
      </c>
      <c r="B107" t="inlineStr">
        <is>
          <t>梅见产品体验反馈</t>
        </is>
      </c>
      <c r="C107" t="inlineStr">
        <is>
          <t>PRJ001</t>
        </is>
      </c>
      <c r="D107" t="inlineStr">
        <is>
          <t>梅见</t>
        </is>
      </c>
      <c r="E107" t="inlineStr">
        <is>
          <t>什么时候才能这样嗨</t>
        </is>
      </c>
      <c r="F107" t="inlineStr">
        <is>
          <t>如果幸福是吃顿小火锅｜2025-07-31｜抖音</t>
        </is>
      </c>
      <c r="G107" t="inlineStr">
        <is>
          <t>抖音</t>
        </is>
      </c>
      <c r="H107" s="2" t="str">
        <f>=HYPERLINK("https://www.douyin.com/video/7668613884207135978", "https://www.douyin.com/video/7668613884207135978")</f>
        <v>https://www.douyin.com/video/7668613884207135978</v>
      </c>
      <c r="I107" s="3">
        <v>45869</v>
      </c>
      <c r="J107" s="4">
        <v>46243</v>
      </c>
      <c r="K107" t="inlineStr">
        <is>
          <t>梅见火锅①</t>
        </is>
      </c>
      <c r="L107"/>
      <c r="M107" t="inlineStr">
        <is>
          <t>DY-U0206</t>
        </is>
      </c>
      <c r="N107" t="inlineStr">
        <is>
          <t>公开评论</t>
        </is>
      </c>
      <c r="O107"/>
      <c r="P107" t="inlineStr">
        <is>
          <t>点赞数未成功识别，暂置空，禁止随机补值；当前日期来自视频发布时间，评论发布时间未识别</t>
        </is>
      </c>
      <c r="Q107" t="inlineStr">
        <is>
          <t>目标品牌</t>
        </is>
      </c>
      <c r="R107"/>
      <c r="S107"/>
    </row>
    <row r="108" ht="25.5" customHeight="1">
      <c r="A108" t="inlineStr">
        <is>
          <t>DY-SOC-0173</t>
        </is>
      </c>
      <c r="B108" t="inlineStr">
        <is>
          <t>梅见产品体验反馈</t>
        </is>
      </c>
      <c r="C108" t="inlineStr">
        <is>
          <t>PRJ001</t>
        </is>
      </c>
      <c r="D108" t="inlineStr">
        <is>
          <t>梅见</t>
        </is>
      </c>
      <c r="E108" t="inlineStr">
        <is>
          <t>流量来我家看看吧[流泪][流泪]</t>
        </is>
      </c>
      <c r="F108" t="inlineStr">
        <is>
          <t>如果幸福是吃顿小火锅｜2025-07-31｜抖音</t>
        </is>
      </c>
      <c r="G108" t="inlineStr">
        <is>
          <t>抖音</t>
        </is>
      </c>
      <c r="H108" s="2" t="str">
        <f>=HYPERLINK("https://www.douyin.com/video/7668613884207135978", "https://www.douyin.com/video/7668613884207135978")</f>
        <v>https://www.douyin.com/video/7668613884207135978</v>
      </c>
      <c r="I108" s="3">
        <v>45869</v>
      </c>
      <c r="J108" s="4">
        <v>46243</v>
      </c>
      <c r="K108" t="inlineStr">
        <is>
          <t>梅见火锅①</t>
        </is>
      </c>
      <c r="L108"/>
      <c r="M108" t="inlineStr">
        <is>
          <t>DY-U0207</t>
        </is>
      </c>
      <c r="N108" t="inlineStr">
        <is>
          <t>公开评论</t>
        </is>
      </c>
      <c r="O108"/>
      <c r="P108" t="inlineStr">
        <is>
          <t>点赞数未成功识别，暂置空，禁止随机补值；当前日期来自视频发布时间，评论发布时间未识别</t>
        </is>
      </c>
      <c r="Q108" t="inlineStr">
        <is>
          <t>目标品牌</t>
        </is>
      </c>
      <c r="R108"/>
      <c r="S108"/>
    </row>
    <row r="109" ht="25.5" customHeight="1">
      <c r="A109" t="inlineStr">
        <is>
          <t>DY-SOC-0174</t>
        </is>
      </c>
      <c r="B109" t="inlineStr">
        <is>
          <t>梅见产品体验反馈</t>
        </is>
      </c>
      <c r="C109" t="inlineStr">
        <is>
          <t>PRJ001</t>
        </is>
      </c>
      <c r="D109" t="inlineStr">
        <is>
          <t>梅见</t>
        </is>
      </c>
      <c r="E109" t="inlineStr">
        <is>
          <t>热辣涮肉快乐超够</t>
        </is>
      </c>
      <c r="F109" t="inlineStr">
        <is>
          <t>如果幸福是吃顿小火锅｜2025-07-31｜抖音</t>
        </is>
      </c>
      <c r="G109" t="inlineStr">
        <is>
          <t>抖音</t>
        </is>
      </c>
      <c r="H109" s="2" t="str">
        <f>=HYPERLINK("https://www.douyin.com/video/7668613884207135978", "https://www.douyin.com/video/7668613884207135978")</f>
        <v>https://www.douyin.com/video/7668613884207135978</v>
      </c>
      <c r="I109" s="3">
        <v>45869</v>
      </c>
      <c r="J109" s="4">
        <v>46243</v>
      </c>
      <c r="K109" t="inlineStr">
        <is>
          <t>梅见火锅①</t>
        </is>
      </c>
      <c r="L109"/>
      <c r="M109" t="inlineStr">
        <is>
          <t>DY-U0209</t>
        </is>
      </c>
      <c r="N109" t="inlineStr">
        <is>
          <t>公开评论</t>
        </is>
      </c>
      <c r="O109"/>
      <c r="P109" t="inlineStr">
        <is>
          <t>点赞数未成功识别，暂置空，禁止随机补值</t>
        </is>
      </c>
      <c r="Q109" t="inlineStr">
        <is>
          <t>目标品牌</t>
        </is>
      </c>
      <c r="R109"/>
      <c r="S109"/>
    </row>
    <row r="110" ht="25.5" customHeight="1">
      <c r="A110" t="inlineStr">
        <is>
          <t>DY-SOC-0175</t>
        </is>
      </c>
      <c r="B110" t="inlineStr">
        <is>
          <t>梅见产品体验反馈</t>
        </is>
      </c>
      <c r="C110" t="inlineStr">
        <is>
          <t>PRJ001</t>
        </is>
      </c>
      <c r="D110" t="inlineStr">
        <is>
          <t>梅见</t>
        </is>
      </c>
      <c r="E110" t="inlineStr">
        <is>
          <t>吃饱喝足岁岁有福</t>
        </is>
      </c>
      <c r="F110" t="inlineStr">
        <is>
          <t>如果幸福是吃顿小火锅｜2025-07-31｜抖音</t>
        </is>
      </c>
      <c r="G110" t="inlineStr">
        <is>
          <t>抖音</t>
        </is>
      </c>
      <c r="H110" s="2" t="str">
        <f>=HYPERLINK("https://www.douyin.com/video/7668613884207135978", "https://www.douyin.com/video/7668613884207135978")</f>
        <v>https://www.douyin.com/video/7668613884207135978</v>
      </c>
      <c r="I110" s="3">
        <v>45869</v>
      </c>
      <c r="J110" s="4">
        <v>46243</v>
      </c>
      <c r="K110" t="inlineStr">
        <is>
          <t>梅见火锅①</t>
        </is>
      </c>
      <c r="L110"/>
      <c r="M110" t="inlineStr">
        <is>
          <t>DY-U0210</t>
        </is>
      </c>
      <c r="N110" t="inlineStr">
        <is>
          <t>公开评论</t>
        </is>
      </c>
      <c r="O110"/>
      <c r="P110" t="inlineStr">
        <is>
          <t>点赞数未成功识别，暂置空，禁止随机补值</t>
        </is>
      </c>
      <c r="Q110" t="inlineStr">
        <is>
          <t>目标品牌</t>
        </is>
      </c>
      <c r="R110"/>
      <c r="S110"/>
    </row>
    <row r="111" ht="25.5" customHeight="1">
      <c r="A111" t="inlineStr">
        <is>
          <t>XHS-SOC-0195</t>
        </is>
      </c>
      <c r="B111" t="inlineStr">
        <is>
          <t>梅见产品体验反馈</t>
        </is>
      </c>
      <c r="C111" t="inlineStr">
        <is>
          <t>PRJ001</t>
        </is>
      </c>
      <c r="D111" t="inlineStr">
        <is>
          <t>梅见</t>
        </is>
      </c>
      <c r="E111" t="inlineStr">
        <is>
          <t>其实日本的梅见真的很好喝我感觉国内的梅见跟日本的梅见不是一个东西</t>
        </is>
      </c>
      <c r="F111" t="inlineStr">
        <is>
          <t>梅见成分分析-浓缩汁勾兑｜2025-10-01｜小红书</t>
        </is>
      </c>
      <c r="G111" t="inlineStr">
        <is>
          <t>小红书</t>
        </is>
      </c>
      <c r="H111" s="2" t="str">
        <f>=HYPERLINK("https://www.xiaohongshu.com/search_result/梅见测评", "https://www.xiaohongshu.com/search_result/梅见测评")</f>
        <v>https://www.xiaohongshu.com/search_result/梅见测评</v>
      </c>
      <c r="I111" s="3">
        <v>46139</v>
      </c>
      <c r="J111" s="4">
        <v>46243</v>
      </c>
      <c r="K111" t="inlineStr">
        <is>
          <t>梅见测评</t>
        </is>
      </c>
      <c r="L111">
        <v>3</v>
      </c>
      <c r="M111" t="inlineStr">
        <is>
          <t>XHS-U0107</t>
        </is>
      </c>
      <c r="N111" t="inlineStr">
        <is>
          <t>公开评论</t>
        </is>
      </c>
      <c r="O111"/>
      <c r="P111" t="inlineStr">
        <is>
          <t>原始:04-27;年份推定·新加坡；当前为搜索结果页链接，正式入库前需补原笔记链接</t>
        </is>
      </c>
      <c r="Q111" t="inlineStr">
        <is>
          <t>目标品牌</t>
        </is>
      </c>
      <c r="R111"/>
      <c r="S111"/>
    </row>
    <row r="112" ht="25.5" customHeight="1">
      <c r="A112" t="inlineStr">
        <is>
          <t>XHS-SOC-0200</t>
        </is>
      </c>
      <c r="B112" t="inlineStr">
        <is>
          <t>梅见产品体验反馈</t>
        </is>
      </c>
      <c r="C112" t="inlineStr">
        <is>
          <t>PRJ001</t>
        </is>
      </c>
      <c r="D112" t="inlineStr">
        <is>
          <t>梅见</t>
        </is>
      </c>
      <c r="E112" t="inlineStr">
        <is>
          <t>尝了一口感觉像是止咳糖浆的味道</t>
        </is>
      </c>
      <c r="F112" t="inlineStr">
        <is>
          <t>梅见成分分析-浓缩汁勾兑｜2025-10-01｜小红书</t>
        </is>
      </c>
      <c r="G112" t="inlineStr">
        <is>
          <t>小红书</t>
        </is>
      </c>
      <c r="H112" s="2" t="str">
        <f>=HYPERLINK("https://www.xiaohongshu.com/search_result/梅见测评", "https://www.xiaohongshu.com/search_result/梅见测评")</f>
        <v>https://www.xiaohongshu.com/search_result/梅见测评</v>
      </c>
      <c r="I112" s="3">
        <v>46049</v>
      </c>
      <c r="J112" s="4">
        <v>46243</v>
      </c>
      <c r="K112" t="inlineStr">
        <is>
          <t>梅见测评</t>
        </is>
      </c>
      <c r="L112">
        <v>2</v>
      </c>
      <c r="M112" t="inlineStr">
        <is>
          <t>XHS-U0105</t>
        </is>
      </c>
      <c r="N112" t="inlineStr">
        <is>
          <t>公开评论</t>
        </is>
      </c>
      <c r="O112"/>
      <c r="P112" t="inlineStr">
        <is>
          <t>原始:01-27;年份推定·河南；当前为搜索结果页链接，正式入库前需补原笔记链接</t>
        </is>
      </c>
      <c r="Q112" t="inlineStr">
        <is>
          <t>目标品牌</t>
        </is>
      </c>
      <c r="R112"/>
      <c r="S112"/>
    </row>
    <row r="113" ht="25.5" customHeight="1">
      <c r="A113" t="inlineStr">
        <is>
          <t>XHS-SOC-0249</t>
        </is>
      </c>
      <c r="B113" t="inlineStr">
        <is>
          <t>梅见产品体验反馈</t>
        </is>
      </c>
      <c r="C113" t="inlineStr">
        <is>
          <t>PRJ001</t>
        </is>
      </c>
      <c r="D113" t="inlineStr">
        <is>
          <t>梅见</t>
        </is>
      </c>
      <c r="E113" t="inlineStr">
        <is>
          <t>早点刷到就好了，是真的难喝，梅子味几乎没有，就是酒味，非常割裂</t>
        </is>
      </c>
      <c r="F113" t="inlineStr">
        <is>
          <t>梅见避雷-劣质香精味｜2025-04-03｜小红书</t>
        </is>
      </c>
      <c r="G113" t="inlineStr">
        <is>
          <t>小红书</t>
        </is>
      </c>
      <c r="H113" s="2" t="str">
        <f>=HYPERLINK("https://www.xiaohongshu.com/search_result/梅见值不值得买", "https://www.xiaohongshu.com/search_result/梅见值不值得买")</f>
        <v>https://www.xiaohongshu.com/search_result/梅见值不值得买</v>
      </c>
      <c r="I113" s="3">
        <v>46113</v>
      </c>
      <c r="J113" s="4">
        <v>46243</v>
      </c>
      <c r="K113" t="inlineStr">
        <is>
          <t>梅见值不值得买</t>
        </is>
      </c>
      <c r="L113">
        <v>0</v>
      </c>
      <c r="M113" t="inlineStr">
        <is>
          <t>XHS-U0319</t>
        </is>
      </c>
      <c r="N113" t="inlineStr">
        <is>
          <t>公开评论</t>
        </is>
      </c>
      <c r="O113"/>
      <c r="P113" t="inlineStr">
        <is>
          <t>原始:04-01;年份推定·陕西；当前为搜索结果页链接，正式入库前需补原笔记链接</t>
        </is>
      </c>
      <c r="Q113" t="inlineStr">
        <is>
          <t>目标品牌</t>
        </is>
      </c>
      <c r="R113"/>
      <c r="S113"/>
    </row>
    <row r="114" ht="25.5" customHeight="1">
      <c r="A114" t="inlineStr">
        <is>
          <t>XHS-SOC-0250</t>
        </is>
      </c>
      <c r="B114" t="inlineStr">
        <is>
          <t>梅见产品体验反馈</t>
        </is>
      </c>
      <c r="C114" t="inlineStr">
        <is>
          <t>PRJ001</t>
        </is>
      </c>
      <c r="D114" t="inlineStr">
        <is>
          <t>梅见</t>
        </is>
      </c>
      <c r="E114" t="inlineStr">
        <is>
          <t>哈哈哈哈，梅见现在高端产品线橡木桶梅见更好喝</t>
        </is>
      </c>
      <c r="F114" t="inlineStr">
        <is>
          <t>给梅见道歉-会回购｜2025-07-03｜小红书</t>
        </is>
      </c>
      <c r="G114" t="inlineStr">
        <is>
          <t>小红书</t>
        </is>
      </c>
      <c r="H114" s="2" t="str">
        <f>=HYPERLINK("https://www.xiaohongshu.com/search_result/梅见回购", "https://www.xiaohongshu.com/search_result/梅见回购")</f>
        <v>https://www.xiaohongshu.com/search_result/梅见回购</v>
      </c>
      <c r="I114" s="3">
        <v>46169</v>
      </c>
      <c r="J114" s="4">
        <v>46243</v>
      </c>
      <c r="K114" t="inlineStr">
        <is>
          <t>梅见回购</t>
        </is>
      </c>
      <c r="L114">
        <v>0</v>
      </c>
      <c r="M114" t="inlineStr">
        <is>
          <t>XHS-U0334</t>
        </is>
      </c>
      <c r="N114" t="inlineStr">
        <is>
          <t>公开评论</t>
        </is>
      </c>
      <c r="O114"/>
      <c r="P114" t="inlineStr">
        <is>
          <t>原始:05-27;年份推定·四川；当前为搜索结果页链接，正式入库前需补原笔记链接</t>
        </is>
      </c>
      <c r="Q114" t="inlineStr">
        <is>
          <t>目标品牌</t>
        </is>
      </c>
      <c r="R114"/>
      <c r="S114"/>
    </row>
    <row r="115" ht="25.5" customHeight="1">
      <c r="A115" t="inlineStr">
        <is>
          <t>XHS-SOC-0257</t>
        </is>
      </c>
      <c r="B115" t="inlineStr">
        <is>
          <t>梅见产品体验反馈</t>
        </is>
      </c>
      <c r="C115" t="inlineStr">
        <is>
          <t>PRJ001</t>
        </is>
      </c>
      <c r="D115" t="inlineStr">
        <is>
          <t>梅见</t>
        </is>
      </c>
      <c r="E115" t="inlineStr">
        <is>
          <t>加椰子水 好喝</t>
        </is>
      </c>
      <c r="F115" t="inlineStr">
        <is>
          <t>梅见青梅酒调酒搭配｜2025-08-27｜小红书</t>
        </is>
      </c>
      <c r="G115" t="inlineStr">
        <is>
          <t>小红书</t>
        </is>
      </c>
      <c r="H115" s="2" t="str">
        <f>=HYPERLINK("https://www.xiaohongshu.com/search_result/梅见配什么", "https://www.xiaohongshu.com/search_result/梅见配什么")</f>
        <v>https://www.xiaohongshu.com/search_result/梅见配什么</v>
      </c>
      <c r="I115" s="3">
        <v>46023</v>
      </c>
      <c r="J115" s="4">
        <v>46243</v>
      </c>
      <c r="K115" t="inlineStr">
        <is>
          <t>梅见配什么</t>
        </is>
      </c>
      <c r="L115">
        <v>2</v>
      </c>
      <c r="M115" t="inlineStr">
        <is>
          <t>XHS-U0343</t>
        </is>
      </c>
      <c r="N115" t="inlineStr">
        <is>
          <t>公开评论</t>
        </is>
      </c>
      <c r="O115"/>
      <c r="P115" t="inlineStr">
        <is>
          <t>原始:01-01;年份推定·河北；当前为搜索结果页链接，正式入库前需补原笔记链接</t>
        </is>
      </c>
      <c r="Q115" t="inlineStr">
        <is>
          <t>目标品牌</t>
        </is>
      </c>
      <c r="R115"/>
      <c r="S115"/>
    </row>
    <row r="116" ht="25.5" customHeight="1">
      <c r="A116" t="inlineStr">
        <is>
          <t>XHS-SOC-0258</t>
        </is>
      </c>
      <c r="B116" t="inlineStr">
        <is>
          <t>梅见产品体验反馈</t>
        </is>
      </c>
      <c r="C116" t="inlineStr">
        <is>
          <t>PRJ001</t>
        </is>
      </c>
      <c r="D116" t="inlineStr">
        <is>
          <t>梅见</t>
        </is>
      </c>
      <c r="E116" t="inlineStr">
        <is>
          <t>这个超好喝</t>
        </is>
      </c>
      <c r="F116" t="inlineStr">
        <is>
          <t>给梅见道歉-会回购｜2025-07-03｜小红书</t>
        </is>
      </c>
      <c r="G116" t="inlineStr">
        <is>
          <t>小红书</t>
        </is>
      </c>
      <c r="H116" s="2" t="str">
        <f>=HYPERLINK("https://www.xiaohongshu.com/search_result/梅见回购", "https://www.xiaohongshu.com/search_result/梅见回购")</f>
        <v>https://www.xiaohongshu.com/search_result/梅见回购</v>
      </c>
      <c r="I116" s="3">
        <v>46107</v>
      </c>
      <c r="J116" s="4">
        <v>46243</v>
      </c>
      <c r="K116" t="inlineStr">
        <is>
          <t>梅见回购</t>
        </is>
      </c>
      <c r="L116">
        <v>0</v>
      </c>
      <c r="M116" t="inlineStr">
        <is>
          <t>XHS-U0335</t>
        </is>
      </c>
      <c r="N116" t="inlineStr">
        <is>
          <t>公开评论</t>
        </is>
      </c>
      <c r="O116"/>
      <c r="P116" t="inlineStr">
        <is>
          <t>原始:03-26;年份推定·浙江；当前为搜索结果页链接，正式入库前需补原笔记链接</t>
        </is>
      </c>
      <c r="Q116" t="inlineStr">
        <is>
          <t>目标品牌</t>
        </is>
      </c>
      <c r="R116"/>
      <c r="S116"/>
    </row>
    <row r="117" ht="25.5" customHeight="1">
      <c r="A117" t="inlineStr">
        <is>
          <t>XHS-SOC-0259</t>
        </is>
      </c>
      <c r="B117" t="inlineStr">
        <is>
          <t>梅见产品体验反馈</t>
        </is>
      </c>
      <c r="C117" t="inlineStr">
        <is>
          <t>PRJ001</t>
        </is>
      </c>
      <c r="D117" t="inlineStr">
        <is>
          <t>梅见</t>
        </is>
      </c>
      <c r="E117" t="inlineStr">
        <is>
          <t>这个好喝</t>
        </is>
      </c>
      <c r="F117" t="inlineStr">
        <is>
          <t>给梅见道歉-会回购｜2025-07-03｜小红书</t>
        </is>
      </c>
      <c r="G117" t="inlineStr">
        <is>
          <t>小红书</t>
        </is>
      </c>
      <c r="H117" s="2" t="str">
        <f>=HYPERLINK("https://www.xiaohongshu.com/search_result/梅见回购", "https://www.xiaohongshu.com/search_result/梅见回购")</f>
        <v>https://www.xiaohongshu.com/search_result/梅见回购</v>
      </c>
      <c r="I117" s="3">
        <v>46107</v>
      </c>
      <c r="J117" s="4">
        <v>46243</v>
      </c>
      <c r="K117" t="inlineStr">
        <is>
          <t>梅见回购</t>
        </is>
      </c>
      <c r="L117">
        <v>1</v>
      </c>
      <c r="M117" t="inlineStr">
        <is>
          <t>XHS-U0336</t>
        </is>
      </c>
      <c r="N117" t="inlineStr">
        <is>
          <t>公开评论</t>
        </is>
      </c>
      <c r="O117"/>
      <c r="P117" t="inlineStr">
        <is>
          <t>原始:03-26;年份推定·广东；当前为搜索结果页链接，正式入库前需补原笔记链接</t>
        </is>
      </c>
      <c r="Q117" t="inlineStr">
        <is>
          <t>目标品牌</t>
        </is>
      </c>
      <c r="R117"/>
      <c r="S117"/>
    </row>
    <row r="118" ht="25.5" customHeight="1">
      <c r="A118" t="inlineStr">
        <is>
          <t>DY-SOC-0261</t>
        </is>
      </c>
      <c r="B118" t="inlineStr">
        <is>
          <t>梅见产品体验反馈</t>
        </is>
      </c>
      <c r="C118" t="inlineStr">
        <is>
          <t>PRJ001</t>
        </is>
      </c>
      <c r="D118" t="inlineStr">
        <is>
          <t>梅见</t>
        </is>
      </c>
      <c r="E118" t="inlineStr">
        <is>
          <t>这就是大数据吗[泣不成声]</t>
        </is>
      </c>
      <c r="F118" t="inlineStr">
        <is>
          <t>小火锅冰梅见｜2025-07-31｜抖音</t>
        </is>
      </c>
      <c r="G118" t="inlineStr">
        <is>
          <t>抖音</t>
        </is>
      </c>
      <c r="H118" s="2" t="str">
        <f>=HYPERLINK("https://www.douyin.com/video/7666766488133402725", "https://www.douyin.com/video/7666766488133402725")</f>
        <v>https://www.douyin.com/video/7666766488133402725</v>
      </c>
      <c r="I118" s="3">
        <v>45869</v>
      </c>
      <c r="J118" s="4">
        <v>46243</v>
      </c>
      <c r="K118" t="inlineStr">
        <is>
          <t>梅见火锅③</t>
        </is>
      </c>
      <c r="L118"/>
      <c r="M118" t="inlineStr">
        <is>
          <t>DY-U0235</t>
        </is>
      </c>
      <c r="N118" t="inlineStr">
        <is>
          <t>公开评论</t>
        </is>
      </c>
      <c r="O118"/>
      <c r="P118" t="inlineStr">
        <is>
          <t>点赞数未成功识别，暂置空，禁止随机补值；当前日期来自视频发布时间，评论发布时间未识别</t>
        </is>
      </c>
      <c r="Q118" t="inlineStr">
        <is>
          <t>目标品牌</t>
        </is>
      </c>
      <c r="R118"/>
      <c r="S118"/>
    </row>
    <row r="119" ht="25.5" customHeight="1">
      <c r="A119" t="inlineStr">
        <is>
          <t>DY-SOC-0262</t>
        </is>
      </c>
      <c r="B119" t="inlineStr">
        <is>
          <t>梅见产品体验反馈</t>
        </is>
      </c>
      <c r="C119" t="inlineStr">
        <is>
          <t>PRJ001</t>
        </is>
      </c>
      <c r="D119" t="inlineStr">
        <is>
          <t>梅见</t>
        </is>
      </c>
      <c r="E119" t="inlineStr">
        <is>
          <t>马上安排一杯冰梅见</t>
        </is>
      </c>
      <c r="F119" t="inlineStr">
        <is>
          <t>小火锅冰梅见｜2025-07-31｜抖音</t>
        </is>
      </c>
      <c r="G119" t="inlineStr">
        <is>
          <t>抖音</t>
        </is>
      </c>
      <c r="H119" s="2" t="str">
        <f>=HYPERLINK("https://www.douyin.com/video/7666766488133402725", "https://www.douyin.com/video/7666766488133402725")</f>
        <v>https://www.douyin.com/video/7666766488133402725</v>
      </c>
      <c r="I119" s="3">
        <v>45869</v>
      </c>
      <c r="J119" s="4">
        <v>46243</v>
      </c>
      <c r="K119" t="inlineStr">
        <is>
          <t>梅见火锅③</t>
        </is>
      </c>
      <c r="L119"/>
      <c r="M119" t="inlineStr">
        <is>
          <t>DY-U0236</t>
        </is>
      </c>
      <c r="N119" t="inlineStr">
        <is>
          <t>公开评论</t>
        </is>
      </c>
      <c r="O119"/>
      <c r="P119" t="inlineStr">
        <is>
          <t>点赞数未成功识别，暂置空，禁止随机补值；当前日期来自视频发布时间，评论发布时间未识别</t>
        </is>
      </c>
      <c r="Q119" t="inlineStr">
        <is>
          <t>目标品牌</t>
        </is>
      </c>
      <c r="R119"/>
      <c r="S119"/>
    </row>
    <row r="120" ht="25.5" customHeight="1">
      <c r="A120" t="inlineStr">
        <is>
          <t>DY-SOC-0263</t>
        </is>
      </c>
      <c r="B120" t="inlineStr">
        <is>
          <t>梅见产品体验反馈</t>
        </is>
      </c>
      <c r="C120" t="inlineStr">
        <is>
          <t>PRJ001</t>
        </is>
      </c>
      <c r="D120" t="inlineStr">
        <is>
          <t>梅见</t>
        </is>
      </c>
      <c r="E120" t="inlineStr">
        <is>
          <t>看完这个视频我已经在去买的的路上了</t>
        </is>
      </c>
      <c r="F120" t="inlineStr">
        <is>
          <t>小火锅冰梅见2｜2025-07-31｜抖音</t>
        </is>
      </c>
      <c r="G120" t="inlineStr">
        <is>
          <t>抖音</t>
        </is>
      </c>
      <c r="H120" s="2" t="str">
        <f>=HYPERLINK("https://www.douyin.com/video/7667775159961274021", "https://www.douyin.com/video/7667775159961274021")</f>
        <v>https://www.douyin.com/video/7667775159961274021</v>
      </c>
      <c r="I120" s="3">
        <v>45869</v>
      </c>
      <c r="J120" s="4">
        <v>46243</v>
      </c>
      <c r="K120" t="inlineStr">
        <is>
          <t>梅见火锅④</t>
        </is>
      </c>
      <c r="L120"/>
      <c r="M120" t="inlineStr">
        <is>
          <t>DY-U0240</t>
        </is>
      </c>
      <c r="N120" t="inlineStr">
        <is>
          <t>公开评论</t>
        </is>
      </c>
      <c r="O120"/>
      <c r="P120" t="inlineStr">
        <is>
          <t>点赞数未成功识别，暂置空，禁止随机补值</t>
        </is>
      </c>
      <c r="Q120" t="inlineStr">
        <is>
          <t>目标品牌</t>
        </is>
      </c>
      <c r="R120"/>
      <c r="S120"/>
    </row>
    <row r="121" ht="25.5" customHeight="1">
      <c r="A121" t="inlineStr">
        <is>
          <t>DY-SOC-0264</t>
        </is>
      </c>
      <c r="B121" t="inlineStr">
        <is>
          <t>梅见产品体验反馈</t>
        </is>
      </c>
      <c r="C121" t="inlineStr">
        <is>
          <t>PRJ001</t>
        </is>
      </c>
      <c r="D121" t="inlineStr">
        <is>
          <t>梅见</t>
        </is>
      </c>
      <c r="E121" t="inlineStr">
        <is>
          <t>这到底是不是酒啊</t>
        </is>
      </c>
      <c r="F121" t="inlineStr">
        <is>
          <t>小火锅冰梅见2｜2025-07-31｜抖音</t>
        </is>
      </c>
      <c r="G121" t="inlineStr">
        <is>
          <t>抖音</t>
        </is>
      </c>
      <c r="H121" s="2" t="str">
        <f>=HYPERLINK("https://www.douyin.com/video/7667775159961274021", "https://www.douyin.com/video/7667775159961274021")</f>
        <v>https://www.douyin.com/video/7667775159961274021</v>
      </c>
      <c r="I121" s="3">
        <v>45869</v>
      </c>
      <c r="J121" s="4">
        <v>46243</v>
      </c>
      <c r="K121" t="inlineStr">
        <is>
          <t>梅见火锅④</t>
        </is>
      </c>
      <c r="L121"/>
      <c r="M121" t="inlineStr">
        <is>
          <t>DY-U0241</t>
        </is>
      </c>
      <c r="N121" t="inlineStr">
        <is>
          <t>公开评论</t>
        </is>
      </c>
      <c r="O121"/>
      <c r="P121" t="inlineStr">
        <is>
          <t>点赞数未成功识别，暂置空，禁止随机补值；当前日期来自视频发布时间，评论发布时间未识别</t>
        </is>
      </c>
      <c r="Q121" t="inlineStr">
        <is>
          <t>目标品牌</t>
        </is>
      </c>
      <c r="R121"/>
      <c r="S121"/>
    </row>
    <row r="122" ht="25.5" customHeight="1">
      <c r="A122" t="inlineStr">
        <is>
          <t>DY-SOC-0265</t>
        </is>
      </c>
      <c r="B122" t="inlineStr">
        <is>
          <t>梅见产品体验反馈</t>
        </is>
      </c>
      <c r="C122" t="inlineStr">
        <is>
          <t>PRJ001</t>
        </is>
      </c>
      <c r="D122" t="inlineStr">
        <is>
          <t>低度酒</t>
        </is>
      </c>
      <c r="E122" t="inlineStr">
        <is>
          <t>真露的这个梅花秀我喝过很好喝适合女生</t>
        </is>
      </c>
      <c r="F122" t="inlineStr">
        <is>
          <t>喝完这三瓶谁是你心中的白月光｜2025-08-08｜抖音</t>
        </is>
      </c>
      <c r="G122" t="inlineStr">
        <is>
          <t>抖音</t>
        </is>
      </c>
      <c r="H122" s="2" t="str">
        <f>=HYPERLINK("https://www.douyin.com/video/7625642082769669382", "https://www.douyin.com/video/7625642082769669382")</f>
        <v>https://www.douyin.com/video/7625642082769669382</v>
      </c>
      <c r="I122" s="3">
        <v>45877</v>
      </c>
      <c r="J122" s="4">
        <v>46243</v>
      </c>
      <c r="K122" t="inlineStr">
        <is>
          <t>青梅酒推荐①</t>
        </is>
      </c>
      <c r="L122"/>
      <c r="M122" t="inlineStr">
        <is>
          <t>DY-U0272</t>
        </is>
      </c>
      <c r="N122" t="inlineStr">
        <is>
          <t>公开评论</t>
        </is>
      </c>
      <c r="O122"/>
      <c r="P122" t="inlineStr">
        <is>
          <t>点赞数未成功识别，暂置空，禁止随机补值；当前日期来自视频发布时间，评论发布时间未识别</t>
        </is>
      </c>
      <c r="Q122" t="inlineStr">
        <is>
          <t>低度酒品类</t>
        </is>
      </c>
      <c r="R122"/>
      <c r="S122"/>
    </row>
    <row r="123" ht="25.5" customHeight="1">
      <c r="A123" t="inlineStr">
        <is>
          <t>DY-SOC-0274</t>
        </is>
      </c>
      <c r="B123" t="inlineStr">
        <is>
          <t>梅见产品体验反馈</t>
        </is>
      </c>
      <c r="C123" t="inlineStr">
        <is>
          <t>PRJ001</t>
        </is>
      </c>
      <c r="D123" t="inlineStr">
        <is>
          <t>低度酒</t>
        </is>
      </c>
      <c r="E123" t="inlineStr">
        <is>
          <t>因为那些饮料里边儿都有大量的二氧化碳这些碳酸饮料可以加速酒精进入血液</t>
        </is>
      </c>
      <c r="F123" t="inlineStr">
        <is>
          <t>超市小甜水上头测评｜2025-03-14｜抖音</t>
        </is>
      </c>
      <c r="G123" t="inlineStr">
        <is>
          <t>抖音</t>
        </is>
      </c>
      <c r="H123" s="2" t="str">
        <f>=HYPERLINK("https://www.douyin.com/video/7591112215512917489", "https://www.douyin.com/video/7591112215512917489")</f>
        <v>https://www.douyin.com/video/7591112215512917489</v>
      </c>
      <c r="I123" s="3">
        <v>45730</v>
      </c>
      <c r="J123" s="4">
        <v>46243</v>
      </c>
      <c r="K123" t="inlineStr">
        <is>
          <t>低度酒推荐③</t>
        </is>
      </c>
      <c r="L123"/>
      <c r="M123" t="inlineStr">
        <is>
          <t>DY-U0308</t>
        </is>
      </c>
      <c r="N123" t="inlineStr">
        <is>
          <t>公开评论</t>
        </is>
      </c>
      <c r="O123"/>
      <c r="P123" t="inlineStr">
        <is>
          <t>点赞数未成功识别，暂置空，禁止随机补值；当前日期来自视频发布时间，评论发布时间未识别</t>
        </is>
      </c>
      <c r="Q123" t="inlineStr">
        <is>
          <t>低度酒品类</t>
        </is>
      </c>
      <c r="R123"/>
      <c r="S123"/>
    </row>
    <row r="124" ht="25.5" customHeight="1">
      <c r="A124" t="inlineStr">
        <is>
          <t>DY-SOC-0276</t>
        </is>
      </c>
      <c r="B124" t="inlineStr">
        <is>
          <t>梅见产品体验反馈</t>
        </is>
      </c>
      <c r="C124" t="inlineStr">
        <is>
          <t>PRJ001</t>
        </is>
      </c>
      <c r="D124" t="inlineStr">
        <is>
          <t>低度酒</t>
        </is>
      </c>
      <c r="E124" t="inlineStr">
        <is>
          <t>浓缩苹果汁就是糖是脱色脱酸苹果汁然后再浓缩</t>
        </is>
      </c>
      <c r="F124" t="inlineStr">
        <is>
          <t>超市小甜水上头测评｜2025-03-14｜抖音</t>
        </is>
      </c>
      <c r="G124" t="inlineStr">
        <is>
          <t>抖音</t>
        </is>
      </c>
      <c r="H124" s="2" t="str">
        <f>=HYPERLINK("https://www.douyin.com/video/7591112215512917489", "https://www.douyin.com/video/7591112215512917489")</f>
        <v>https://www.douyin.com/video/7591112215512917489</v>
      </c>
      <c r="I124" s="3">
        <v>45730</v>
      </c>
      <c r="J124" s="4">
        <v>46243</v>
      </c>
      <c r="K124" t="inlineStr">
        <is>
          <t>低度酒推荐③</t>
        </is>
      </c>
      <c r="L124"/>
      <c r="M124" t="inlineStr">
        <is>
          <t>DY-U0310</t>
        </is>
      </c>
      <c r="N124" t="inlineStr">
        <is>
          <t>公开评论</t>
        </is>
      </c>
      <c r="O124"/>
      <c r="P124" t="inlineStr">
        <is>
          <t>点赞数未成功识别，暂置空，禁止随机补值；当前日期来自视频发布时间，评论发布时间未识别</t>
        </is>
      </c>
      <c r="Q124" t="inlineStr">
        <is>
          <t>低度酒品类</t>
        </is>
      </c>
      <c r="R124"/>
      <c r="S124"/>
    </row>
    <row r="125" ht="25.5" customHeight="1">
      <c r="A125" t="inlineStr">
        <is>
          <t>JD-20260809-051</t>
        </is>
      </c>
      <c r="B125" t="inlineStr">
        <is>
          <t>梅见产品体验反馈</t>
        </is>
      </c>
      <c r="C125" t="inlineStr">
        <is>
          <t>PRJ001</t>
        </is>
      </c>
      <c r="D125" t="inlineStr">
        <is>
          <t>梅见｜【原味梅见】330ml*6</t>
        </is>
      </c>
      <c r="E125" t="inlineStr">
        <is>
          <t>梅见这款原味青梅酒真是太适合女生小聚了！12度微醺刚刚好，不会醉却很有氛围。开瓶就是清新的青梅香气，入口酸甜柔顺，不涩不辣，加冰喝简直绝配。330ml小瓶装一人一瓶刚刚好，整箱囤货聚会随时开。冰镇后配火锅或烧烤特别解腻，比普通饮料更有仪式感。已经回购好几次了，闺蜜们都夸好喝。想找一款不踩雷的微醺甜酒，选梅见准没错！</t>
        </is>
      </c>
      <c r="F125" t="inlineStr">
        <is>
          <t>品牌：梅见｜商品/规格：【原味梅见】330ml*6｜SKU：100013267874</t>
        </is>
      </c>
      <c r="G125" t="inlineStr">
        <is>
          <t>京东</t>
        </is>
      </c>
      <c r="H125" s="2" t="str">
        <f>=HYPERLINK("https://item.jd.com/100013267874.html", "https://item.jd.com/100013267874.html")</f>
        <v>https://item.jd.com/100013267874.html</v>
      </c>
      <c r="I125" s="3">
        <v>46169</v>
      </c>
      <c r="J125" s="4">
        <v>46243</v>
      </c>
      <c r="K125" t="inlineStr">
        <is>
          <t>梅见 青梅酒 商品评价</t>
        </is>
      </c>
      <c r="L125"/>
      <c r="M125" t="inlineStr">
        <is>
          <t>JD-U-20260809-051</t>
        </is>
      </c>
      <c r="N125" t="inlineStr">
        <is>
          <t>公开评论</t>
        </is>
      </c>
      <c r="O125"/>
      <c r="P125" t="inlineStr">
        <is>
          <t>情绪粗标：正面；主题粗标：酒精感；香气；酸甜度；入口感；加冰；规格；聚会；搭餐；回购；京东商品评价弹层核验；已排除商家回复与用户名；评价页未展示评论点赞/有用数，点赞数留空；疑似模板化表达，仅作为原始语料导入，表2需人工复核</t>
        </is>
      </c>
      <c r="Q125" t="inlineStr">
        <is>
          <t>目标品牌</t>
        </is>
      </c>
      <c r="R125"/>
      <c r="S125"/>
    </row>
    <row r="126" ht="25.5" customHeight="1">
      <c r="A126" t="inlineStr">
        <is>
          <t>JD-20260809-052</t>
        </is>
      </c>
      <c r="B126" t="inlineStr">
        <is>
          <t>梅见产品体验反馈</t>
        </is>
      </c>
      <c r="C126" t="inlineStr">
        <is>
          <t>PRJ001</t>
        </is>
      </c>
      <c r="D126" t="inlineStr">
        <is>
          <t>梅见｜【原味梅见】330ml</t>
        </is>
      </c>
      <c r="E126" t="inlineStr">
        <is>
          <t>很好喝的一款梅子酒，味道不错，酸甜平衡，酒精度数也不高，香味醇厚很浓郁，甜度也合适，整体性价比很高，喝完很舒服 不难受，不错</t>
        </is>
      </c>
      <c r="F126" t="inlineStr">
        <is>
          <t>品牌：梅见｜商品/规格：【原味梅见】330ml｜SKU：100013267874</t>
        </is>
      </c>
      <c r="G126" t="inlineStr">
        <is>
          <t>京东</t>
        </is>
      </c>
      <c r="H126" s="2" t="str">
        <f>=HYPERLINK("https://item.jd.com/100013267874.html", "https://item.jd.com/100013267874.html")</f>
        <v>https://item.jd.com/100013267874.html</v>
      </c>
      <c r="I126" s="3">
        <v>46165</v>
      </c>
      <c r="J126" s="4">
        <v>46243</v>
      </c>
      <c r="K126" t="inlineStr">
        <is>
          <t>梅见 青梅酒 商品评价</t>
        </is>
      </c>
      <c r="L126"/>
      <c r="M126" t="inlineStr">
        <is>
          <t>JD-U-20260809-052</t>
        </is>
      </c>
      <c r="N126" t="inlineStr">
        <is>
          <t>公开评论</t>
        </is>
      </c>
      <c r="O126"/>
      <c r="P126" t="inlineStr">
        <is>
          <t>情绪粗标：正面；主题粗标：酸甜度；酒精感；香气；甜度；性价比；身体负担；京东商品评价弹层核验；已排除商家回复与用户名；评价页未展示评论点赞/有用数，点赞数留空</t>
        </is>
      </c>
      <c r="Q126" t="inlineStr">
        <is>
          <t>目标品牌</t>
        </is>
      </c>
      <c r="R126"/>
      <c r="S126"/>
    </row>
    <row r="127" ht="25.5" customHeight="1">
      <c r="A127" t="inlineStr">
        <is>
          <t>JD-20260809-056</t>
        </is>
      </c>
      <c r="B127" t="inlineStr">
        <is>
          <t>梅见产品体验反馈</t>
        </is>
      </c>
      <c r="C127" t="inlineStr">
        <is>
          <t>PRJ001</t>
        </is>
      </c>
      <c r="D127" t="inlineStr">
        <is>
          <t>梅见｜【原味梅见】330ml*6</t>
        </is>
      </c>
      <c r="E127" t="inlineStr">
        <is>
          <t>这个酒怎么说呢，平时没事的时候喝还是不错的，就是觉得还是有点甜，应该小酒量的人喝还是很不错的，可以买来偶尔喝一喝这样子的</t>
        </is>
      </c>
      <c r="F127" t="inlineStr">
        <is>
          <t>品牌：梅见｜商品/规格：【原味梅见】330ml*6｜SKU：100013267874</t>
        </is>
      </c>
      <c r="G127" t="inlineStr">
        <is>
          <t>京东</t>
        </is>
      </c>
      <c r="H127" s="2" t="str">
        <f>=HYPERLINK("https://item.jd.com/100013267874.html", "https://item.jd.com/100013267874.html")</f>
        <v>https://item.jd.com/100013267874.html</v>
      </c>
      <c r="I127" s="3">
        <v>46104</v>
      </c>
      <c r="J127" s="4">
        <v>46243</v>
      </c>
      <c r="K127" t="inlineStr">
        <is>
          <t>梅见 青梅酒 商品评价</t>
        </is>
      </c>
      <c r="L127"/>
      <c r="M127" t="inlineStr">
        <is>
          <t>JD-U-20260809-056</t>
        </is>
      </c>
      <c r="N127" t="inlineStr">
        <is>
          <t>公开评论</t>
        </is>
      </c>
      <c r="O127"/>
      <c r="P127" t="inlineStr">
        <is>
          <t>情绪粗标：中性；主题粗标：甜度偏高；小酒量；日常小酌；京东商品评价弹层核验；已排除商家回复与用户名；评价页未展示评论点赞/有用数，点赞数留空</t>
        </is>
      </c>
      <c r="Q127" t="inlineStr">
        <is>
          <t>目标品牌</t>
        </is>
      </c>
      <c r="R127"/>
      <c r="S127"/>
    </row>
    <row r="128" ht="25.5" customHeight="1">
      <c r="A128" t="inlineStr">
        <is>
          <t>JD-20260809-060</t>
        </is>
      </c>
      <c r="B128" t="inlineStr">
        <is>
          <t>梅见产品体验反馈</t>
        </is>
      </c>
      <c r="C128" t="inlineStr">
        <is>
          <t>PRJ001</t>
        </is>
      </c>
      <c r="D128" t="inlineStr">
        <is>
          <t>梅见｜【杨梅梅见】330ml</t>
        </is>
      </c>
      <c r="E128" t="inlineStr">
        <is>
          <t>梅见青梅酒真的太适合女生了！12 度低度微醺，酸甜清爽不腻口，梅子香气浓郁，加冰喝更绝！330ml 小瓶装聚会自饮都方便，颜值高还能当花瓶，姐妹们冲！</t>
        </is>
      </c>
      <c r="F128" t="inlineStr">
        <is>
          <t>品牌：梅见｜商品/规格：【杨梅梅见】330ml｜SKU：100034280635</t>
        </is>
      </c>
      <c r="G128" t="inlineStr">
        <is>
          <t>京东</t>
        </is>
      </c>
      <c r="H128" s="2" t="str">
        <f>=HYPERLINK("https://item.jd.com/100034280635.html", "https://item.jd.com/100034280635.html")</f>
        <v>https://item.jd.com/100034280635.html</v>
      </c>
      <c r="I128" s="3">
        <v>46166</v>
      </c>
      <c r="J128" s="4">
        <v>46243</v>
      </c>
      <c r="K128" t="inlineStr">
        <is>
          <t>梅见 青梅酒 商品评价</t>
        </is>
      </c>
      <c r="L128"/>
      <c r="M128" t="inlineStr">
        <is>
          <t>JD-U-20260809-060</t>
        </is>
      </c>
      <c r="N128" t="inlineStr">
        <is>
          <t>公开评论</t>
        </is>
      </c>
      <c r="O128"/>
      <c r="P128" t="inlineStr">
        <is>
          <t>情绪粗标：正面；主题粗标：杨梅；酒精感；酸甜度；香气；加冰；规格；包装再利用；京东商品评价弹层核验；已排除商家回复与用户名；评价页未展示评论点赞/有用数，点赞数留空；疑似模板化表达，仅作为原始语料导入，表2需人工复核</t>
        </is>
      </c>
      <c r="Q128" t="inlineStr">
        <is>
          <t>目标品牌</t>
        </is>
      </c>
      <c r="R128"/>
      <c r="S128"/>
    </row>
    <row r="129" ht="25.5" customHeight="1">
      <c r="A129" t="inlineStr">
        <is>
          <t>JD-20260809-061</t>
        </is>
      </c>
      <c r="B129" t="inlineStr">
        <is>
          <t>梅见产品体验反馈</t>
        </is>
      </c>
      <c r="C129" t="inlineStr">
        <is>
          <t>PRJ001</t>
        </is>
      </c>
      <c r="D129" t="inlineStr">
        <is>
          <t>梅见｜【清爽梅见】330ml</t>
        </is>
      </c>
      <c r="E129" t="inlineStr">
        <is>
          <t>第一次买这个酒，是在小红书种草的，还不错，冰一下很好喝，度数不高，很好入口。偶尔换换口味不错。京东配送真好。直接放到家门口。</t>
        </is>
      </c>
      <c r="F129" t="inlineStr">
        <is>
          <t>品牌：梅见｜商品/规格：【清爽梅见】330ml｜SKU：100034280635</t>
        </is>
      </c>
      <c r="G129" t="inlineStr">
        <is>
          <t>京东</t>
        </is>
      </c>
      <c r="H129" s="2" t="str">
        <f>=HYPERLINK("https://item.jd.com/100034280635.html", "https://item.jd.com/100034280635.html")</f>
        <v>https://item.jd.com/100034280635.html</v>
      </c>
      <c r="I129" s="3">
        <v>46167</v>
      </c>
      <c r="J129" s="4">
        <v>46243</v>
      </c>
      <c r="K129" t="inlineStr">
        <is>
          <t>梅见 青梅酒 商品评价</t>
        </is>
      </c>
      <c r="L129"/>
      <c r="M129" t="inlineStr">
        <is>
          <t>JD-U-20260809-061</t>
        </is>
      </c>
      <c r="N129" t="inlineStr">
        <is>
          <t>公开评论</t>
        </is>
      </c>
      <c r="O129"/>
      <c r="P129" t="inlineStr">
        <is>
          <t>情绪粗标：正面；主题粗标：小红书种草；清爽；冰镇；酒精感；入口感；换口味；京东商品评价弹层核验；已排除商家回复与用户名；评价页未展示评论点赞/有用数，点赞数留空</t>
        </is>
      </c>
      <c r="Q129" t="inlineStr">
        <is>
          <t>目标品牌</t>
        </is>
      </c>
      <c r="R129"/>
      <c r="S129"/>
    </row>
    <row r="130" ht="25.5" customHeight="1">
      <c r="A130" t="inlineStr">
        <is>
          <t>JD-20260809-062</t>
        </is>
      </c>
      <c r="B130" t="inlineStr">
        <is>
          <t>梅见产品体验反馈</t>
        </is>
      </c>
      <c r="C130" t="inlineStr">
        <is>
          <t>PRJ001</t>
        </is>
      </c>
      <c r="D130" t="inlineStr">
        <is>
          <t>梅见｜【超酸梅见】330ml</t>
        </is>
      </c>
      <c r="E130" t="inlineStr">
        <is>
          <t>超酸版本很不错，原果原酿很干净，梅香正、酸度适口，加冰超好喝。微醺不头疼，颜值高、包装精致，自饮送礼都可，无限回购。赞一个</t>
        </is>
      </c>
      <c r="F130" t="inlineStr">
        <is>
          <t>品牌：梅见｜商品/规格：【超酸梅见】330ml｜SKU：100034280635</t>
        </is>
      </c>
      <c r="G130" t="inlineStr">
        <is>
          <t>京东</t>
        </is>
      </c>
      <c r="H130" s="2" t="str">
        <f>=HYPERLINK("https://item.jd.com/100034280635.html", "https://item.jd.com/100034280635.html")</f>
        <v>https://item.jd.com/100034280635.html</v>
      </c>
      <c r="I130" s="3">
        <v>46169</v>
      </c>
      <c r="J130" s="4">
        <v>46243</v>
      </c>
      <c r="K130" t="inlineStr">
        <is>
          <t>梅见 青梅酒 商品评价</t>
        </is>
      </c>
      <c r="L130"/>
      <c r="M130" t="inlineStr">
        <is>
          <t>JD-U-20260809-062</t>
        </is>
      </c>
      <c r="N130" t="inlineStr">
        <is>
          <t>公开评论</t>
        </is>
      </c>
      <c r="O130"/>
      <c r="P130" t="inlineStr">
        <is>
          <t>情绪粗标：正面；主题粗标：超酸；配料；香气；酸度；加冰；不头疼；包装；礼赠；回购；京东商品评价弹层核验；已排除商家回复与用户名；评价页未展示评论点赞/有用数，点赞数留空；疑似模板化表达，仅作为原始语料导入，表2需人工复核</t>
        </is>
      </c>
      <c r="Q130" t="inlineStr">
        <is>
          <t>目标品牌</t>
        </is>
      </c>
      <c r="R130"/>
      <c r="S130"/>
    </row>
    <row r="131" ht="25.5" customHeight="1">
      <c r="A131" t="inlineStr">
        <is>
          <t>JD-20260809-063</t>
        </is>
      </c>
      <c r="B131" t="inlineStr">
        <is>
          <t>梅见产品体验反馈</t>
        </is>
      </c>
      <c r="C131" t="inlineStr">
        <is>
          <t>PRJ001</t>
        </is>
      </c>
      <c r="D131" t="inlineStr">
        <is>
          <t>梅见｜【尝鲜装】烟熏 150ml*1瓶</t>
        </is>
      </c>
      <c r="E131" t="inlineStr">
        <is>
          <t>梅见青梅酒真的太懂女生了✨，清清爽爽的青梅果香中和了酒精的厚重感，入口酸甜柔和，度数不高很适合小聚浅酌。瓶身设计也很清新，不管是独饮小酌还是朋友聚会都很合适～</t>
        </is>
      </c>
      <c r="F131" t="inlineStr">
        <is>
          <t>品牌：梅见｜商品/规格：【尝鲜装】烟熏 150ml*1瓶｜SKU：100034280635</t>
        </is>
      </c>
      <c r="G131" t="inlineStr">
        <is>
          <t>京东</t>
        </is>
      </c>
      <c r="H131" s="2" t="str">
        <f>=HYPERLINK("https://item.jd.com/100034280635.html", "https://item.jd.com/100034280635.html")</f>
        <v>https://item.jd.com/100034280635.html</v>
      </c>
      <c r="I131" s="3">
        <v>46159</v>
      </c>
      <c r="J131" s="4">
        <v>46243</v>
      </c>
      <c r="K131" t="inlineStr">
        <is>
          <t>梅见 青梅酒 商品评价</t>
        </is>
      </c>
      <c r="L131"/>
      <c r="M131" t="inlineStr">
        <is>
          <t>JD-U-20260809-063</t>
        </is>
      </c>
      <c r="N131" t="inlineStr">
        <is>
          <t>公开评论</t>
        </is>
      </c>
      <c r="O131"/>
      <c r="P131" t="inlineStr">
        <is>
          <t>情绪粗标：正面；主题粗标：烟熏150ml；果香；酒精感；酸甜度；入口感；包装；聚会；京东商品评价弹层核验；已排除商家回复与用户名；评价页未展示评论点赞/有用数，点赞数留空；疑似模板化表达，仅作为原始语料导入，表2需人工复核</t>
        </is>
      </c>
      <c r="Q131" t="inlineStr">
        <is>
          <t>目标品牌</t>
        </is>
      </c>
      <c r="R131"/>
      <c r="S131"/>
    </row>
    <row r="132" ht="25.5" customHeight="1">
      <c r="A132" t="inlineStr">
        <is>
          <t>JD-20260809-068</t>
        </is>
      </c>
      <c r="B132" t="inlineStr">
        <is>
          <t>梅见产品体验反馈</t>
        </is>
      </c>
      <c r="C132" t="inlineStr">
        <is>
          <t>PRJ001</t>
        </is>
      </c>
      <c r="D132" t="inlineStr">
        <is>
          <t>梅见｜【金桂梅见】330ml</t>
        </is>
      </c>
      <c r="E132" t="inlineStr">
        <is>
          <t>新口味金桂梅酒，味道可以，不会喝酒的也能喝一杯，哈哈哈
香气浓郁度：很香
酒精度数：酒精度数比较低。</t>
        </is>
      </c>
      <c r="F132" t="inlineStr">
        <is>
          <t>品牌：梅见｜商品/规格：【金桂梅见】330ml｜SKU：100064573496</t>
        </is>
      </c>
      <c r="G132" t="inlineStr">
        <is>
          <t>京东</t>
        </is>
      </c>
      <c r="H132" s="2" t="str">
        <f>=HYPERLINK("https://item.jd.com/100064573496.html", "https://item.jd.com/100064573496.html")</f>
        <v>https://item.jd.com/100064573496.html</v>
      </c>
      <c r="I132" s="3">
        <v>46110</v>
      </c>
      <c r="J132" s="4">
        <v>46243</v>
      </c>
      <c r="K132" t="inlineStr">
        <is>
          <t>梅见 青梅酒 商品评价</t>
        </is>
      </c>
      <c r="L132"/>
      <c r="M132" t="inlineStr">
        <is>
          <t>JD-U-20260809-068</t>
        </is>
      </c>
      <c r="N132" t="inlineStr">
        <is>
          <t>公开评论</t>
        </is>
      </c>
      <c r="O132"/>
      <c r="P132" t="inlineStr">
        <is>
          <t>情绪粗标：中性；主题粗标：金桂；香气；酒精度低；低酒量适配；京东中评弹层核验；已排除商家回复与用户名；评价页未展示评论点赞/有用数，点赞数留空</t>
        </is>
      </c>
      <c r="Q132" t="inlineStr">
        <is>
          <t>目标品牌</t>
        </is>
      </c>
      <c r="R132"/>
      <c r="S132"/>
    </row>
    <row r="133" ht="25.5" customHeight="1">
      <c r="A133" t="inlineStr">
        <is>
          <t>TB-20260809-032</t>
        </is>
      </c>
      <c r="B133" t="inlineStr">
        <is>
          <t>梅见产品体验反馈</t>
        </is>
      </c>
      <c r="C133" t="inlineStr">
        <is>
          <t>PRJ001</t>
        </is>
      </c>
      <c r="D133" t="inlineStr">
        <is>
          <t>梅见｜12度发酵330ml</t>
        </is>
      </c>
      <c r="E133" t="inlineStr">
        <is>
          <t>本来只是随便买来试试，没想到味道这么好。口感清爽不甜腻，喝起来很顺滑没有怪味，冰镇之后喝更舒服，已经安利给身边朋友了</t>
        </is>
      </c>
      <c r="F133" t="inlineStr">
        <is>
          <t>品牌：梅见｜商品/规格：12度发酵330ml｜SKU：681094845930</t>
        </is>
      </c>
      <c r="G133" t="inlineStr">
        <is>
          <t>淘宝</t>
        </is>
      </c>
      <c r="H133" s="2" t="str">
        <f>=HYPERLINK("https://detail.tmall.com/item.htm?id=681094845930", "https://detail.tmall.com/item.htm?id=681094845930")</f>
        <v>https://detail.tmall.com/item.htm?id=681094845930</v>
      </c>
      <c r="I133" s="3">
        <v>46212</v>
      </c>
      <c r="J133" s="4">
        <v>46243</v>
      </c>
      <c r="K133" t="inlineStr">
        <is>
          <t>梅见 青梅酒 商品评价</t>
        </is>
      </c>
      <c r="L133"/>
      <c r="M133" t="inlineStr">
        <is>
          <t>TB-U-20260809-032</t>
        </is>
      </c>
      <c r="N133" t="inlineStr">
        <is>
          <t>公开评论</t>
        </is>
      </c>
      <c r="O133"/>
      <c r="P133" t="inlineStr">
        <is>
          <t>情绪粗标：正面；主题粗标：购买动机；甜度；入口感；冰镇；推荐理由；梅见旗舰店商品评价；未记录用户名；已排除商家回复；评价页未展示评论点赞/有用数，点赞数留空</t>
        </is>
      </c>
      <c r="Q133" t="inlineStr">
        <is>
          <t>目标品牌</t>
        </is>
      </c>
      <c r="R133"/>
      <c r="S133"/>
    </row>
    <row r="134" ht="25.5" customHeight="1">
      <c r="A134" t="inlineStr">
        <is>
          <t>JD-RAW-0105</t>
        </is>
      </c>
      <c r="B134" t="inlineStr">
        <is>
          <t>梅见产品体验反馈</t>
        </is>
      </c>
      <c r="C134" t="inlineStr">
        <is>
          <t>PRJ001</t>
        </is>
      </c>
      <c r="D134" t="inlineStr">
        <is>
          <t>梅见</t>
        </is>
      </c>
      <c r="E134" t="inlineStr">
        <is>
          <t>果酒颜色正，喝起来顺口，喝着酸溜溜。</t>
        </is>
      </c>
      <c r="F134" t="inlineStr">
        <is>
          <t>商品：12度发酵330ml；SKU：681094845930</t>
        </is>
      </c>
      <c r="G134" t="inlineStr">
        <is>
          <t>淘宝</t>
        </is>
      </c>
      <c r="H134" s="2" t="str">
        <f>=HYPERLINK("https://detail.tmall.com/item.htm?id=681094845930", "https://detail.tmall.com/item.htm?id=681094845930")</f>
        <v>https://detail.tmall.com/item.htm?id=681094845930</v>
      </c>
      <c r="I134" s="3">
        <v>46207</v>
      </c>
      <c r="J134" s="4">
        <v>46243</v>
      </c>
      <c r="K134" t="inlineStr">
        <is>
          <t>梅见 青梅酒 口感 评价</t>
        </is>
      </c>
      <c r="L134"/>
      <c r="M134" t="inlineStr">
        <is>
          <t>MJ-TB-U-003</t>
        </is>
      </c>
      <c r="N134" t="inlineStr">
        <is>
          <t>公开评论</t>
        </is>
      </c>
      <c r="O134"/>
      <c r="P134" t="inlineStr">
        <is>
          <t>梅见旗舰店商品评价；未记录用户名；已排除商家回复；情绪：中性；涉及主题：外观；入口感；酸度</t>
        </is>
      </c>
      <c r="Q134" t="inlineStr">
        <is>
          <t>目标品牌</t>
        </is>
      </c>
      <c r="R134"/>
      <c r="S134"/>
    </row>
    <row r="135" ht="25.5" customHeight="1">
      <c r="A135" t="inlineStr">
        <is>
          <t>TB-20260809-039</t>
        </is>
      </c>
      <c r="B135" t="inlineStr">
        <is>
          <t>梅见产品体验反馈</t>
        </is>
      </c>
      <c r="C135" t="inlineStr">
        <is>
          <t>PRJ001</t>
        </is>
      </c>
      <c r="D135" t="inlineStr">
        <is>
          <t>梅见｜12度发酵330ml</t>
        </is>
      </c>
      <c r="E135" t="inlineStr">
        <is>
          <t>瓶子很漂亮，口感也是酸酸甜甜的，酒精度也不高很适合女孩子喝</t>
        </is>
      </c>
      <c r="F135" t="inlineStr">
        <is>
          <t>品牌：梅见｜商品/规格：12度发酵330ml｜SKU：681094845930</t>
        </is>
      </c>
      <c r="G135" t="inlineStr">
        <is>
          <t>淘宝</t>
        </is>
      </c>
      <c r="H135" s="2" t="str">
        <f>=HYPERLINK("https://detail.tmall.com/item.htm?id=681094845930", "https://detail.tmall.com/item.htm?id=681094845930")</f>
        <v>https://detail.tmall.com/item.htm?id=681094845930</v>
      </c>
      <c r="I135" s="3">
        <v>46178</v>
      </c>
      <c r="J135" s="4">
        <v>46243</v>
      </c>
      <c r="K135" t="inlineStr">
        <is>
          <t>梅见 青梅酒 商品评价</t>
        </is>
      </c>
      <c r="L135"/>
      <c r="M135" t="inlineStr">
        <is>
          <t>TB-U-20260809-039</t>
        </is>
      </c>
      <c r="N135" t="inlineStr">
        <is>
          <t>公开评论</t>
        </is>
      </c>
      <c r="O135"/>
      <c r="P135" t="inlineStr">
        <is>
          <t>情绪粗标：正面；主题粗标：包装外观；酸甜度；酒精感；适饮人群；梅见旗舰店商品评价；未记录用户名；已排除商家回复；评价页未展示评论点赞/有用数，点赞数留空</t>
        </is>
      </c>
      <c r="Q135" t="inlineStr">
        <is>
          <t>目标品牌</t>
        </is>
      </c>
      <c r="R135"/>
      <c r="S135"/>
    </row>
    <row r="136" ht="25.5" customHeight="1">
      <c r="A136" t="inlineStr">
        <is>
          <t>TB-20260809-041</t>
        </is>
      </c>
      <c r="B136" t="inlineStr">
        <is>
          <t>梅见产品体验反馈</t>
        </is>
      </c>
      <c r="C136" t="inlineStr">
        <is>
          <t>PRJ001</t>
        </is>
      </c>
      <c r="D136" t="inlineStr">
        <is>
          <t>梅见｜12度金桂330ml</t>
        </is>
      </c>
      <c r="E136" t="inlineStr">
        <is>
          <t>果酒喝起来酸爽不刺口，挺适合我口味的。</t>
        </is>
      </c>
      <c r="F136" t="inlineStr">
        <is>
          <t>品牌：梅见｜商品/规格：12度金桂330ml｜SKU：681094845930</t>
        </is>
      </c>
      <c r="G136" t="inlineStr">
        <is>
          <t>淘宝</t>
        </is>
      </c>
      <c r="H136" s="2" t="str">
        <f>=HYPERLINK("https://detail.tmall.com/item.htm?id=681094845930", "https://detail.tmall.com/item.htm?id=681094845930")</f>
        <v>https://detail.tmall.com/item.htm?id=681094845930</v>
      </c>
      <c r="I136" s="3">
        <v>46229</v>
      </c>
      <c r="J136" s="4">
        <v>46243</v>
      </c>
      <c r="K136" t="inlineStr">
        <is>
          <t>梅见 青梅酒 商品评价</t>
        </is>
      </c>
      <c r="L136"/>
      <c r="M136" t="inlineStr">
        <is>
          <t>TB-U-20260809-041</t>
        </is>
      </c>
      <c r="N136" t="inlineStr">
        <is>
          <t>公开评论</t>
        </is>
      </c>
      <c r="O136"/>
      <c r="P136" t="inlineStr">
        <is>
          <t>情绪粗标：正面；主题粗标：酸度；入口感；适口性；梅见旗舰店商品评价；未记录用户名；已排除商家回复；评价页未展示评论点赞/有用数，点赞数留空</t>
        </is>
      </c>
      <c r="Q136" t="inlineStr">
        <is>
          <t>目标品牌</t>
        </is>
      </c>
      <c r="R136"/>
      <c r="S136"/>
    </row>
    <row r="137" ht="25.5" customHeight="1">
      <c r="A137" t="inlineStr">
        <is>
          <t>TB-20260809-043</t>
        </is>
      </c>
      <c r="B137" t="inlineStr">
        <is>
          <t>梅见产品体验反馈</t>
        </is>
      </c>
      <c r="C137" t="inlineStr">
        <is>
          <t>PRJ001</t>
        </is>
      </c>
      <c r="D137" t="inlineStr">
        <is>
          <t>梅见｜超酸梅见150ml</t>
        </is>
      </c>
      <c r="E137" t="inlineStr">
        <is>
          <t>微酸偏甜，很清口，生产日期新鲜</t>
        </is>
      </c>
      <c r="F137" t="inlineStr">
        <is>
          <t>品牌：梅见｜商品/规格：超酸梅见150ml｜SKU：935881887671</t>
        </is>
      </c>
      <c r="G137" t="inlineStr">
        <is>
          <t>淘宝</t>
        </is>
      </c>
      <c r="H137" s="2" t="str">
        <f>=HYPERLINK("https://detail.tmall.com/item.htm?id=935881887671", "https://detail.tmall.com/item.htm?id=935881887671")</f>
        <v>https://detail.tmall.com/item.htm?id=935881887671</v>
      </c>
      <c r="I137" s="3">
        <v>46158</v>
      </c>
      <c r="J137" s="4">
        <v>46243</v>
      </c>
      <c r="K137" t="inlineStr">
        <is>
          <t>梅见 青梅酒 商品评价</t>
        </is>
      </c>
      <c r="L137"/>
      <c r="M137" t="inlineStr">
        <is>
          <t>TB-U-20260809-043</t>
        </is>
      </c>
      <c r="N137" t="inlineStr">
        <is>
          <t>公开评论</t>
        </is>
      </c>
      <c r="O137"/>
      <c r="P137" t="inlineStr">
        <is>
          <t>情绪粗标：中性；主题粗标：酸甜度；入口感；生产日期；时光梅旗舰店商品评价；日期按规则放宽；未记录用户名；已排除商家回复；评价页未展示评论点赞/有用数，点赞数留空</t>
        </is>
      </c>
      <c r="Q137" t="inlineStr">
        <is>
          <t>目标品牌</t>
        </is>
      </c>
      <c r="R137"/>
      <c r="S137"/>
    </row>
    <row r="138" ht="25.5" customHeight="1">
      <c r="A138" t="inlineStr">
        <is>
          <t>TB-20260809-044</t>
        </is>
      </c>
      <c r="B138" t="inlineStr">
        <is>
          <t>梅见产品体验反馈</t>
        </is>
      </c>
      <c r="C138" t="inlineStr">
        <is>
          <t>PRJ001</t>
        </is>
      </c>
      <c r="D138" t="inlineStr">
        <is>
          <t>梅见｜乌梅梅见150ml</t>
        </is>
      </c>
      <c r="E138" t="inlineStr">
        <is>
          <t>小资产阶级，跟闺蜜吃饭时一人一瓶正好，酒量不好就是喝着开心，一瓶下肚微醺</t>
        </is>
      </c>
      <c r="F138" t="inlineStr">
        <is>
          <t>品牌：梅见｜商品/规格：乌梅梅见150ml｜SKU：935881887671</t>
        </is>
      </c>
      <c r="G138" t="inlineStr">
        <is>
          <t>淘宝</t>
        </is>
      </c>
      <c r="H138" s="2" t="str">
        <f>=HYPERLINK("https://detail.tmall.com/item.htm?id=935881887671", "https://detail.tmall.com/item.htm?id=935881887671")</f>
        <v>https://detail.tmall.com/item.htm?id=935881887671</v>
      </c>
      <c r="I138" s="3">
        <v>46129</v>
      </c>
      <c r="J138" s="4">
        <v>46243</v>
      </c>
      <c r="K138" t="inlineStr">
        <is>
          <t>梅见 青梅酒 商品评价</t>
        </is>
      </c>
      <c r="L138"/>
      <c r="M138" t="inlineStr">
        <is>
          <t>TB-U-20260809-044</t>
        </is>
      </c>
      <c r="N138" t="inlineStr">
        <is>
          <t>公开评论</t>
        </is>
      </c>
      <c r="O138"/>
      <c r="P138" t="inlineStr">
        <is>
          <t>情绪粗标：正面；主题粗标：150ml规格；饮用场景；酒量；微醺；时光梅旗舰店商品评价；日期按规则放宽；未记录用户名；已排除商家回复；评价页未展示评论点赞/有用数，点赞数留空</t>
        </is>
      </c>
      <c r="Q138" t="inlineStr">
        <is>
          <t>目标品牌</t>
        </is>
      </c>
      <c r="R138"/>
      <c r="S138"/>
    </row>
    <row r="139" ht="25.5" customHeight="1">
      <c r="A139" t="inlineStr">
        <is>
          <t>TB-20260809-048</t>
        </is>
      </c>
      <c r="B139" t="inlineStr">
        <is>
          <t>梅见产品体验反馈</t>
        </is>
      </c>
      <c r="C139" t="inlineStr">
        <is>
          <t>PRJ001</t>
        </is>
      </c>
      <c r="D139" t="inlineStr">
        <is>
          <t>梅见｜超酸梅见150ml</t>
        </is>
      </c>
      <c r="E139" t="inlineStr">
        <is>
          <t>✨这款青梅酒真的超赞！🌟酸甜度刚刚好，入口顺滑不呛喉，低度微醺太适合女生啦～😋包装精致小巧，随身携带也方便，冰镇后口感更绝！💯喝完还想回购的神仙饮品～</t>
        </is>
      </c>
      <c r="F139" t="inlineStr">
        <is>
          <t>品牌：梅见｜商品/规格：超酸梅见150ml｜SKU：935881887671</t>
        </is>
      </c>
      <c r="G139" t="inlineStr">
        <is>
          <t>淘宝</t>
        </is>
      </c>
      <c r="H139" s="2" t="str">
        <f>=HYPERLINK("https://detail.tmall.com/item.htm?id=935881887671", "https://detail.tmall.com/item.htm?id=935881887671")</f>
        <v>https://detail.tmall.com/item.htm?id=935881887671</v>
      </c>
      <c r="I139" s="3">
        <v>46121</v>
      </c>
      <c r="J139" s="4">
        <v>46243</v>
      </c>
      <c r="K139" t="inlineStr">
        <is>
          <t>梅见 青梅酒 商品评价</t>
        </is>
      </c>
      <c r="L139"/>
      <c r="M139" t="inlineStr">
        <is>
          <t>TB-U-20260809-048</t>
        </is>
      </c>
      <c r="N139" t="inlineStr">
        <is>
          <t>公开评论</t>
        </is>
      </c>
      <c r="O139"/>
      <c r="P139" t="inlineStr">
        <is>
          <t>情绪粗标：正面；主题粗标：酸甜度；入口感；酒精感；包装；冰镇；回购；时光梅旗舰店商品评价；日期按规则放宽；未记录用户名；已排除商家回复；评价页未展示评论点赞/有用数，点赞数留空；疑似模板化表达，仅作为原始语料导入，表2需人工复核</t>
        </is>
      </c>
      <c r="Q139" t="inlineStr">
        <is>
          <t>目标品牌</t>
        </is>
      </c>
      <c r="R139"/>
      <c r="S139"/>
    </row>
    <row r="140" ht="25.5" customHeight="1">
      <c r="A140" t="inlineStr">
        <is>
          <t>TB-20260809-049</t>
        </is>
      </c>
      <c r="B140" t="inlineStr">
        <is>
          <t>梅见产品体验反馈</t>
        </is>
      </c>
      <c r="C140" t="inlineStr">
        <is>
          <t>PRJ001</t>
        </is>
      </c>
      <c r="D140" t="inlineStr">
        <is>
          <t>梅见｜乌梅梅见150ml</t>
        </is>
      </c>
      <c r="E140" t="inlineStr">
        <is>
          <t>烟熏乌梅风味儿青梅酒非常好喝，喝青梅酒就选梅见，好喝不贵，5分好评！</t>
        </is>
      </c>
      <c r="F140" t="inlineStr">
        <is>
          <t>品牌：梅见｜商品/规格：乌梅梅见150ml｜SKU：935881887671</t>
        </is>
      </c>
      <c r="G140" t="inlineStr">
        <is>
          <t>淘宝</t>
        </is>
      </c>
      <c r="H140" s="2" t="str">
        <f>=HYPERLINK("https://detail.tmall.com/item.htm?id=935881887671", "https://detail.tmall.com/item.htm?id=935881887671")</f>
        <v>https://detail.tmall.com/item.htm?id=935881887671</v>
      </c>
      <c r="I140" s="3">
        <v>46116</v>
      </c>
      <c r="J140" s="4">
        <v>46243</v>
      </c>
      <c r="K140" t="inlineStr">
        <is>
          <t>梅见 青梅酒 商品评价</t>
        </is>
      </c>
      <c r="L140"/>
      <c r="M140" t="inlineStr">
        <is>
          <t>TB-U-20260809-049</t>
        </is>
      </c>
      <c r="N140" t="inlineStr">
        <is>
          <t>公开评论</t>
        </is>
      </c>
      <c r="O140"/>
      <c r="P140" t="inlineStr">
        <is>
          <t>情绪粗标：正面；主题粗标：烟熏乌梅风味；价格；品牌认知；时光梅旗舰店商品评价；日期按规则放宽；未记录用户名；已排除商家回复；评价页未展示评论点赞/有用数，点赞数留空</t>
        </is>
      </c>
      <c r="Q140" t="inlineStr">
        <is>
          <t>目标品牌</t>
        </is>
      </c>
      <c r="R140"/>
      <c r="S140"/>
    </row>
    <row r="141" ht="25.5" customHeight="1">
      <c r="A141" t="inlineStr">
        <is>
          <t>TB-20260809-050</t>
        </is>
      </c>
      <c r="B141" t="inlineStr">
        <is>
          <t>梅见产品体验反馈</t>
        </is>
      </c>
      <c r="C141" t="inlineStr">
        <is>
          <t>PRJ001</t>
        </is>
      </c>
      <c r="D141" t="inlineStr">
        <is>
          <t>梅见｜乌梅梅见150ml</t>
        </is>
      </c>
      <c r="E141" t="inlineStr">
        <is>
          <t>梅见这个品牌可以的，口感好 后劲不大 适合女生</t>
        </is>
      </c>
      <c r="F141" t="inlineStr">
        <is>
          <t>品牌：梅见｜商品/规格：乌梅梅见150ml｜SKU：935881887671</t>
        </is>
      </c>
      <c r="G141" t="inlineStr">
        <is>
          <t>淘宝</t>
        </is>
      </c>
      <c r="H141" s="2" t="str">
        <f>=HYPERLINK("https://detail.tmall.com/item.htm?id=935881887671", "https://detail.tmall.com/item.htm?id=935881887671")</f>
        <v>https://detail.tmall.com/item.htm?id=935881887671</v>
      </c>
      <c r="I141" s="3">
        <v>46112</v>
      </c>
      <c r="J141" s="4">
        <v>46243</v>
      </c>
      <c r="K141" t="inlineStr">
        <is>
          <t>梅见 青梅酒 商品评价</t>
        </is>
      </c>
      <c r="L141"/>
      <c r="M141" t="inlineStr">
        <is>
          <t>TB-U-20260809-050</t>
        </is>
      </c>
      <c r="N141" t="inlineStr">
        <is>
          <t>公开评论</t>
        </is>
      </c>
      <c r="O141"/>
      <c r="P141" t="inlineStr">
        <is>
          <t>情绪粗标：正面；主题粗标：品牌认知；入口感；后劲；适饮人群；时光梅旗舰店商品评价；日期按规则放宽；未记录用户名；已排除商家回复；评价页未展示评论点赞/有用数，点赞数留空</t>
        </is>
      </c>
      <c r="Q141" t="inlineStr">
        <is>
          <t>目标品牌</t>
        </is>
      </c>
      <c r="R141"/>
      <c r="S141"/>
    </row>
    <row r="142" ht="25.5" customHeight="1">
      <c r="A142" t="inlineStr">
        <is>
          <t>MJ-RAW-0061</t>
        </is>
      </c>
      <c r="B142" t="inlineStr">
        <is>
          <t>梅见品牌认知与传播反馈</t>
        </is>
      </c>
      <c r="C142" t="inlineStr">
        <is>
          <t>PRJ001</t>
        </is>
      </c>
      <c r="D142" t="inlineStr">
        <is>
          <t>梅见</t>
        </is>
      </c>
      <c r="E142" t="inlineStr">
        <is>
          <t>和好久没见的人一起喝好酒梅见，这是故事最好的结局</t>
        </is>
      </c>
      <c r="F142" t="inlineStr">
        <is>
          <t>来源：抖音平台用户评论</t>
        </is>
      </c>
      <c r="G142" t="inlineStr">
        <is>
          <t>抖音</t>
        </is>
      </c>
      <c r="H142" s="2" t="str">
        <f>=HYPERLINK("https://www.douyin.com/jingxuan/search/%E6%A2%85%E8%A7%81?aid=5d675a76-bfbf-47be-9dd6-a3198f6b9bc9&amp;modal_id=7480476999740296483&amp;type=general", "https://www.douyin.com/jingxuan/search/%E6%A2%85%E8%A7%81?aid=5d675a76-bfbf-47be-9dd6-a3198f6b9bc9&amp;modal_id=7480476999740296483&amp;type=general")</f>
        <v>https://www.douyin.com/jingxuan/search/%E6%A2%85%E8%A7%81?aid=5d675a76-bfbf-47be-9dd6-a3198f6b9bc9&amp;modal_id=7480476999740296483&amp;type=general</v>
      </c>
      <c r="I142" s="3">
        <v>46088.02222222222</v>
      </c>
      <c r="J142" s="4">
        <v>46241</v>
      </c>
      <c r="K142" t="inlineStr">
        <is>
          <t>梅见 品牌 评价 推荐</t>
        </is>
      </c>
      <c r="L142">
        <v>37</v>
      </c>
      <c r="M142" t="inlineStr">
        <is>
          <t>MJ-DY-U-011</t>
        </is>
      </c>
      <c r="N142" t="inlineStr">
        <is>
          <t>公开评论</t>
        </is>
      </c>
      <c r="O142"/>
      <c r="P142" t="inlineStr">
        <is>
          <t>社媒平台初筛语料，待进一步清洗与分析</t>
        </is>
      </c>
      <c r="Q142" t="inlineStr">
        <is>
          <t>目标品牌</t>
        </is>
      </c>
      <c r="R142"/>
      <c r="S142"/>
    </row>
    <row r="143" ht="25.5" customHeight="1">
      <c r="A143" t="inlineStr">
        <is>
          <t>MJ-RAW-0062</t>
        </is>
      </c>
      <c r="B143" t="inlineStr">
        <is>
          <t>梅见品牌认知与传播反馈</t>
        </is>
      </c>
      <c r="C143" t="inlineStr">
        <is>
          <t>PRJ001</t>
        </is>
      </c>
      <c r="D143" t="inlineStr">
        <is>
          <t>梅见</t>
        </is>
      </c>
      <c r="E143" t="inlineStr">
        <is>
          <t>是好久梅见了</t>
        </is>
      </c>
      <c r="F143" t="inlineStr">
        <is>
          <t>来源：抖音平台用户评论</t>
        </is>
      </c>
      <c r="G143" t="inlineStr">
        <is>
          <t>抖音</t>
        </is>
      </c>
      <c r="H143" s="2" t="str">
        <f>=HYPERLINK("https://www.douyin.com/jingxuan/search/%E6%A2%85%E8%A7%81?aid=5d675a76-bfbf-47be-9dd6-a3198f6b9bc9&amp;modal_id=7400774000923741455&amp;type=general", "https://www.douyin.com/jingxuan/search/%E6%A2%85%E8%A7%81?aid=5d675a76-bfbf-47be-9dd6-a3198f6b9bc9&amp;modal_id=7400774000923741455&amp;type=general")</f>
        <v>https://www.douyin.com/jingxuan/search/%E6%A2%85%E8%A7%81?aid=5d675a76-bfbf-47be-9dd6-a3198f6b9bc9&amp;modal_id=7400774000923741455&amp;type=general</v>
      </c>
      <c r="I143" s="3">
        <v>46149.021527777775</v>
      </c>
      <c r="J143" s="4">
        <v>46241</v>
      </c>
      <c r="K143" t="inlineStr">
        <is>
          <t>梅见 品牌 评价 推荐</t>
        </is>
      </c>
      <c r="L143">
        <v>9575</v>
      </c>
      <c r="M143" t="inlineStr">
        <is>
          <t>MJ-DY-U-012</t>
        </is>
      </c>
      <c r="N143" t="inlineStr">
        <is>
          <t>公开评论</t>
        </is>
      </c>
      <c r="O143"/>
      <c r="P143" t="inlineStr">
        <is>
          <t>社媒平台初筛语料，待进一步清洗与分析</t>
        </is>
      </c>
      <c r="Q143" t="inlineStr">
        <is>
          <t>目标品牌</t>
        </is>
      </c>
      <c r="R143"/>
      <c r="S143"/>
    </row>
    <row r="144" ht="25.5" customHeight="1">
      <c r="A144" t="inlineStr">
        <is>
          <t>MJ-RAW-0063</t>
        </is>
      </c>
      <c r="B144" t="inlineStr">
        <is>
          <t>梅见品牌认知与传播反馈</t>
        </is>
      </c>
      <c r="C144" t="inlineStr">
        <is>
          <t>PRJ001</t>
        </is>
      </c>
      <c r="D144" t="inlineStr">
        <is>
          <t>梅见</t>
        </is>
      </c>
      <c r="E144" t="inlineStr">
        <is>
          <t>世人皆知江南韵，而我独爱夜西湖</t>
        </is>
      </c>
      <c r="F144" t="inlineStr">
        <is>
          <t>来源：抖音平台用户评论</t>
        </is>
      </c>
      <c r="G144" t="inlineStr">
        <is>
          <t>抖音</t>
        </is>
      </c>
      <c r="H144" s="2" t="str">
        <f>=HYPERLINK("https://www.douyin.com/jingxuan/search/%E6%A2%85%E8%A7%81?aid=5d675a76-bfbf-47be-9dd6-a3198f6b9bc9&amp;modal_id=7551729874084990250&amp;type=general", "https://www.douyin.com/jingxuan/search/%E6%A2%85%E8%A7%81?aid=5d675a76-bfbf-47be-9dd6-a3198f6b9bc9&amp;modal_id=7551729874084990250&amp;type=general")</f>
        <v>https://www.douyin.com/jingxuan/search/%E6%A2%85%E8%A7%81?aid=5d675a76-bfbf-47be-9dd6-a3198f6b9bc9&amp;modal_id=7551729874084990250&amp;type=general</v>
      </c>
      <c r="I144" s="3">
        <v>45961.021527777775</v>
      </c>
      <c r="J144" s="4">
        <v>46241</v>
      </c>
      <c r="K144" t="inlineStr">
        <is>
          <t>梅见 品牌 评价 推荐</t>
        </is>
      </c>
      <c r="L144">
        <v>209</v>
      </c>
      <c r="M144" t="inlineStr">
        <is>
          <t>MJ-DY-U-013</t>
        </is>
      </c>
      <c r="N144" t="inlineStr">
        <is>
          <t>公开评论</t>
        </is>
      </c>
      <c r="O144"/>
      <c r="P144" t="inlineStr">
        <is>
          <t>社媒平台初筛语料，待进一步清洗与分析</t>
        </is>
      </c>
      <c r="Q144" t="inlineStr">
        <is>
          <t>目标品牌</t>
        </is>
      </c>
      <c r="R144"/>
      <c r="S144"/>
    </row>
    <row r="145" ht="25.5" customHeight="1">
      <c r="A145" t="inlineStr">
        <is>
          <t>MJ-RAW-0064</t>
        </is>
      </c>
      <c r="B145" t="inlineStr">
        <is>
          <t>梅见品牌认知与传播反馈</t>
        </is>
      </c>
      <c r="C145" t="inlineStr">
        <is>
          <t>PRJ001</t>
        </is>
      </c>
      <c r="D145" t="inlineStr">
        <is>
          <t>梅见</t>
        </is>
      </c>
      <c r="E145" t="inlineStr">
        <is>
          <t>这个酒对我而言就是成年人的糖水苦日子里的那点甜</t>
        </is>
      </c>
      <c r="F145" t="inlineStr">
        <is>
          <t>来源：抖音平台用户评论</t>
        </is>
      </c>
      <c r="G145" t="inlineStr">
        <is>
          <t>抖音</t>
        </is>
      </c>
      <c r="H145" s="2" t="str">
        <f>=HYPERLINK("https://www.douyin.com/jingxuan/search/%E6%A2%85%E8%A7%81%E9%9D%92%E6%A2%85%E6%9E%9C%E9%85%92?aid=31cba53f-1ead-41a4-8ab2-c89001b4512f&amp;modal_id=7653362603619687025&amp;type=general", "https://www.douyin.com/jingxuan/search/%E6%A2%85%E8%A7%81%E9%9D%92%E6%A2%85%E6%9E%9C%E9%85%92?aid=31cba53f-1ead-41a4-8ab2-c89001b4512f&amp;modal_id=7653362603619687025&amp;type=general")</f>
        <v>https://www.douyin.com/jingxuan/search/%E6%A2%85%E8%A7%81%E9%9D%92%E6%A2%85%E6%9E%9C%E9%85%92?aid=31cba53f-1ead-41a4-8ab2-c89001b4512f&amp;modal_id=7653362603619687025&amp;type=general</v>
      </c>
      <c r="I145" s="3">
        <v>46211.021527777775</v>
      </c>
      <c r="J145" s="4">
        <v>46241</v>
      </c>
      <c r="K145" t="inlineStr">
        <is>
          <t>梅见 品牌 评价 推荐</t>
        </is>
      </c>
      <c r="L145">
        <v>64</v>
      </c>
      <c r="M145" t="inlineStr">
        <is>
          <t>MJ-DY-U-014</t>
        </is>
      </c>
      <c r="N145" t="inlineStr">
        <is>
          <t>公开评论</t>
        </is>
      </c>
      <c r="O145"/>
      <c r="P145" t="inlineStr">
        <is>
          <t>社媒平台初筛语料，待进一步清洗与分析</t>
        </is>
      </c>
      <c r="Q145" t="inlineStr">
        <is>
          <t>目标品牌</t>
        </is>
      </c>
      <c r="R145"/>
      <c r="S145"/>
    </row>
    <row r="146" ht="25.5" customHeight="1">
      <c r="A146" t="inlineStr">
        <is>
          <t>XHS-SOC-0024</t>
        </is>
      </c>
      <c r="B146" t="inlineStr">
        <is>
          <t>梅见品牌认知与传播反馈</t>
        </is>
      </c>
      <c r="C146" t="inlineStr">
        <is>
          <t>PRJ001</t>
        </is>
      </c>
      <c r="D146" t="inlineStr">
        <is>
          <t>梅见</t>
        </is>
      </c>
      <c r="E146" t="inlineStr">
        <is>
          <t>没觉得喝一口都是工业味么</t>
        </is>
      </c>
      <c r="F146" t="inlineStr">
        <is>
          <t>梅见青梅酒再见了-喝了头痛｜2025-08-05｜小红书</t>
        </is>
      </c>
      <c r="G146" t="inlineStr">
        <is>
          <t>小红书</t>
        </is>
      </c>
      <c r="H146" s="2" t="str">
        <f>=HYPERLINK("https://www.xiaohongshu.com/search_result/梅见是什么酒", "https://www.xiaohongshu.com/search_result/梅见是什么酒")</f>
        <v>https://www.xiaohongshu.com/search_result/梅见是什么酒</v>
      </c>
      <c r="I146" s="3">
        <v>45875</v>
      </c>
      <c r="J146" s="4">
        <v>46243</v>
      </c>
      <c r="K146" t="inlineStr">
        <is>
          <t>梅见是什么酒</t>
        </is>
      </c>
      <c r="L146">
        <v>40</v>
      </c>
      <c r="M146" t="inlineStr">
        <is>
          <t>XHS-U0128</t>
        </is>
      </c>
      <c r="N146" t="inlineStr">
        <is>
          <t>公开评论</t>
        </is>
      </c>
      <c r="O146"/>
      <c r="P146" t="inlineStr">
        <is>
          <t>原始:2025-08-06·广东；当前为搜索结果页链接，正式入库前需补原笔记链接</t>
        </is>
      </c>
      <c r="Q146" t="inlineStr">
        <is>
          <t>目标品牌</t>
        </is>
      </c>
      <c r="R146"/>
      <c r="S146"/>
    </row>
    <row r="147" ht="25.5" customHeight="1">
      <c r="A147" t="inlineStr">
        <is>
          <t>XHS-SOC-0029</t>
        </is>
      </c>
      <c r="B147" t="inlineStr">
        <is>
          <t>梅见品牌认知与传播反馈</t>
        </is>
      </c>
      <c r="C147" t="inlineStr">
        <is>
          <t>PRJ001</t>
        </is>
      </c>
      <c r="D147" t="inlineStr">
        <is>
          <t>梅见</t>
        </is>
      </c>
      <c r="E147" t="inlineStr">
        <is>
          <t>有点像喝止咳糖浆加酒</t>
        </is>
      </c>
      <c r="F147" t="inlineStr">
        <is>
          <t>梅见青梅酒再见了-喝了头痛｜2025-08-05｜小红书</t>
        </is>
      </c>
      <c r="G147" t="inlineStr">
        <is>
          <t>小红书</t>
        </is>
      </c>
      <c r="H147" s="2" t="str">
        <f>=HYPERLINK("https://www.xiaohongshu.com/search_result/梅见是什么酒", "https://www.xiaohongshu.com/search_result/梅见是什么酒")</f>
        <v>https://www.xiaohongshu.com/search_result/梅见是什么酒</v>
      </c>
      <c r="I147" s="3">
        <v>45884</v>
      </c>
      <c r="J147" s="4">
        <v>46243</v>
      </c>
      <c r="K147" t="inlineStr">
        <is>
          <t>梅见是什么酒</t>
        </is>
      </c>
      <c r="L147">
        <v>38</v>
      </c>
      <c r="M147" t="inlineStr">
        <is>
          <t>XHS-U0123</t>
        </is>
      </c>
      <c r="N147" t="inlineStr">
        <is>
          <t>公开评论</t>
        </is>
      </c>
      <c r="O147"/>
      <c r="P147" t="inlineStr">
        <is>
          <t>原始:2025-08-15·四川；当前为搜索结果页链接，正式入库前需补原笔记链接</t>
        </is>
      </c>
      <c r="Q147" t="inlineStr">
        <is>
          <t>目标品牌</t>
        </is>
      </c>
      <c r="R147"/>
      <c r="S147"/>
    </row>
    <row r="148" ht="25.5" customHeight="1">
      <c r="A148" t="inlineStr">
        <is>
          <t>XHS-SOC-0043</t>
        </is>
      </c>
      <c r="B148" t="inlineStr">
        <is>
          <t>梅见品牌认知与传播反馈</t>
        </is>
      </c>
      <c r="C148" t="inlineStr">
        <is>
          <t>PRJ001</t>
        </is>
      </c>
      <c r="D148" t="inlineStr">
        <is>
          <t>梅见</t>
        </is>
      </c>
      <c r="E148" t="inlineStr">
        <is>
          <t>喝过很多款梅子酒，感觉还是梅见最专业了，不过我个人原因不喜欢太甜的酒</t>
        </is>
      </c>
      <c r="F148" t="inlineStr">
        <is>
          <t>除了梅见还有其他梅子酒推荐吗｜2025-07-04｜小红书</t>
        </is>
      </c>
      <c r="G148" t="inlineStr">
        <is>
          <t>小红书</t>
        </is>
      </c>
      <c r="H148" s="2" t="str">
        <f>=HYPERLINK("https://www.xiaohongshu.com/explore/6a48b570000000001603dc9b", "https://www.xiaohongshu.com/explore/6a48b570000000001603dc9b")</f>
        <v>https://www.xiaohongshu.com/explore/6a48b570000000001603dc9b</v>
      </c>
      <c r="I148" s="3">
        <v>46207</v>
      </c>
      <c r="J148" s="4">
        <v>46243</v>
      </c>
      <c r="K148" t="inlineStr">
        <is>
          <t>青梅酒推荐</t>
        </is>
      </c>
      <c r="L148">
        <v>0</v>
      </c>
      <c r="M148" t="inlineStr">
        <is>
          <t>XHS-U0203</t>
        </is>
      </c>
      <c r="N148" t="inlineStr">
        <is>
          <t>公开评论</t>
        </is>
      </c>
      <c r="O148"/>
      <c r="P148" t="inlineStr">
        <is>
          <t>原始:07-04;年份推定·四川</t>
        </is>
      </c>
      <c r="Q148" t="inlineStr">
        <is>
          <t>目标品牌</t>
        </is>
      </c>
      <c r="R148"/>
      <c r="S148"/>
    </row>
    <row r="149" ht="25.5" customHeight="1">
      <c r="A149" t="inlineStr">
        <is>
          <t>DY-SOC-0068</t>
        </is>
      </c>
      <c r="B149" t="inlineStr">
        <is>
          <t>梅见品牌认知与传播反馈</t>
        </is>
      </c>
      <c r="C149" t="inlineStr">
        <is>
          <t>PRJ001</t>
        </is>
      </c>
      <c r="D149" t="inlineStr">
        <is>
          <t>梅见</t>
        </is>
      </c>
      <c r="E149" t="inlineStr">
        <is>
          <t>请问有没有推荐的高端威士忌酒杯</t>
        </is>
      </c>
      <c r="F149" t="inlineStr">
        <is>
          <t>烟熏梅酒嗨棒｜2025-07-28｜抖音</t>
        </is>
      </c>
      <c r="G149" t="inlineStr">
        <is>
          <t>抖音</t>
        </is>
      </c>
      <c r="H149" s="2" t="str">
        <f>=HYPERLINK("https://www.douyin.com/video/7661213968078401147", "https://www.douyin.com/video/7661213968078401147")</f>
        <v>https://www.douyin.com/video/7661213968078401147</v>
      </c>
      <c r="I149" s="3">
        <v>45866</v>
      </c>
      <c r="J149" s="4">
        <v>46243</v>
      </c>
      <c r="K149" t="inlineStr">
        <is>
          <t>梅见是什么酒</t>
        </is>
      </c>
      <c r="L149"/>
      <c r="M149" t="inlineStr">
        <is>
          <t>DY-U0121</t>
        </is>
      </c>
      <c r="N149" t="inlineStr">
        <is>
          <t>公开评论</t>
        </is>
      </c>
      <c r="O149"/>
      <c r="P149" t="inlineStr">
        <is>
          <t>点赞数未成功识别，暂置空，禁止随机补值；当前日期来自视频发布时间，评论发布时间未识别</t>
        </is>
      </c>
      <c r="Q149" t="inlineStr">
        <is>
          <t>目标品牌</t>
        </is>
      </c>
      <c r="R149"/>
      <c r="S149"/>
    </row>
    <row r="150" ht="25.5" customHeight="1">
      <c r="A150" t="inlineStr">
        <is>
          <t>DY-SOC-0069</t>
        </is>
      </c>
      <c r="B150" t="inlineStr">
        <is>
          <t>梅见品牌认知与传播反馈</t>
        </is>
      </c>
      <c r="C150" t="inlineStr">
        <is>
          <t>PRJ001</t>
        </is>
      </c>
      <c r="D150" t="inlineStr">
        <is>
          <t>梅见</t>
        </is>
      </c>
      <c r="E150" t="inlineStr">
        <is>
          <t>问问这个酒有气泡吗</t>
        </is>
      </c>
      <c r="F150" t="inlineStr">
        <is>
          <t>孔雀开屏自作多情｜2025-08-08｜抖音</t>
        </is>
      </c>
      <c r="G150" t="inlineStr">
        <is>
          <t>抖音</t>
        </is>
      </c>
      <c r="H150" s="2" t="str">
        <f>=HYPERLINK("https://www.douyin.com/video/7614069832590571377", "https://www.douyin.com/video/7614069832590571377")</f>
        <v>https://www.douyin.com/video/7614069832590571377</v>
      </c>
      <c r="I150" s="3">
        <v>45877</v>
      </c>
      <c r="J150" s="4">
        <v>46243</v>
      </c>
      <c r="K150" t="inlineStr">
        <is>
          <t>梅见品牌</t>
        </is>
      </c>
      <c r="L150"/>
      <c r="M150" t="inlineStr">
        <is>
          <t>DY-U0130</t>
        </is>
      </c>
      <c r="N150" t="inlineStr">
        <is>
          <t>公开评论</t>
        </is>
      </c>
      <c r="O150"/>
      <c r="P150" t="inlineStr">
        <is>
          <t>点赞数未成功识别，暂置空，禁止随机补值；当前日期来自视频发布时间，评论发布时间未识别</t>
        </is>
      </c>
      <c r="Q150" t="inlineStr">
        <is>
          <t>目标品牌</t>
        </is>
      </c>
      <c r="R150"/>
      <c r="S150"/>
    </row>
    <row r="151" ht="25.5" customHeight="1">
      <c r="A151" t="inlineStr">
        <is>
          <t>DY-SOC-0070</t>
        </is>
      </c>
      <c r="B151" t="inlineStr">
        <is>
          <t>梅见品牌认知与传播反馈</t>
        </is>
      </c>
      <c r="C151" t="inlineStr">
        <is>
          <t>PRJ001</t>
        </is>
      </c>
      <c r="D151" t="inlineStr">
        <is>
          <t>梅见</t>
        </is>
      </c>
      <c r="E151" t="inlineStr">
        <is>
          <t>你这个梅酒是330ml的吗</t>
        </is>
      </c>
      <c r="F151" t="inlineStr">
        <is>
          <t>孔雀开屏自作多情｜2025-08-08｜抖音</t>
        </is>
      </c>
      <c r="G151" t="inlineStr">
        <is>
          <t>抖音</t>
        </is>
      </c>
      <c r="H151" s="2" t="str">
        <f>=HYPERLINK("https://www.douyin.com/video/7614069832590571377", "https://www.douyin.com/video/7614069832590571377")</f>
        <v>https://www.douyin.com/video/7614069832590571377</v>
      </c>
      <c r="I151" s="3">
        <v>45877</v>
      </c>
      <c r="J151" s="4">
        <v>46243</v>
      </c>
      <c r="K151" t="inlineStr">
        <is>
          <t>梅见品牌</t>
        </is>
      </c>
      <c r="L151"/>
      <c r="M151" t="inlineStr">
        <is>
          <t>DY-U0131</t>
        </is>
      </c>
      <c r="N151" t="inlineStr">
        <is>
          <t>公开评论</t>
        </is>
      </c>
      <c r="O151"/>
      <c r="P151" t="inlineStr">
        <is>
          <t>点赞数未成功识别，暂置空，禁止随机补值；当前日期来自视频发布时间，评论发布时间未识别</t>
        </is>
      </c>
      <c r="Q151" t="inlineStr">
        <is>
          <t>目标品牌</t>
        </is>
      </c>
      <c r="R151"/>
      <c r="S151"/>
    </row>
    <row r="152" ht="25.5" customHeight="1">
      <c r="A152" t="inlineStr">
        <is>
          <t>DY-SOC-0071</t>
        </is>
      </c>
      <c r="B152" t="inlineStr">
        <is>
          <t>梅见品牌认知与传播反馈</t>
        </is>
      </c>
      <c r="C152" t="inlineStr">
        <is>
          <t>PRJ001</t>
        </is>
      </c>
      <c r="D152" t="inlineStr">
        <is>
          <t>梅见</t>
        </is>
      </c>
      <c r="E152" t="inlineStr">
        <is>
          <t>手里那杯感觉好好喝</t>
        </is>
      </c>
      <c r="F152" t="inlineStr">
        <is>
          <t>孔雀开屏自作多情｜2025-08-08｜抖音</t>
        </is>
      </c>
      <c r="G152" t="inlineStr">
        <is>
          <t>抖音</t>
        </is>
      </c>
      <c r="H152" s="2" t="str">
        <f>=HYPERLINK("https://www.douyin.com/video/7614069832590571377", "https://www.douyin.com/video/7614069832590571377")</f>
        <v>https://www.douyin.com/video/7614069832590571377</v>
      </c>
      <c r="I152" s="3">
        <v>45877</v>
      </c>
      <c r="J152" s="4">
        <v>46243</v>
      </c>
      <c r="K152" t="inlineStr">
        <is>
          <t>梅见品牌</t>
        </is>
      </c>
      <c r="L152"/>
      <c r="M152" t="inlineStr">
        <is>
          <t>DY-U0133</t>
        </is>
      </c>
      <c r="N152" t="inlineStr">
        <is>
          <t>公开评论</t>
        </is>
      </c>
      <c r="O152"/>
      <c r="P152" t="inlineStr">
        <is>
          <t>点赞数未成功识别，暂置空，禁止随机补值；当前日期来自视频发布时间，评论发布时间未识别</t>
        </is>
      </c>
      <c r="Q152" t="inlineStr">
        <is>
          <t>目标品牌</t>
        </is>
      </c>
      <c r="R152"/>
      <c r="S152"/>
    </row>
    <row r="153" ht="25.5" customHeight="1">
      <c r="A153" t="inlineStr">
        <is>
          <t>DY-SOC-0072</t>
        </is>
      </c>
      <c r="B153" t="inlineStr">
        <is>
          <t>梅见品牌认知与传播反馈</t>
        </is>
      </c>
      <c r="C153" t="inlineStr">
        <is>
          <t>PRJ001</t>
        </is>
      </c>
      <c r="D153" t="inlineStr">
        <is>
          <t>梅见</t>
        </is>
      </c>
      <c r="E153" t="inlineStr">
        <is>
          <t>以为双向奔赴原来是单向脑补</t>
        </is>
      </c>
      <c r="F153" t="inlineStr">
        <is>
          <t>孔雀开屏自作多情｜2025-08-08｜抖音</t>
        </is>
      </c>
      <c r="G153" t="inlineStr">
        <is>
          <t>抖音</t>
        </is>
      </c>
      <c r="H153" s="2" t="str">
        <f>=HYPERLINK("https://www.douyin.com/video/7614069832590571377", "https://www.douyin.com/video/7614069832590571377")</f>
        <v>https://www.douyin.com/video/7614069832590571377</v>
      </c>
      <c r="I153" s="3">
        <v>45877</v>
      </c>
      <c r="J153" s="4">
        <v>46243</v>
      </c>
      <c r="K153" t="inlineStr">
        <is>
          <t>梅见品牌</t>
        </is>
      </c>
      <c r="L153"/>
      <c r="M153" t="inlineStr">
        <is>
          <t>DY-U0135</t>
        </is>
      </c>
      <c r="N153" t="inlineStr">
        <is>
          <t>公开评论</t>
        </is>
      </c>
      <c r="O153"/>
      <c r="P153" t="inlineStr">
        <is>
          <t>点赞数未成功识别，暂置空，禁止随机补值；当前日期来自视频发布时间，评论发布时间未识别</t>
        </is>
      </c>
      <c r="Q153" t="inlineStr">
        <is>
          <t>目标品牌</t>
        </is>
      </c>
      <c r="R153"/>
      <c r="S153"/>
    </row>
    <row r="154" ht="25.5" customHeight="1">
      <c r="A154" t="inlineStr">
        <is>
          <t>DY-SOC-0073</t>
        </is>
      </c>
      <c r="B154" t="inlineStr">
        <is>
          <t>梅见品牌认知与传播反馈</t>
        </is>
      </c>
      <c r="C154" t="inlineStr">
        <is>
          <t>PRJ001</t>
        </is>
      </c>
      <c r="D154" t="inlineStr">
        <is>
          <t>梅见</t>
        </is>
      </c>
      <c r="E154" t="inlineStr">
        <is>
          <t>反转小片段看着实在太有趣</t>
        </is>
      </c>
      <c r="F154" t="inlineStr">
        <is>
          <t>孔雀开屏自作多情｜2025-08-08｜抖音</t>
        </is>
      </c>
      <c r="G154" t="inlineStr">
        <is>
          <t>抖音</t>
        </is>
      </c>
      <c r="H154" s="2" t="str">
        <f>=HYPERLINK("https://www.douyin.com/video/7614069832590571377", "https://www.douyin.com/video/7614069832590571377")</f>
        <v>https://www.douyin.com/video/7614069832590571377</v>
      </c>
      <c r="I154" s="3">
        <v>45877</v>
      </c>
      <c r="J154" s="4">
        <v>46243</v>
      </c>
      <c r="K154" t="inlineStr">
        <is>
          <t>梅见品牌</t>
        </is>
      </c>
      <c r="L154"/>
      <c r="M154" t="inlineStr">
        <is>
          <t>DY-U0136</t>
        </is>
      </c>
      <c r="N154" t="inlineStr">
        <is>
          <t>公开评论</t>
        </is>
      </c>
      <c r="O154"/>
      <c r="P154" t="inlineStr">
        <is>
          <t>点赞数未成功识别，暂置空，禁止随机补值；当前日期来自视频发布时间，评论发布时间未识别</t>
        </is>
      </c>
      <c r="Q154" t="inlineStr">
        <is>
          <t>目标品牌</t>
        </is>
      </c>
      <c r="R154"/>
      <c r="S154"/>
    </row>
    <row r="155" ht="25.5" customHeight="1">
      <c r="A155" t="inlineStr">
        <is>
          <t>DY-SOC-0074</t>
        </is>
      </c>
      <c r="B155" t="inlineStr">
        <is>
          <t>梅见品牌认知与传播反馈</t>
        </is>
      </c>
      <c r="C155" t="inlineStr">
        <is>
          <t>PRJ001</t>
        </is>
      </c>
      <c r="D155" t="inlineStr">
        <is>
          <t>梅见</t>
        </is>
      </c>
      <c r="E155" t="inlineStr">
        <is>
          <t>猜到结局依旧被视频逗乐</t>
        </is>
      </c>
      <c r="F155" t="inlineStr">
        <is>
          <t>孔雀开屏自作多情｜2025-08-08｜抖音</t>
        </is>
      </c>
      <c r="G155" t="inlineStr">
        <is>
          <t>抖音</t>
        </is>
      </c>
      <c r="H155" s="2" t="str">
        <f>=HYPERLINK("https://www.douyin.com/video/7614069832590571377", "https://www.douyin.com/video/7614069832590571377")</f>
        <v>https://www.douyin.com/video/7614069832590571377</v>
      </c>
      <c r="I155" s="3">
        <v>45877</v>
      </c>
      <c r="J155" s="4">
        <v>46243</v>
      </c>
      <c r="K155" t="inlineStr">
        <is>
          <t>梅见品牌</t>
        </is>
      </c>
      <c r="L155"/>
      <c r="M155" t="inlineStr">
        <is>
          <t>DY-U0137</t>
        </is>
      </c>
      <c r="N155" t="inlineStr">
        <is>
          <t>公开评论</t>
        </is>
      </c>
      <c r="O155"/>
      <c r="P155" t="inlineStr">
        <is>
          <t>点赞数未成功识别，暂置空，禁止随机补值；当前日期来自视频发布时间，评论发布时间未识别</t>
        </is>
      </c>
      <c r="Q155" t="inlineStr">
        <is>
          <t>目标品牌</t>
        </is>
      </c>
      <c r="R155"/>
      <c r="S155"/>
    </row>
    <row r="156" ht="25.5" customHeight="1">
      <c r="A156" t="inlineStr">
        <is>
          <t>DY-SOC-0075</t>
        </is>
      </c>
      <c r="B156" t="inlineStr">
        <is>
          <t>梅见品牌认知与传播反馈</t>
        </is>
      </c>
      <c r="C156" t="inlineStr">
        <is>
          <t>PRJ001</t>
        </is>
      </c>
      <c r="D156" t="inlineStr">
        <is>
          <t>梅见</t>
        </is>
      </c>
      <c r="E156" t="inlineStr">
        <is>
          <t>阿弥我改名字了快眼熟我</t>
        </is>
      </c>
      <c r="F156" t="inlineStr">
        <is>
          <t>再饮少年心气｜2025-03-06｜抖音</t>
        </is>
      </c>
      <c r="G156" t="inlineStr">
        <is>
          <t>抖音</t>
        </is>
      </c>
      <c r="H156" s="2" t="str">
        <f>=HYPERLINK("https://www.douyin.com/video/7616578084024352123", "https://www.douyin.com/video/7616578084024352123")</f>
        <v>https://www.douyin.com/video/7616578084024352123</v>
      </c>
      <c r="I156" s="3">
        <v>45722</v>
      </c>
      <c r="J156" s="4">
        <v>46243</v>
      </c>
      <c r="K156" t="inlineStr">
        <is>
          <t>梅见国风</t>
        </is>
      </c>
      <c r="L156"/>
      <c r="M156" t="inlineStr">
        <is>
          <t>DY-U0139</t>
        </is>
      </c>
      <c r="N156" t="inlineStr">
        <is>
          <t>公开评论</t>
        </is>
      </c>
      <c r="O156"/>
      <c r="P156" t="inlineStr">
        <is>
          <t>点赞数未成功识别，暂置空，禁止随机补值；当前日期来自视频发布时间，评论发布时间未识别</t>
        </is>
      </c>
      <c r="Q156" t="inlineStr">
        <is>
          <t>目标品牌</t>
        </is>
      </c>
      <c r="R156"/>
      <c r="S156"/>
    </row>
    <row r="157" ht="25.5" customHeight="1">
      <c r="A157" t="inlineStr">
        <is>
          <t>DY-SOC-0076</t>
        </is>
      </c>
      <c r="B157" t="inlineStr">
        <is>
          <t>梅见品牌认知与传播反馈</t>
        </is>
      </c>
      <c r="C157" t="inlineStr">
        <is>
          <t>PRJ001</t>
        </is>
      </c>
      <c r="D157" t="inlineStr">
        <is>
          <t>梅见</t>
        </is>
      </c>
      <c r="E157" t="inlineStr">
        <is>
          <t>军师这种男孩子要怎么追到手啊</t>
        </is>
      </c>
      <c r="F157" t="inlineStr">
        <is>
          <t>再饮少年心气｜2025-03-06｜抖音</t>
        </is>
      </c>
      <c r="G157" t="inlineStr">
        <is>
          <t>抖音</t>
        </is>
      </c>
      <c r="H157" s="2" t="str">
        <f>=HYPERLINK("https://www.douyin.com/video/7616578084024352123", "https://www.douyin.com/video/7616578084024352123")</f>
        <v>https://www.douyin.com/video/7616578084024352123</v>
      </c>
      <c r="I157" s="3">
        <v>45722</v>
      </c>
      <c r="J157" s="4">
        <v>46243</v>
      </c>
      <c r="K157" t="inlineStr">
        <is>
          <t>梅见国风</t>
        </is>
      </c>
      <c r="L157"/>
      <c r="M157" t="inlineStr">
        <is>
          <t>DY-U0140</t>
        </is>
      </c>
      <c r="N157" t="inlineStr">
        <is>
          <t>公开评论</t>
        </is>
      </c>
      <c r="O157"/>
      <c r="P157" t="inlineStr">
        <is>
          <t>点赞数未成功识别，暂置空，禁止随机补值；当前日期来自视频发布时间，评论发布时间未识别</t>
        </is>
      </c>
      <c r="Q157" t="inlineStr">
        <is>
          <t>目标品牌</t>
        </is>
      </c>
      <c r="R157"/>
      <c r="S157"/>
    </row>
    <row r="158" ht="25.5" customHeight="1">
      <c r="A158" t="inlineStr">
        <is>
          <t>DY-SOC-0077</t>
        </is>
      </c>
      <c r="B158" t="inlineStr">
        <is>
          <t>梅见品牌认知与传播反馈</t>
        </is>
      </c>
      <c r="C158" t="inlineStr">
        <is>
          <t>PRJ001</t>
        </is>
      </c>
      <c r="D158" t="inlineStr">
        <is>
          <t>梅见</t>
        </is>
      </c>
      <c r="E158" t="inlineStr">
        <is>
          <t>唉我还是逃不过这种类型吗</t>
        </is>
      </c>
      <c r="F158" t="inlineStr">
        <is>
          <t>再饮少年心气｜2025-03-06｜抖音</t>
        </is>
      </c>
      <c r="G158" t="inlineStr">
        <is>
          <t>抖音</t>
        </is>
      </c>
      <c r="H158" s="2" t="str">
        <f>=HYPERLINK("https://www.douyin.com/video/7616578084024352123", "https://www.douyin.com/video/7616578084024352123")</f>
        <v>https://www.douyin.com/video/7616578084024352123</v>
      </c>
      <c r="I158" s="3">
        <v>45722</v>
      </c>
      <c r="J158" s="4">
        <v>46243</v>
      </c>
      <c r="K158" t="inlineStr">
        <is>
          <t>梅见国风</t>
        </is>
      </c>
      <c r="L158"/>
      <c r="M158" t="inlineStr">
        <is>
          <t>DY-U0141</t>
        </is>
      </c>
      <c r="N158" t="inlineStr">
        <is>
          <t>公开评论</t>
        </is>
      </c>
      <c r="O158"/>
      <c r="P158" t="inlineStr">
        <is>
          <t>点赞数未成功识别，暂置空，禁止随机补值；当前日期来自视频发布时间，评论发布时间未识别</t>
        </is>
      </c>
      <c r="Q158" t="inlineStr">
        <is>
          <t>目标品牌</t>
        </is>
      </c>
      <c r="R158"/>
      <c r="S158"/>
    </row>
    <row r="159" ht="25.5" customHeight="1">
      <c r="A159" t="inlineStr">
        <is>
          <t>DY-SOC-0078</t>
        </is>
      </c>
      <c r="B159" t="inlineStr">
        <is>
          <t>梅见品牌认知与传播反馈</t>
        </is>
      </c>
      <c r="C159" t="inlineStr">
        <is>
          <t>PRJ001</t>
        </is>
      </c>
      <c r="D159" t="inlineStr">
        <is>
          <t>梅见</t>
        </is>
      </c>
      <c r="E159" t="inlineStr">
        <is>
          <t>有没有人觉得他和乔治熊熊熊长的有点像</t>
        </is>
      </c>
      <c r="F159" t="inlineStr">
        <is>
          <t>再饮少年心气｜2025-03-06｜抖音</t>
        </is>
      </c>
      <c r="G159" t="inlineStr">
        <is>
          <t>抖音</t>
        </is>
      </c>
      <c r="H159" s="2" t="str">
        <f>=HYPERLINK("https://www.douyin.com/video/7616578084024352123", "https://www.douyin.com/video/7616578084024352123")</f>
        <v>https://www.douyin.com/video/7616578084024352123</v>
      </c>
      <c r="I159" s="3">
        <v>45722</v>
      </c>
      <c r="J159" s="4">
        <v>46243</v>
      </c>
      <c r="K159" t="inlineStr">
        <is>
          <t>梅见国风</t>
        </is>
      </c>
      <c r="L159"/>
      <c r="M159" t="inlineStr">
        <is>
          <t>DY-U0142</t>
        </is>
      </c>
      <c r="N159" t="inlineStr">
        <is>
          <t>公开评论</t>
        </is>
      </c>
      <c r="O159"/>
      <c r="P159" t="inlineStr">
        <is>
          <t>点赞数未成功识别，暂置空，禁止随机补值；当前日期来自视频发布时间，评论发布时间未识别</t>
        </is>
      </c>
      <c r="Q159" t="inlineStr">
        <is>
          <t>目标品牌</t>
        </is>
      </c>
      <c r="R159"/>
      <c r="S159"/>
    </row>
    <row r="160" ht="25.5" customHeight="1">
      <c r="A160" t="inlineStr">
        <is>
          <t>DY-SOC-0079</t>
        </is>
      </c>
      <c r="B160" t="inlineStr">
        <is>
          <t>梅见品牌认知与传播反馈</t>
        </is>
      </c>
      <c r="C160" t="inlineStr">
        <is>
          <t>PRJ001</t>
        </is>
      </c>
      <c r="D160" t="inlineStr">
        <is>
          <t>梅见</t>
        </is>
      </c>
      <c r="E160" t="inlineStr">
        <is>
          <t>谁懂大半夜躺在床上平板上突然出现这么一张帅脸的救赎感[憨笑]</t>
        </is>
      </c>
      <c r="F160" t="inlineStr">
        <is>
          <t>再饮少年心气｜2025-03-06｜抖音</t>
        </is>
      </c>
      <c r="G160" t="inlineStr">
        <is>
          <t>抖音</t>
        </is>
      </c>
      <c r="H160" s="2" t="str">
        <f>=HYPERLINK("https://www.douyin.com/video/7616578084024352123", "https://www.douyin.com/video/7616578084024352123")</f>
        <v>https://www.douyin.com/video/7616578084024352123</v>
      </c>
      <c r="I160" s="3">
        <v>45722</v>
      </c>
      <c r="J160" s="4">
        <v>46243</v>
      </c>
      <c r="K160" t="inlineStr">
        <is>
          <t>梅见国风</t>
        </is>
      </c>
      <c r="L160"/>
      <c r="M160" t="inlineStr">
        <is>
          <t>DY-U0143</t>
        </is>
      </c>
      <c r="N160" t="inlineStr">
        <is>
          <t>公开评论</t>
        </is>
      </c>
      <c r="O160"/>
      <c r="P160" t="inlineStr">
        <is>
          <t>点赞数未成功识别，暂置空，禁止随机补值；当前日期来自视频发布时间，评论发布时间未识别</t>
        </is>
      </c>
      <c r="Q160" t="inlineStr">
        <is>
          <t>目标品牌</t>
        </is>
      </c>
      <c r="R160"/>
      <c r="S160"/>
    </row>
    <row r="161" ht="25.5" customHeight="1">
      <c r="A161" t="inlineStr">
        <is>
          <t>DY-SOC-0140</t>
        </is>
      </c>
      <c r="B161" t="inlineStr">
        <is>
          <t>梅见品牌认知与传播反馈</t>
        </is>
      </c>
      <c r="C161" t="inlineStr">
        <is>
          <t>PRJ001</t>
        </is>
      </c>
      <c r="D161" t="inlineStr">
        <is>
          <t>梅见</t>
        </is>
      </c>
      <c r="E161" t="inlineStr">
        <is>
          <t>这样的帅哥怎么追求攻略</t>
        </is>
      </c>
      <c r="F161" t="inlineStr">
        <is>
          <t>再饮少年心气｜2025-03-06｜抖音</t>
        </is>
      </c>
      <c r="G161" t="inlineStr">
        <is>
          <t>抖音</t>
        </is>
      </c>
      <c r="H161" s="2" t="str">
        <f>=HYPERLINK("https://www.douyin.com/video/7616578084024352123", "https://www.douyin.com/video/7616578084024352123")</f>
        <v>https://www.douyin.com/video/7616578084024352123</v>
      </c>
      <c r="I161" s="3">
        <v>45722</v>
      </c>
      <c r="J161" s="4">
        <v>46243</v>
      </c>
      <c r="K161" t="inlineStr">
        <is>
          <t>梅见国风</t>
        </is>
      </c>
      <c r="L161"/>
      <c r="M161" t="inlineStr">
        <is>
          <t>DY-U0144</t>
        </is>
      </c>
      <c r="N161" t="inlineStr">
        <is>
          <t>公开评论</t>
        </is>
      </c>
      <c r="O161"/>
      <c r="P161" t="inlineStr">
        <is>
          <t>点赞数未成功识别，暂置空，禁止随机补值；当前日期来自视频发布时间，评论发布时间未识别</t>
        </is>
      </c>
      <c r="Q161" t="inlineStr">
        <is>
          <t>目标品牌</t>
        </is>
      </c>
      <c r="R161"/>
      <c r="S161"/>
    </row>
    <row r="162" ht="25.5" customHeight="1">
      <c r="A162" t="inlineStr">
        <is>
          <t>DY-SOC-0143</t>
        </is>
      </c>
      <c r="B162" t="inlineStr">
        <is>
          <t>梅见品牌认知与传播反馈</t>
        </is>
      </c>
      <c r="C162" t="inlineStr">
        <is>
          <t>PRJ001</t>
        </is>
      </c>
      <c r="D162" t="inlineStr">
        <is>
          <t>梅见</t>
        </is>
      </c>
      <c r="E162" t="inlineStr">
        <is>
          <t>酒庄里5000个陶坛的壮观场面太震撼了</t>
        </is>
      </c>
      <c r="F162" t="inlineStr">
        <is>
          <t>当一颗青梅从树上到杯里｜2025-02-04｜抖音</t>
        </is>
      </c>
      <c r="G162" t="inlineStr">
        <is>
          <t>抖音</t>
        </is>
      </c>
      <c r="H162" s="2" t="str">
        <f>=HYPERLINK("https://www.douyin.com/video/7631092113903553833", "https://www.douyin.com/video/7631092113903553833")</f>
        <v>https://www.douyin.com/video/7631092113903553833</v>
      </c>
      <c r="I162" s="3">
        <v>45692</v>
      </c>
      <c r="J162" s="4">
        <v>46243</v>
      </c>
      <c r="K162" t="inlineStr">
        <is>
          <t>梅见为什么火</t>
        </is>
      </c>
      <c r="L162"/>
      <c r="M162" t="inlineStr">
        <is>
          <t>DY-U0151</t>
        </is>
      </c>
      <c r="N162" t="inlineStr">
        <is>
          <t>公开评论</t>
        </is>
      </c>
      <c r="O162"/>
      <c r="P162" t="inlineStr">
        <is>
          <t>点赞数未成功识别，暂置空，禁止随机补值</t>
        </is>
      </c>
      <c r="Q162" t="inlineStr">
        <is>
          <t>目标品牌</t>
        </is>
      </c>
      <c r="R162"/>
      <c r="S162"/>
    </row>
    <row r="163" ht="25.5" customHeight="1">
      <c r="A163" t="inlineStr">
        <is>
          <t>DY-SOC-0144</t>
        </is>
      </c>
      <c r="B163" t="inlineStr">
        <is>
          <t>梅见品牌认知与传播反馈</t>
        </is>
      </c>
      <c r="C163" t="inlineStr">
        <is>
          <t>PRJ001</t>
        </is>
      </c>
      <c r="D163" t="inlineStr">
        <is>
          <t>梅见</t>
        </is>
      </c>
      <c r="E163" t="inlineStr">
        <is>
          <t>原来梅酒有三种工艺浸泡型原果原酿最悠久净又纯粹</t>
        </is>
      </c>
      <c r="F163" t="inlineStr">
        <is>
          <t>当一颗青梅从树上到杯里｜2025-02-04｜抖音</t>
        </is>
      </c>
      <c r="G163" t="inlineStr">
        <is>
          <t>抖音</t>
        </is>
      </c>
      <c r="H163" s="2" t="str">
        <f>=HYPERLINK("https://www.douyin.com/video/7631092113903553833", "https://www.douyin.com/video/7631092113903553833")</f>
        <v>https://www.douyin.com/video/7631092113903553833</v>
      </c>
      <c r="I163" s="3">
        <v>45692</v>
      </c>
      <c r="J163" s="4">
        <v>46243</v>
      </c>
      <c r="K163" t="inlineStr">
        <is>
          <t>梅见为什么火</t>
        </is>
      </c>
      <c r="L163"/>
      <c r="M163" t="inlineStr">
        <is>
          <t>DY-U0152</t>
        </is>
      </c>
      <c r="N163" t="inlineStr">
        <is>
          <t>公开评论</t>
        </is>
      </c>
      <c r="O163"/>
      <c r="P163" t="inlineStr">
        <is>
          <t>点赞数未成功识别，暂置空，禁止随机补值</t>
        </is>
      </c>
      <c r="Q163" t="inlineStr">
        <is>
          <t>目标品牌</t>
        </is>
      </c>
      <c r="R163"/>
      <c r="S163"/>
    </row>
    <row r="164" ht="25.5" customHeight="1">
      <c r="A164" t="inlineStr">
        <is>
          <t>DY-SOC-0145</t>
        </is>
      </c>
      <c r="B164" t="inlineStr">
        <is>
          <t>梅见品牌认知与传播反馈</t>
        </is>
      </c>
      <c r="C164" t="inlineStr">
        <is>
          <t>PRJ001</t>
        </is>
      </c>
      <c r="D164" t="inlineStr">
        <is>
          <t>梅见</t>
        </is>
      </c>
      <c r="E164" t="inlineStr">
        <is>
          <t>看完也想去梅见酒庄打卡了</t>
        </is>
      </c>
      <c r="F164" t="inlineStr">
        <is>
          <t>当一颗青梅从树上到杯里｜2025-02-04｜抖音</t>
        </is>
      </c>
      <c r="G164" t="inlineStr">
        <is>
          <t>抖音</t>
        </is>
      </c>
      <c r="H164" s="2" t="str">
        <f>=HYPERLINK("https://www.douyin.com/video/7631092113903553833", "https://www.douyin.com/video/7631092113903553833")</f>
        <v>https://www.douyin.com/video/7631092113903553833</v>
      </c>
      <c r="I164" s="3">
        <v>45692</v>
      </c>
      <c r="J164" s="4">
        <v>46243</v>
      </c>
      <c r="K164" t="inlineStr">
        <is>
          <t>梅见为什么火</t>
        </is>
      </c>
      <c r="L164"/>
      <c r="M164" t="inlineStr">
        <is>
          <t>DY-U0153</t>
        </is>
      </c>
      <c r="N164" t="inlineStr">
        <is>
          <t>公开评论</t>
        </is>
      </c>
      <c r="O164"/>
      <c r="P164" t="inlineStr">
        <is>
          <t>点赞数未成功识别，暂置空，禁止随机补值</t>
        </is>
      </c>
      <c r="Q164" t="inlineStr">
        <is>
          <t>目标品牌</t>
        </is>
      </c>
      <c r="R164"/>
      <c r="S164"/>
    </row>
    <row r="165" ht="25.5" customHeight="1">
      <c r="A165" t="inlineStr">
        <is>
          <t>DY-SOC-0168</t>
        </is>
      </c>
      <c r="B165" t="inlineStr">
        <is>
          <t>梅见品牌认知与传播反馈</t>
        </is>
      </c>
      <c r="C165" t="inlineStr">
        <is>
          <t>PRJ001</t>
        </is>
      </c>
      <c r="D165" t="inlineStr">
        <is>
          <t>梅见</t>
        </is>
      </c>
      <c r="E165" t="inlineStr">
        <is>
          <t>画面稳定性很专业平稳</t>
        </is>
      </c>
      <c r="F165" t="inlineStr">
        <is>
          <t>人生几何知己见面喝酒｜2025-05-19｜抖音</t>
        </is>
      </c>
      <c r="G165" t="inlineStr">
        <is>
          <t>抖音</t>
        </is>
      </c>
      <c r="H165" s="2" t="str">
        <f>=HYPERLINK("https://www.douyin.com/video/7506039236925066533", "https://www.douyin.com/video/7506039236925066533")</f>
        <v>https://www.douyin.com/video/7506039236925066533</v>
      </c>
      <c r="I165" s="3">
        <v>45796</v>
      </c>
      <c r="J165" s="4">
        <v>46243</v>
      </c>
      <c r="K165" t="inlineStr">
        <is>
          <t>梅见朋友聚会②</t>
        </is>
      </c>
      <c r="L165"/>
      <c r="M165" t="inlineStr">
        <is>
          <t>DY-U0198</t>
        </is>
      </c>
      <c r="N165" t="inlineStr">
        <is>
          <t>公开评论</t>
        </is>
      </c>
      <c r="O165"/>
      <c r="P165" t="inlineStr">
        <is>
          <t>点赞数未成功识别，暂置空，禁止随机补值；当前日期来自视频发布时间，评论发布时间未识别</t>
        </is>
      </c>
      <c r="Q165" t="inlineStr">
        <is>
          <t>目标品牌</t>
        </is>
      </c>
      <c r="R165"/>
      <c r="S165"/>
    </row>
    <row r="166" ht="25.5" customHeight="1">
      <c r="A166" t="inlineStr">
        <is>
          <t>DY-SOC-0169</t>
        </is>
      </c>
      <c r="B166" t="inlineStr">
        <is>
          <t>梅见品牌认知与传播反馈</t>
        </is>
      </c>
      <c r="C166" t="inlineStr">
        <is>
          <t>PRJ001</t>
        </is>
      </c>
      <c r="D166" t="inlineStr">
        <is>
          <t>梅见</t>
        </is>
      </c>
      <c r="E166" t="inlineStr">
        <is>
          <t>成功的被你圈粉了哦</t>
        </is>
      </c>
      <c r="F166" t="inlineStr">
        <is>
          <t>人生几何知己见面喝酒｜2025-05-19｜抖音</t>
        </is>
      </c>
      <c r="G166" t="inlineStr">
        <is>
          <t>抖音</t>
        </is>
      </c>
      <c r="H166" s="2" t="str">
        <f>=HYPERLINK("https://www.douyin.com/video/7506039236925066533", "https://www.douyin.com/video/7506039236925066533")</f>
        <v>https://www.douyin.com/video/7506039236925066533</v>
      </c>
      <c r="I166" s="3">
        <v>45796</v>
      </c>
      <c r="J166" s="4">
        <v>46243</v>
      </c>
      <c r="K166" t="inlineStr">
        <is>
          <t>梅见朋友聚会②</t>
        </is>
      </c>
      <c r="L166"/>
      <c r="M166" t="inlineStr">
        <is>
          <t>DY-U0199</t>
        </is>
      </c>
      <c r="N166" t="inlineStr">
        <is>
          <t>公开评论</t>
        </is>
      </c>
      <c r="O166"/>
      <c r="P166" t="inlineStr">
        <is>
          <t>点赞数未成功识别，暂置空，禁止随机补值；当前日期来自视频发布时间，评论发布时间未识别</t>
        </is>
      </c>
      <c r="Q166" t="inlineStr">
        <is>
          <t>目标品牌</t>
        </is>
      </c>
      <c r="R166"/>
      <c r="S166"/>
    </row>
    <row r="167" ht="25.5" customHeight="1">
      <c r="A167" t="inlineStr">
        <is>
          <t>XHS-SOC-0176</t>
        </is>
      </c>
      <c r="B167" t="inlineStr">
        <is>
          <t>梅见品牌认知与传播反馈</t>
        </is>
      </c>
      <c r="C167" t="inlineStr">
        <is>
          <t>PRJ001</t>
        </is>
      </c>
      <c r="D167" t="inlineStr">
        <is>
          <t>梅见</t>
        </is>
      </c>
      <c r="E167" t="inlineStr">
        <is>
          <t>为啥我们觉得好好喝</t>
        </is>
      </c>
      <c r="F167" t="inlineStr">
        <is>
          <t>梅见青梅酒再见了-喝了头痛｜2025-08-05｜小红书</t>
        </is>
      </c>
      <c r="G167" t="inlineStr">
        <is>
          <t>小红书</t>
        </is>
      </c>
      <c r="H167" s="2" t="str">
        <f>=HYPERLINK("https://www.xiaohongshu.com/search_result/梅见是什么酒", "https://www.xiaohongshu.com/search_result/梅见是什么酒")</f>
        <v>https://www.xiaohongshu.com/search_result/梅见是什么酒</v>
      </c>
      <c r="I167" s="3">
        <v>45882</v>
      </c>
      <c r="J167" s="4">
        <v>46243</v>
      </c>
      <c r="K167" t="inlineStr">
        <is>
          <t>梅见是什么酒</t>
        </is>
      </c>
      <c r="L167">
        <v>19</v>
      </c>
      <c r="M167" t="inlineStr">
        <is>
          <t>XHS-U0126</t>
        </is>
      </c>
      <c r="N167" t="inlineStr">
        <is>
          <t>公开评论</t>
        </is>
      </c>
      <c r="O167"/>
      <c r="P167" t="inlineStr">
        <is>
          <t>原始:2025-08-13·新加坡；当前为搜索结果页链接，正式入库前需补原笔记链接</t>
        </is>
      </c>
      <c r="Q167" t="inlineStr">
        <is>
          <t>目标品牌</t>
        </is>
      </c>
      <c r="R167"/>
      <c r="S167"/>
    </row>
    <row r="168" ht="25.5" customHeight="1">
      <c r="A168" t="inlineStr">
        <is>
          <t>XHS-SOC-0191</t>
        </is>
      </c>
      <c r="B168" t="inlineStr">
        <is>
          <t>梅见品牌认知与传播反馈</t>
        </is>
      </c>
      <c r="C168" t="inlineStr">
        <is>
          <t>PRJ001</t>
        </is>
      </c>
      <c r="D168" t="inlineStr">
        <is>
          <t>梅见</t>
        </is>
      </c>
      <c r="E168" t="inlineStr">
        <is>
          <t>我感觉真的很好喝，但是酒味有点重，我会灌五六颗话梅泡一个晚上就老好喝了</t>
        </is>
      </c>
      <c r="F168" t="inlineStr">
        <is>
          <t>梅见青梅酒再见了-喝了头痛｜2025-08-05｜小红书</t>
        </is>
      </c>
      <c r="G168" t="inlineStr">
        <is>
          <t>小红书</t>
        </is>
      </c>
      <c r="H168" s="2" t="str">
        <f>=HYPERLINK("https://www.xiaohongshu.com/search_result/梅见是什么酒", "https://www.xiaohongshu.com/search_result/梅见是什么酒")</f>
        <v>https://www.xiaohongshu.com/search_result/梅见是什么酒</v>
      </c>
      <c r="I168" s="3">
        <v>45881</v>
      </c>
      <c r="J168" s="4">
        <v>46243</v>
      </c>
      <c r="K168" t="inlineStr">
        <is>
          <t>梅见是什么酒</t>
        </is>
      </c>
      <c r="L168">
        <v>4</v>
      </c>
      <c r="M168" t="inlineStr">
        <is>
          <t>XHS-U0141</t>
        </is>
      </c>
      <c r="N168" t="inlineStr">
        <is>
          <t>公开评论</t>
        </is>
      </c>
      <c r="O168"/>
      <c r="P168" t="inlineStr">
        <is>
          <t>原始:2025-08-12·宁夏；当前为搜索结果页链接，正式入库前需补原笔记链接</t>
        </is>
      </c>
      <c r="Q168" t="inlineStr">
        <is>
          <t>目标品牌</t>
        </is>
      </c>
      <c r="R168"/>
      <c r="S168"/>
    </row>
    <row r="169" ht="25.5" customHeight="1">
      <c r="A169" t="inlineStr">
        <is>
          <t>XHS-SOC-0196</t>
        </is>
      </c>
      <c r="B169" t="inlineStr">
        <is>
          <t>梅见品牌认知与传播反馈</t>
        </is>
      </c>
      <c r="C169" t="inlineStr">
        <is>
          <t>PRJ001</t>
        </is>
      </c>
      <c r="D169" t="inlineStr">
        <is>
          <t>梅见</t>
        </is>
      </c>
      <c r="E169" t="inlineStr">
        <is>
          <t>这酒喝完口渴特别特别口渴</t>
        </is>
      </c>
      <c r="F169" t="inlineStr">
        <is>
          <t>梅见青梅酒再见了-喝了头痛｜2025-08-05｜小红书</t>
        </is>
      </c>
      <c r="G169" t="inlineStr">
        <is>
          <t>小红书</t>
        </is>
      </c>
      <c r="H169" s="2" t="str">
        <f>=HYPERLINK("https://www.xiaohongshu.com/search_result/梅见是什么酒", "https://www.xiaohongshu.com/search_result/梅见是什么酒")</f>
        <v>https://www.xiaohongshu.com/search_result/梅见是什么酒</v>
      </c>
      <c r="I169" s="3">
        <v>45875</v>
      </c>
      <c r="J169" s="4">
        <v>46243</v>
      </c>
      <c r="K169" t="inlineStr">
        <is>
          <t>梅见是什么酒</t>
        </is>
      </c>
      <c r="L169">
        <v>3</v>
      </c>
      <c r="M169" t="inlineStr">
        <is>
          <t>XHS-U0137</t>
        </is>
      </c>
      <c r="N169" t="inlineStr">
        <is>
          <t>公开评论</t>
        </is>
      </c>
      <c r="O169"/>
      <c r="P169" t="inlineStr">
        <is>
          <t>原始:2025-08-06·山东；当前为搜索结果页链接，正式入库前需补原笔记链接</t>
        </is>
      </c>
      <c r="Q169" t="inlineStr">
        <is>
          <t>目标品牌</t>
        </is>
      </c>
      <c r="R169"/>
      <c r="S169"/>
    </row>
    <row r="170" ht="25.5" customHeight="1">
      <c r="A170" t="inlineStr">
        <is>
          <t>XHS-SOC-0201</t>
        </is>
      </c>
      <c r="B170" t="inlineStr">
        <is>
          <t>梅见品牌认知与传播反馈</t>
        </is>
      </c>
      <c r="C170" t="inlineStr">
        <is>
          <t>PRJ001</t>
        </is>
      </c>
      <c r="D170" t="inlineStr">
        <is>
          <t>梅见</t>
        </is>
      </c>
      <c r="E170" t="inlineStr">
        <is>
          <t>没有人觉得喝了之后一直在上厕所吗？</t>
        </is>
      </c>
      <c r="F170" t="inlineStr">
        <is>
          <t>梅见青梅酒再见了-喝了头痛｜2025-08-05｜小红书</t>
        </is>
      </c>
      <c r="G170" t="inlineStr">
        <is>
          <t>小红书</t>
        </is>
      </c>
      <c r="H170" s="2" t="str">
        <f>=HYPERLINK("https://www.xiaohongshu.com/search_result/梅见是什么酒", "https://www.xiaohongshu.com/search_result/梅见是什么酒")</f>
        <v>https://www.xiaohongshu.com/search_result/梅见是什么酒</v>
      </c>
      <c r="I170" s="3">
        <v>45890</v>
      </c>
      <c r="J170" s="4">
        <v>46243</v>
      </c>
      <c r="K170" t="inlineStr">
        <is>
          <t>梅见是什么酒</t>
        </is>
      </c>
      <c r="L170">
        <v>2</v>
      </c>
      <c r="M170" t="inlineStr">
        <is>
          <t>XHS-U0130</t>
        </is>
      </c>
      <c r="N170" t="inlineStr">
        <is>
          <t>公开评论</t>
        </is>
      </c>
      <c r="O170"/>
      <c r="P170" t="inlineStr">
        <is>
          <t>原始:2025-08-21·广东；当前为搜索结果页链接，正式入库前需补原笔记链接</t>
        </is>
      </c>
      <c r="Q170" t="inlineStr">
        <is>
          <t>目标品牌</t>
        </is>
      </c>
      <c r="R170"/>
      <c r="S170"/>
    </row>
    <row r="171" ht="25.5" customHeight="1">
      <c r="A171" t="inlineStr">
        <is>
          <t>XHS-SOC-0207</t>
        </is>
      </c>
      <c r="B171" t="inlineStr">
        <is>
          <t>梅见品牌认知与传播反馈</t>
        </is>
      </c>
      <c r="C171" t="inlineStr">
        <is>
          <t>PRJ001</t>
        </is>
      </c>
      <c r="D171" t="inlineStr">
        <is>
          <t>梅见</t>
        </is>
      </c>
      <c r="E171" t="inlineStr">
        <is>
          <t>我一般都是冰一下当饮料</t>
        </is>
      </c>
      <c r="F171" t="inlineStr">
        <is>
          <t>梅见青梅酒再见了-喝了头痛｜2025-08-05｜小红书</t>
        </is>
      </c>
      <c r="G171" t="inlineStr">
        <is>
          <t>小红书</t>
        </is>
      </c>
      <c r="H171" s="2" t="str">
        <f>=HYPERLINK("https://www.xiaohongshu.com/search_result/梅见是什么酒", "https://www.xiaohongshu.com/search_result/梅见是什么酒")</f>
        <v>https://www.xiaohongshu.com/search_result/梅见是什么酒</v>
      </c>
      <c r="I171" s="3">
        <v>45883</v>
      </c>
      <c r="J171" s="4">
        <v>46243</v>
      </c>
      <c r="K171" t="inlineStr">
        <is>
          <t>梅见是什么酒</t>
        </is>
      </c>
      <c r="L171">
        <v>1</v>
      </c>
      <c r="M171" t="inlineStr">
        <is>
          <t>XHS-U0152</t>
        </is>
      </c>
      <c r="N171" t="inlineStr">
        <is>
          <t>公开评论</t>
        </is>
      </c>
      <c r="O171"/>
      <c r="P171" t="inlineStr">
        <is>
          <t>原始:2025-08-14·山东；当前为搜索结果页链接，正式入库前需补原笔记链接</t>
        </is>
      </c>
      <c r="Q171" t="inlineStr">
        <is>
          <t>目标品牌</t>
        </is>
      </c>
      <c r="R171"/>
      <c r="S171"/>
    </row>
    <row r="172" ht="25.5" customHeight="1">
      <c r="A172" t="inlineStr">
        <is>
          <t>XHS-SOC-0220</t>
        </is>
      </c>
      <c r="B172" t="inlineStr">
        <is>
          <t>梅见品牌认知与传播反馈</t>
        </is>
      </c>
      <c r="C172" t="inlineStr">
        <is>
          <t>PRJ001</t>
        </is>
      </c>
      <c r="D172" t="inlineStr">
        <is>
          <t>梅见</t>
        </is>
      </c>
      <c r="E172" t="inlineStr">
        <is>
          <t>我感觉挺好喝的，加点冰会更好喝点强烈推荐</t>
        </is>
      </c>
      <c r="F172" t="inlineStr">
        <is>
          <t>梅见青梅酒再见了-喝了头痛｜2025-08-05｜小红书</t>
        </is>
      </c>
      <c r="G172" t="inlineStr">
        <is>
          <t>小红书</t>
        </is>
      </c>
      <c r="H172" s="2" t="str">
        <f>=HYPERLINK("https://www.xiaohongshu.com/search_result/梅见是什么酒", "https://www.xiaohongshu.com/search_result/梅见是什么酒")</f>
        <v>https://www.xiaohongshu.com/search_result/梅见是什么酒</v>
      </c>
      <c r="I172" s="3">
        <v>45886</v>
      </c>
      <c r="J172" s="4">
        <v>46243</v>
      </c>
      <c r="K172" t="inlineStr">
        <is>
          <t>梅见是什么酒</t>
        </is>
      </c>
      <c r="L172">
        <v>0</v>
      </c>
      <c r="M172" t="inlineStr">
        <is>
          <t>XHS-U0135</t>
        </is>
      </c>
      <c r="N172" t="inlineStr">
        <is>
          <t>公开评论</t>
        </is>
      </c>
      <c r="O172"/>
      <c r="P172" t="inlineStr">
        <is>
          <t>原始:2025-08-17·河南；当前为搜索结果页链接，正式入库前需补原笔记链接</t>
        </is>
      </c>
      <c r="Q172" t="inlineStr">
        <is>
          <t>目标品牌</t>
        </is>
      </c>
      <c r="R172"/>
      <c r="S172"/>
    </row>
    <row r="173" ht="25.5" customHeight="1">
      <c r="A173" t="inlineStr">
        <is>
          <t>XHS-SOC-0221</t>
        </is>
      </c>
      <c r="B173" t="inlineStr">
        <is>
          <t>梅见品牌认知与传播反馈</t>
        </is>
      </c>
      <c r="C173" t="inlineStr">
        <is>
          <t>PRJ001</t>
        </is>
      </c>
      <c r="D173" t="inlineStr">
        <is>
          <t>梅见</t>
        </is>
      </c>
      <c r="E173" t="inlineStr">
        <is>
          <t>我喝一瓶刚好入睡</t>
        </is>
      </c>
      <c r="F173" t="inlineStr">
        <is>
          <t>梅见青梅酒再见了-喝了头痛｜2025-08-05｜小红书</t>
        </is>
      </c>
      <c r="G173" t="inlineStr">
        <is>
          <t>小红书</t>
        </is>
      </c>
      <c r="H173" s="2" t="str">
        <f>=HYPERLINK("https://www.xiaohongshu.com/search_result/梅见是什么酒", "https://www.xiaohongshu.com/search_result/梅见是什么酒")</f>
        <v>https://www.xiaohongshu.com/search_result/梅见是什么酒</v>
      </c>
      <c r="I173" s="3">
        <v>45898</v>
      </c>
      <c r="J173" s="4">
        <v>46243</v>
      </c>
      <c r="K173" t="inlineStr">
        <is>
          <t>梅见是什么酒</t>
        </is>
      </c>
      <c r="L173">
        <v>0</v>
      </c>
      <c r="M173" t="inlineStr">
        <is>
          <t>XHS-U0142</t>
        </is>
      </c>
      <c r="N173" t="inlineStr">
        <is>
          <t>公开评论</t>
        </is>
      </c>
      <c r="O173"/>
      <c r="P173" t="inlineStr">
        <is>
          <t>原始:2025-08-29·广东；当前为搜索结果页链接，正式入库前需补原笔记链接</t>
        </is>
      </c>
      <c r="Q173" t="inlineStr">
        <is>
          <t>目标品牌</t>
        </is>
      </c>
      <c r="R173"/>
      <c r="S173"/>
    </row>
    <row r="174" ht="25.5" customHeight="1">
      <c r="A174" t="inlineStr">
        <is>
          <t>XHS-SOC-0222</t>
        </is>
      </c>
      <c r="B174" t="inlineStr">
        <is>
          <t>梅见品牌认知与传播反馈</t>
        </is>
      </c>
      <c r="C174" t="inlineStr">
        <is>
          <t>PRJ001</t>
        </is>
      </c>
      <c r="D174" t="inlineStr">
        <is>
          <t>梅见</t>
        </is>
      </c>
      <c r="E174" t="inlineStr">
        <is>
          <t>我说怎么喝着喝着晕了 我寻思度数也不高啊</t>
        </is>
      </c>
      <c r="F174" t="inlineStr">
        <is>
          <t>梅见青梅酒再见了-喝了头痛｜2025-08-05｜小红书</t>
        </is>
      </c>
      <c r="G174" t="inlineStr">
        <is>
          <t>小红书</t>
        </is>
      </c>
      <c r="H174" s="2" t="str">
        <f>=HYPERLINK("https://www.xiaohongshu.com/search_result/梅见是什么酒", "https://www.xiaohongshu.com/search_result/梅见是什么酒")</f>
        <v>https://www.xiaohongshu.com/search_result/梅见是什么酒</v>
      </c>
      <c r="I174" s="3">
        <v>45880</v>
      </c>
      <c r="J174" s="4">
        <v>46243</v>
      </c>
      <c r="K174" t="inlineStr">
        <is>
          <t>梅见是什么酒</t>
        </is>
      </c>
      <c r="L174">
        <v>0</v>
      </c>
      <c r="M174" t="inlineStr">
        <is>
          <t>XHS-U0155</t>
        </is>
      </c>
      <c r="N174" t="inlineStr">
        <is>
          <t>公开评论</t>
        </is>
      </c>
      <c r="O174"/>
      <c r="P174" t="inlineStr">
        <is>
          <t>原始:2025-08-11·广东；当前为搜索结果页链接，正式入库前需补原笔记链接</t>
        </is>
      </c>
      <c r="Q174" t="inlineStr">
        <is>
          <t>目标品牌</t>
        </is>
      </c>
      <c r="R174"/>
      <c r="S174"/>
    </row>
    <row r="175" ht="25.5" customHeight="1">
      <c r="A175" t="inlineStr">
        <is>
          <t>JD-20260809-053</t>
        </is>
      </c>
      <c r="B175" t="inlineStr">
        <is>
          <t>梅见品牌认知与传播反馈</t>
        </is>
      </c>
      <c r="C175" t="inlineStr">
        <is>
          <t>PRJ001</t>
        </is>
      </c>
      <c r="D175" t="inlineStr">
        <is>
          <t>梅见｜【原味梅见】330ml*6</t>
        </is>
      </c>
      <c r="E175" t="inlineStr">
        <is>
          <t>这瓶梅见果酒真的挺惊艳的，琥珀色的酒液看着就有食欲，开瓶就是清新的果香，喝起来酸甜平衡，不会腻。配餐的话，我觉得和轻食或者小点心很搭，清爽不抢味。包装也精致，送人很有面子，性价比高，会回购 🍇✨✨</t>
        </is>
      </c>
      <c r="F175" t="inlineStr">
        <is>
          <t>品牌：梅见｜商品/规格：【原味梅见】330ml*6｜SKU：100013267874</t>
        </is>
      </c>
      <c r="G175" t="inlineStr">
        <is>
          <t>京东</t>
        </is>
      </c>
      <c r="H175" s="2" t="str">
        <f>=HYPERLINK("https://item.jd.com/100013267874.html", "https://item.jd.com/100013267874.html")</f>
        <v>https://item.jd.com/100013267874.html</v>
      </c>
      <c r="I175" s="3">
        <v>46164</v>
      </c>
      <c r="J175" s="4">
        <v>46243</v>
      </c>
      <c r="K175" t="inlineStr">
        <is>
          <t>梅见 青梅酒 商品评价</t>
        </is>
      </c>
      <c r="L175"/>
      <c r="M175" t="inlineStr">
        <is>
          <t>JD-U-20260809-053</t>
        </is>
      </c>
      <c r="N175" t="inlineStr">
        <is>
          <t>公开评论</t>
        </is>
      </c>
      <c r="O175"/>
      <c r="P175" t="inlineStr">
        <is>
          <t>情绪粗标：正面；主题粗标：酒体；果香；酸甜度；搭餐；包装；礼赠；性价比；回购；京东商品评价弹层核验；已排除商家回复与用户名；评价页未展示评论点赞/有用数，点赞数留空</t>
        </is>
      </c>
      <c r="Q175" t="inlineStr">
        <is>
          <t>目标品牌</t>
        </is>
      </c>
      <c r="R175"/>
      <c r="S175"/>
    </row>
    <row r="176" ht="25.5" customHeight="1">
      <c r="A176" t="inlineStr">
        <is>
          <t>JD-20260809-059</t>
        </is>
      </c>
      <c r="B176" t="inlineStr">
        <is>
          <t>梅见品牌认知与传播反馈</t>
        </is>
      </c>
      <c r="C176" t="inlineStr">
        <is>
          <t>PRJ001</t>
        </is>
      </c>
      <c r="D176" t="inlineStr">
        <is>
          <t>梅见｜【尝鲜装】烟熏 150ml*1瓶</t>
        </is>
      </c>
      <c r="E176" t="inlineStr">
        <is>
          <t>🎉这款酒真的很赞呢！开瓶就能闻到浓郁的香气，酸甜比例刚刚好，喝起来很顺口～✨包装也特别牢固，瓶子看起来高端大气，无论是自己喝还是送礼都很合适。性价比超高，确认是正品无疑，已经列入回购清单啦！😊</t>
        </is>
      </c>
      <c r="F176" t="inlineStr">
        <is>
          <t>品牌：梅见｜商品/规格：【尝鲜装】烟熏 150ml*1瓶｜SKU：100034280635</t>
        </is>
      </c>
      <c r="G176" t="inlineStr">
        <is>
          <t>京东</t>
        </is>
      </c>
      <c r="H176" s="2" t="str">
        <f>=HYPERLINK("https://item.jd.com/100034280635.html", "https://item.jd.com/100034280635.html")</f>
        <v>https://item.jd.com/100034280635.html</v>
      </c>
      <c r="I176" s="3">
        <v>46070</v>
      </c>
      <c r="J176" s="4">
        <v>46243</v>
      </c>
      <c r="K176" t="inlineStr">
        <is>
          <t>梅见 青梅酒 商品评价</t>
        </is>
      </c>
      <c r="L176"/>
      <c r="M176" t="inlineStr">
        <is>
          <t>JD-U-20260809-059</t>
        </is>
      </c>
      <c r="N176" t="inlineStr">
        <is>
          <t>公开评论</t>
        </is>
      </c>
      <c r="O176"/>
      <c r="P176" t="inlineStr">
        <is>
          <t>情绪粗标：正面；主题粗标：烟熏150ml；香气；酸甜度；入口感；包装；礼赠；性价比；回购；京东商品评价弹层核验；已排除商家回复与用户名；评价页未展示评论点赞/有用数，点赞数留空；疑似模板化表达，仅作为原始语料导入，表2需人工复核</t>
        </is>
      </c>
      <c r="Q176" t="inlineStr">
        <is>
          <t>目标品牌</t>
        </is>
      </c>
      <c r="R176"/>
      <c r="S176"/>
    </row>
    <row r="177" ht="25.5" customHeight="1">
      <c r="A177" t="inlineStr">
        <is>
          <t>JD-20260809-064</t>
        </is>
      </c>
      <c r="B177" t="inlineStr">
        <is>
          <t>梅见品牌认知与传播反馈</t>
        </is>
      </c>
      <c r="C177" t="inlineStr">
        <is>
          <t>PRJ001</t>
        </is>
      </c>
      <c r="D177" t="inlineStr">
        <is>
          <t>梅见｜【尝鲜装】烟熏 150ml*1瓶</t>
        </is>
      </c>
      <c r="E177" t="inlineStr">
        <is>
          <t>买来摆柜的，小酒很漂亮，后期有朋友来可以拿来一起品鉴一下，囤了很多不同种类的小酒，摆在一起还挺好看，主要是不占地方，价格也比较合适，活动的时候可以撸不少！</t>
        </is>
      </c>
      <c r="F177" t="inlineStr">
        <is>
          <t>品牌：梅见｜商品/规格：【尝鲜装】烟熏 150ml*1瓶｜SKU：100034280635</t>
        </is>
      </c>
      <c r="G177" t="inlineStr">
        <is>
          <t>京东</t>
        </is>
      </c>
      <c r="H177" s="2" t="str">
        <f>=HYPERLINK("https://item.jd.com/100034280635.html", "https://item.jd.com/100034280635.html")</f>
        <v>https://item.jd.com/100034280635.html</v>
      </c>
      <c r="I177" s="3">
        <v>46159</v>
      </c>
      <c r="J177" s="4">
        <v>46243</v>
      </c>
      <c r="K177" t="inlineStr">
        <is>
          <t>梅见 青梅酒 商品评价</t>
        </is>
      </c>
      <c r="L177"/>
      <c r="M177" t="inlineStr">
        <is>
          <t>JD-U-20260809-064</t>
        </is>
      </c>
      <c r="N177" t="inlineStr">
        <is>
          <t>公开评论</t>
        </is>
      </c>
      <c r="O177"/>
      <c r="P177" t="inlineStr">
        <is>
          <t>情绪粗标：正面；主题粗标：烟熏150ml；摆柜；品鉴；便携；价格；促销；京东商品评价弹层核验；已排除商家回复与用户名；评价页未展示评论点赞/有用数，点赞数留空</t>
        </is>
      </c>
      <c r="Q177" t="inlineStr">
        <is>
          <t>目标品牌</t>
        </is>
      </c>
      <c r="R177"/>
      <c r="S177"/>
    </row>
    <row r="178" ht="25.5" customHeight="1">
      <c r="A178" t="inlineStr">
        <is>
          <t>TB-20260809-037</t>
        </is>
      </c>
      <c r="B178" t="inlineStr">
        <is>
          <t>梅见品牌认知与传播反馈</t>
        </is>
      </c>
      <c r="C178" t="inlineStr">
        <is>
          <t>PRJ001</t>
        </is>
      </c>
      <c r="D178" t="inlineStr">
        <is>
          <t>梅见｜9度清爽330ml</t>
        </is>
      </c>
      <c r="E178" t="inlineStr">
        <is>
          <t>包裹包装的很好，回来没有破损，味道也很好，还送了冰球模具，非常满意</t>
        </is>
      </c>
      <c r="F178" t="inlineStr">
        <is>
          <t>品牌：梅见｜商品/规格：9度清爽330ml｜SKU：681094845930</t>
        </is>
      </c>
      <c r="G178" t="inlineStr">
        <is>
          <t>淘宝</t>
        </is>
      </c>
      <c r="H178" s="2" t="str">
        <f>=HYPERLINK("https://detail.tmall.com/item.htm?id=681094845930", "https://detail.tmall.com/item.htm?id=681094845930")</f>
        <v>https://detail.tmall.com/item.htm?id=681094845930</v>
      </c>
      <c r="I178" s="3">
        <v>46214</v>
      </c>
      <c r="J178" s="4">
        <v>46243</v>
      </c>
      <c r="K178" t="inlineStr">
        <is>
          <t>梅见 青梅酒 商品评价</t>
        </is>
      </c>
      <c r="L178"/>
      <c r="M178" t="inlineStr">
        <is>
          <t>TB-U-20260809-037</t>
        </is>
      </c>
      <c r="N178" t="inlineStr">
        <is>
          <t>公开评论</t>
        </is>
      </c>
      <c r="O178"/>
      <c r="P178" t="inlineStr">
        <is>
          <t>情绪粗标：正面；主题粗标：包装；赠品；冰饮；口味；梅见旗舰店商品评价；未记录用户名；已排除商家回复；评价页未展示评论点赞/有用数，点赞数留空</t>
        </is>
      </c>
      <c r="Q178" t="inlineStr">
        <is>
          <t>目标品牌</t>
        </is>
      </c>
      <c r="R178"/>
      <c r="S178"/>
    </row>
    <row r="179" ht="25.5" customHeight="1">
      <c r="A179" t="inlineStr">
        <is>
          <t>TB-20260809-038</t>
        </is>
      </c>
      <c r="B179" t="inlineStr">
        <is>
          <t>梅见品牌认知与传播反馈</t>
        </is>
      </c>
      <c r="C179" t="inlineStr">
        <is>
          <t>PRJ001</t>
        </is>
      </c>
      <c r="D179" t="inlineStr">
        <is>
          <t>梅见｜12度原味330ml</t>
        </is>
      </c>
      <c r="E179" t="inlineStr">
        <is>
          <t>第一次喝梅见，瓶子很漂亮，好喝的话会回购其他口味</t>
        </is>
      </c>
      <c r="F179" t="inlineStr">
        <is>
          <t>品牌：梅见｜商品/规格：12度原味330ml｜SKU：681094845930</t>
        </is>
      </c>
      <c r="G179" t="inlineStr">
        <is>
          <t>淘宝</t>
        </is>
      </c>
      <c r="H179" s="2" t="str">
        <f>=HYPERLINK("https://detail.tmall.com/item.htm?id=681094845930", "https://detail.tmall.com/item.htm?id=681094845930")</f>
        <v>https://detail.tmall.com/item.htm?id=681094845930</v>
      </c>
      <c r="I179" s="3">
        <v>46229</v>
      </c>
      <c r="J179" s="4">
        <v>46243</v>
      </c>
      <c r="K179" t="inlineStr">
        <is>
          <t>梅见 青梅酒 商品评价</t>
        </is>
      </c>
      <c r="L179"/>
      <c r="M179" t="inlineStr">
        <is>
          <t>TB-U-20260809-038</t>
        </is>
      </c>
      <c r="N179" t="inlineStr">
        <is>
          <t>公开评论</t>
        </is>
      </c>
      <c r="O179"/>
      <c r="P179" t="inlineStr">
        <is>
          <t>情绪粗标：中性；主题粗标：首次购买；包装外观；回购意向；多口味尝试；梅见旗舰店商品评价；未记录用户名；已排除商家回复；评价页未展示评论点赞/有用数，点赞数留空</t>
        </is>
      </c>
      <c r="Q179" t="inlineStr">
        <is>
          <t>目标品牌</t>
        </is>
      </c>
      <c r="R179"/>
      <c r="S179"/>
    </row>
    <row r="180" ht="25.5" customHeight="1">
      <c r="A180" t="inlineStr">
        <is>
          <t>TB-20260809-046</t>
        </is>
      </c>
      <c r="B180" t="inlineStr">
        <is>
          <t>梅见品牌认知与传播反馈</t>
        </is>
      </c>
      <c r="C180" t="inlineStr">
        <is>
          <t>PRJ001</t>
        </is>
      </c>
      <c r="D180" t="inlineStr">
        <is>
          <t>梅见｜超酸梅见150ml</t>
        </is>
      </c>
      <c r="E180" t="inlineStr">
        <is>
          <t>发货及时，包装完好。酸酸甜甜，口感不错</t>
        </is>
      </c>
      <c r="F180" t="inlineStr">
        <is>
          <t>品牌：梅见｜商品/规格：超酸梅见150ml｜SKU：935881887671</t>
        </is>
      </c>
      <c r="G180" t="inlineStr">
        <is>
          <t>淘宝</t>
        </is>
      </c>
      <c r="H180" s="2" t="str">
        <f>=HYPERLINK("https://detail.tmall.com/item.htm?id=935881887671", "https://detail.tmall.com/item.htm?id=935881887671")</f>
        <v>https://detail.tmall.com/item.htm?id=935881887671</v>
      </c>
      <c r="I180" s="3">
        <v>46134</v>
      </c>
      <c r="J180" s="4">
        <v>46243</v>
      </c>
      <c r="K180" t="inlineStr">
        <is>
          <t>梅见 青梅酒 商品评价</t>
        </is>
      </c>
      <c r="L180"/>
      <c r="M180" t="inlineStr">
        <is>
          <t>TB-U-20260809-046</t>
        </is>
      </c>
      <c r="N180" t="inlineStr">
        <is>
          <t>公开评论</t>
        </is>
      </c>
      <c r="O180"/>
      <c r="P180" t="inlineStr">
        <is>
          <t>情绪粗标：正面；主题粗标：包装；酸甜度；入口感；时光梅旗舰店商品评价；日期按规则放宽；未记录用户名；已排除商家回复；评价页未展示评论点赞/有用数，点赞数留空</t>
        </is>
      </c>
      <c r="Q180" t="inlineStr">
        <is>
          <t>目标品牌</t>
        </is>
      </c>
      <c r="R180"/>
      <c r="S180"/>
    </row>
    <row r="181" ht="25.5" customHeight="1">
      <c r="A181" t="inlineStr">
        <is>
          <t>MJ-RAW-0094</t>
        </is>
      </c>
      <c r="B181" t="inlineStr">
        <is>
          <t>竞品产品体验反馈</t>
        </is>
      </c>
      <c r="C181" t="inlineStr">
        <is>
          <t>PRJ001</t>
        </is>
      </c>
      <c r="D181" t="inlineStr">
        <is>
          <t>其他竞品</t>
        </is>
      </c>
      <c r="E181" t="inlineStr">
        <is>
          <t>是啊rio就跟饮料一样，喝可乐雪碧喝多了嘴巴腻了，就整点rio喝喝，没对rio报什么复杂层次的香味这种的要求。这次双十一一瓶到手不到2块，日常当饮料喝够够了</t>
        </is>
      </c>
      <c r="F181" t="inlineStr">
        <is>
          <t>来源：B站平台用户评论</t>
        </is>
      </c>
      <c r="G181" t="inlineStr">
        <is>
          <t>B站</t>
        </is>
      </c>
      <c r="H181" s="2" t="str">
        <f>=HYPERLINK("http://数据未收集", "数据未收集")</f>
        <v>数据未收集</v>
      </c>
      <c r="I181" s="3"/>
      <c r="J181" s="4">
        <v>46243</v>
      </c>
      <c r="K181" t="inlineStr">
        <is>
          <t>青梅酒 竞品 口感 对比</t>
        </is>
      </c>
      <c r="L181"/>
      <c r="M181" t="inlineStr">
        <is>
          <t>MJ-B-U-004</t>
        </is>
      </c>
      <c r="N181" t="inlineStr">
        <is>
          <t>公开评论</t>
        </is>
      </c>
      <c r="O181"/>
      <c r="P181" t="inlineStr">
        <is>
          <t>【用户场景】下班独饮
【情绪关键词】轻松, 审美
【表层需求】想要便宜、像饮料一样轻松的低度酒替代品
【深层情绪】对低度酒没有复杂期待，只当作日常饮料的替代
【身份需求】我喝低度酒就是当饮料，不追求复杂层次
【饮酒态度】接受低度
【品牌反馈】RIO被当作可乐雪碧的替代品，价格极低（不到2元/瓶）时购买动力强，用户不期待复杂风味
【可转化品牌洞察】RIO的低价策略让用户把它当“饮料”而非“酒”，梅见如果要和RIO差异化，不能拼价格，要拼“真正的酒饮体验”</t>
        </is>
      </c>
      <c r="Q181" t="inlineStr">
        <is>
          <t>竞品</t>
        </is>
      </c>
      <c r="R181"/>
      <c r="S181"/>
    </row>
    <row r="182" ht="25.5" customHeight="1">
      <c r="A182" t="inlineStr">
        <is>
          <t>MJ-RAW-0095</t>
        </is>
      </c>
      <c r="B182" t="inlineStr">
        <is>
          <t>竞品产品体验反馈</t>
        </is>
      </c>
      <c r="C182" t="inlineStr">
        <is>
          <t>PRJ001</t>
        </is>
      </c>
      <c r="D182" t="inlineStr">
        <is>
          <t>其他竞品</t>
        </is>
      </c>
      <c r="E182" t="inlineStr">
        <is>
          <t>missberry好看但是真的不好喝，酒不像酒，饮料不像饮料的一种怪怪的味道</t>
        </is>
      </c>
      <c r="F182" t="inlineStr">
        <is>
          <t>来源：抖音平台用户评论</t>
        </is>
      </c>
      <c r="G182" t="inlineStr">
        <is>
          <t>抖音</t>
        </is>
      </c>
      <c r="H182" s="2" t="str">
        <f>=HYPERLINK("http://数据未收集", "数据未收集")</f>
        <v>数据未收集</v>
      </c>
      <c r="I182" s="3"/>
      <c r="J182" s="4">
        <v>46243</v>
      </c>
      <c r="K182" t="inlineStr">
        <is>
          <t>青梅酒 竞品 口感 对比</t>
        </is>
      </c>
      <c r="L182"/>
      <c r="M182" t="inlineStr">
        <is>
          <t>MJ-DY-U-015</t>
        </is>
      </c>
      <c r="N182" t="inlineStr">
        <is>
          <t>公开评论</t>
        </is>
      </c>
      <c r="O182"/>
      <c r="P182" t="inlineStr">
        <is>
          <t>【用户场景】女生局
【情绪关键词】尴尬, 审美
【表层需求】想要好看又好喝的低度酒
【深层情绪】被颜值吸引但被口感劝退，产生“被欺骗”的失望感
【身份需求】我是看重颜值但更在意口感的人
【饮酒态度】接受低度
【品牌反馈】MissBerry颜值高但口感差，被评价为“酒不像酒、饮料不像饮料”的尴尬中间态
【可转化品牌洞察】梅见不能只靠颜值，必须在口感上建立明确优势，避免陷入“好看不好喝”的竞品陷阱</t>
        </is>
      </c>
      <c r="Q182" t="inlineStr">
        <is>
          <t>竞品</t>
        </is>
      </c>
      <c r="R182"/>
      <c r="S182"/>
    </row>
    <row r="183" ht="25.5" customHeight="1">
      <c r="A183" t="inlineStr">
        <is>
          <t>MJ-RAW-0096</t>
        </is>
      </c>
      <c r="B183" t="inlineStr">
        <is>
          <t>竞品产品体验反馈</t>
        </is>
      </c>
      <c r="C183" t="inlineStr">
        <is>
          <t>PRJ001</t>
        </is>
      </c>
      <c r="D183" t="inlineStr">
        <is>
          <t>CHOYA俏雅</t>
        </is>
      </c>
      <c r="E183" t="inlineStr">
        <is>
          <t>没骗人！choya的梅子酒好好喝！
看热烈欢迎里面侯佩岑推荐的choya的梅子酒兑气泡水，被种草了马上试试！对于我这种喝酒小白超级好接受！梅子酒酸酸甜甜的，苏打水有一定程度的中和了它的酒味~尊嘟好好喝！</t>
        </is>
      </c>
      <c r="F183" t="inlineStr">
        <is>
          <t>来源：小红书平台用户评论</t>
        </is>
      </c>
      <c r="G183" t="inlineStr">
        <is>
          <t>小红书</t>
        </is>
      </c>
      <c r="H183" s="2" t="str">
        <f>=HYPERLINK("http://数据未收集", "数据未收集")</f>
        <v>数据未收集</v>
      </c>
      <c r="I183" s="3"/>
      <c r="J183" s="4">
        <v>46243</v>
      </c>
      <c r="K183" t="inlineStr">
        <is>
          <t>青梅酒 竞品 口感 对比</t>
        </is>
      </c>
      <c r="L183"/>
      <c r="M183" t="inlineStr">
        <is>
          <t>MJ-XHS-U-015</t>
        </is>
      </c>
      <c r="N183" t="inlineStr">
        <is>
          <t>公开评论</t>
        </is>
      </c>
      <c r="O183"/>
      <c r="P183" t="inlineStr">
        <is>
          <t>【用户场景】下班独饮
【情绪关键词】轻松, 审美, 想合群
【表层需求】被种草后想尝试，追求好入口、好接受的低度酒
【深层情绪】喝酒小白怕踩雷，需要有人示范正确喝法才敢尝试
【身份需求】我是喝酒小白，需要别人推荐和示范才能放心尝试
【饮酒态度】接受低度
【品牌反馈】CHOYA被明星/KOL种草后，兑气泡水的喝法降低了小白门槛，酸甜口感被认可
【可转化品牌洞察】梅见需要做“喝法种草”而非“品牌种草”——让用户知道怎么喝，比单纯说好喝更重要</t>
        </is>
      </c>
      <c r="Q183" t="inlineStr">
        <is>
          <t>竞品</t>
        </is>
      </c>
      <c r="R183"/>
      <c r="S183"/>
    </row>
    <row r="184" ht="25.5" customHeight="1">
      <c r="A184" t="inlineStr">
        <is>
          <t>MJ-RAW-0097</t>
        </is>
      </c>
      <c r="B184" t="inlineStr">
        <is>
          <t>竞品产品体验反馈</t>
        </is>
      </c>
      <c r="C184" t="inlineStr">
        <is>
          <t>PRJ001</t>
        </is>
      </c>
      <c r="D184" t="inlineStr">
        <is>
          <t>其他竞品</t>
        </is>
      </c>
      <c r="E184" t="inlineStr">
        <is>
          <t>在日本呆了8天，喝了8天，三得利的梅子酒真的好好喝！
+气泡水和绿茶都可以</t>
        </is>
      </c>
      <c r="F184" t="inlineStr">
        <is>
          <t>来源：小红书平台用户评论</t>
        </is>
      </c>
      <c r="G184" t="inlineStr">
        <is>
          <t>小红书</t>
        </is>
      </c>
      <c r="H184" s="2" t="str">
        <f>=HYPERLINK("http://数据未收集", "数据未收集")</f>
        <v>数据未收集</v>
      </c>
      <c r="I184" s="3"/>
      <c r="J184" s="4">
        <v>46243</v>
      </c>
      <c r="K184" t="inlineStr">
        <is>
          <t>青梅酒 竞品 口感 对比</t>
        </is>
      </c>
      <c r="L184"/>
      <c r="M184" t="inlineStr">
        <is>
          <t>MJ-XHS-U-016</t>
        </is>
      </c>
      <c r="N184" t="inlineStr">
        <is>
          <t>公开评论</t>
        </is>
      </c>
      <c r="O184"/>
      <c r="P184" t="inlineStr">
        <is>
          <t>【用户场景】露营小聚
【情绪关键词】轻松, 审美
【表层需求】想要好喝、可以兑饮的梅子酒
【深层情绪】在日本旅行中形成的消费习惯，希望回国后延续
【身份需求】我在旅行中发现了好的饮酒方式，想把它带进日常
【饮酒态度】接受低度
【品牌反馈】三得利梅子酒在日本被高频复购，兑气泡水和绿茶是通用喝法
【可转化品牌洞察】梅见可以借鉴日式梅酒的兑饮文化，打造“气泡水+绿茶”的经典喝法组合，降低用户尝试门槛</t>
        </is>
      </c>
      <c r="Q184" t="inlineStr">
        <is>
          <t>竞品</t>
        </is>
      </c>
      <c r="R184"/>
      <c r="S184"/>
    </row>
    <row r="185" ht="25.5" customHeight="1">
      <c r="A185" t="inlineStr">
        <is>
          <t>MJ-RAW-0098</t>
        </is>
      </c>
      <c r="B185" t="inlineStr">
        <is>
          <t>竞品产品体验反馈</t>
        </is>
      </c>
      <c r="C185" t="inlineStr">
        <is>
          <t>PRJ001</t>
        </is>
      </c>
      <c r="D185" t="inlineStr">
        <is>
          <t>CHOYA俏雅</t>
        </is>
      </c>
      <c r="E185" t="inlineStr">
        <is>
          <t>CHOYA蝶矢梅子酒好喝，是日本人居酒屋或者平时聚会会喝的，口感比山崎更甜一点。</t>
        </is>
      </c>
      <c r="F185" t="inlineStr">
        <is>
          <t>来源：小红书平台用户评论</t>
        </is>
      </c>
      <c r="G185" t="inlineStr">
        <is>
          <t>小红书</t>
        </is>
      </c>
      <c r="H185" s="2" t="str">
        <f>=HYPERLINK("http://数据未收集", "数据未收集")</f>
        <v>数据未收集</v>
      </c>
      <c r="I185" s="3"/>
      <c r="J185" s="4">
        <v>46243</v>
      </c>
      <c r="K185" t="inlineStr">
        <is>
          <t>青梅酒 竞品 口感 对比</t>
        </is>
      </c>
      <c r="L185"/>
      <c r="M185" t="inlineStr">
        <is>
          <t>MJ-XHS-U-017</t>
        </is>
      </c>
      <c r="N185" t="inlineStr">
        <is>
          <t>公开评论</t>
        </is>
      </c>
      <c r="O185"/>
      <c r="P185" t="inlineStr">
        <is>
          <t>【用户场景】聚餐
【情绪关键词】轻松, 审美, 想合群
【表层需求】想要正宗、好喝、适合聚会的梅酒
【深层情绪】追求正宗日式体验，希望自己的选择被认可
【身份需求】我是懂一点梅酒文化、追求正宗感的人
【饮酒态度】接受低度
【品牌反馈】CHOYA被认知为“日本居酒屋正规梅酒”，口感比山崎更甜，有聚会场景联想
【可转化品牌洞察】梅见可以讲“中式餐桌的梅酒”，不模仿日式正宗，而是建立中式梅酒的独特身份</t>
        </is>
      </c>
      <c r="Q185" t="inlineStr">
        <is>
          <t>竞品</t>
        </is>
      </c>
      <c r="R185"/>
      <c r="S185"/>
    </row>
    <row r="186" ht="25.5" customHeight="1">
      <c r="A186" t="inlineStr">
        <is>
          <t>MJ-RAW-0099</t>
        </is>
      </c>
      <c r="B186" t="inlineStr">
        <is>
          <t>竞品产品体验反馈</t>
        </is>
      </c>
      <c r="C186" t="inlineStr">
        <is>
          <t>PRJ001</t>
        </is>
      </c>
      <c r="D186" t="inlineStr">
        <is>
          <t>CHOYA俏雅</t>
        </is>
      </c>
      <c r="E186" t="inlineStr">
        <is>
          <t>俏雅CHOYA 玻璃瓶/带梅子/纸包装
�大概50/360ml 100/720ml
便宜是他们唯一的优点，糖浆味较重，建议还是配冰或苏打水</t>
        </is>
      </c>
      <c r="F186" t="inlineStr">
        <is>
          <t>来源：小红书平台用户评论</t>
        </is>
      </c>
      <c r="G186" t="inlineStr">
        <is>
          <t>小红书</t>
        </is>
      </c>
      <c r="H186" s="2" t="str">
        <f>=HYPERLINK("http://数据未收集", "数据未收集")</f>
        <v>数据未收集</v>
      </c>
      <c r="I186" s="3"/>
      <c r="J186" s="4">
        <v>46243</v>
      </c>
      <c r="K186" t="inlineStr">
        <is>
          <t>青梅酒 竞品 口感 对比</t>
        </is>
      </c>
      <c r="L186"/>
      <c r="M186" t="inlineStr">
        <is>
          <t>MJ-XHS-U-018</t>
        </is>
      </c>
      <c r="N186" t="inlineStr">
        <is>
          <t>公开评论</t>
        </is>
      </c>
      <c r="O186"/>
      <c r="P186" t="inlineStr">
        <is>
          <t>【用户场景】下班独饮
【情绪关键词】尴尬, 审美
【表层需求】想要性价比高、不工业甜的梅酒
【深层情绪】便宜是唯一优点，但糖浆味让体验打折
【身份需求】我是会精打细算但也讲究口感的人
【饮酒态度】接受低度
【品牌反馈】CHOYA纸包装版被评价为“便宜但糖浆味重”，需要兑冰或苏打水才能入口
【可转化品牌洞察】梅见可以反打“自然梅香、不靠糖浆凑”，强调真实梅子发酵而非糖浆勾兑</t>
        </is>
      </c>
      <c r="Q186" t="inlineStr">
        <is>
          <t>竞品</t>
        </is>
      </c>
      <c r="R186"/>
      <c r="S186"/>
    </row>
    <row r="187" ht="25.5" customHeight="1">
      <c r="A187" t="inlineStr">
        <is>
          <t>MJ-RAW-0100</t>
        </is>
      </c>
      <c r="B187" t="inlineStr">
        <is>
          <t>竞品产品体验反馈</t>
        </is>
      </c>
      <c r="C187" t="inlineStr">
        <is>
          <t>PRJ001</t>
        </is>
      </c>
      <c r="D187" t="inlineStr">
        <is>
          <t>其他竞品</t>
        </is>
      </c>
      <c r="E187" t="inlineStr">
        <is>
          <t>Hmart 宇治茶梅酒好绝！
刚入口是很浓的抹茶味，然后甜中带涩的梅子酒，最后余味是茶的清香。抹茶脑袋狂喜！！！我这种喝酒小白头一次喝出来前中后调，真的太惊喜了。</t>
        </is>
      </c>
      <c r="F187" t="inlineStr">
        <is>
          <t>来源：小红书平台用户评论</t>
        </is>
      </c>
      <c r="G187" t="inlineStr">
        <is>
          <t>小红书</t>
        </is>
      </c>
      <c r="H187" s="2" t="str">
        <f>=HYPERLINK("http://数据未收集", "数据未收集")</f>
        <v>数据未收集</v>
      </c>
      <c r="I187" s="3"/>
      <c r="J187" s="4">
        <v>46243</v>
      </c>
      <c r="K187" t="inlineStr">
        <is>
          <t>青梅酒 竞品 口感 对比</t>
        </is>
      </c>
      <c r="L187"/>
      <c r="M187" t="inlineStr">
        <is>
          <t>MJ-XHS-U-019</t>
        </is>
      </c>
      <c r="N187" t="inlineStr">
        <is>
          <t>公开评论</t>
        </is>
      </c>
      <c r="O187"/>
      <c r="P187" t="inlineStr">
        <is>
          <t>【用户场景】下班独饮
【情绪关键词】轻松, 审美
【表层需求】想要有层次感、惊喜感的低度酒
【深层情绪】作为喝酒小白，第一次体验到前中后调，产生了强烈的惊喜和分享欲
【身份需求】我不懂酒，但好的风味让我能感知到层次
【饮酒态度】接受低度
【品牌反馈】宇治茶梅酒以“抹茶+梅子+茶香”的三段式风味打动小白用户，创造了“前中后调”的惊喜体验
【可转化品牌洞察】梅见可以学习“风味层次”的叙事方式，让用户感受到“不只是酸甜”的复杂度，提升产品价值感</t>
        </is>
      </c>
      <c r="Q187" t="inlineStr">
        <is>
          <t>竞品</t>
        </is>
      </c>
      <c r="R187"/>
      <c r="S187"/>
    </row>
    <row r="188" ht="25.5" customHeight="1">
      <c r="A188" t="inlineStr">
        <is>
          <t>MJ-RAW-0101</t>
        </is>
      </c>
      <c r="B188" t="inlineStr">
        <is>
          <t>竞品产品体验反馈</t>
        </is>
      </c>
      <c r="C188" t="inlineStr">
        <is>
          <t>PRJ001</t>
        </is>
      </c>
      <c r="D188" t="inlineStr">
        <is>
          <t>RIO锐澳</t>
        </is>
      </c>
      <c r="E188" t="inlineStr">
        <is>
          <t>"这个果冻酒好喝""超级好喝""微醺葡萄味的超级好喝"</t>
        </is>
      </c>
      <c r="F188" t="inlineStr">
        <is>
          <t>来源：京东平台用户评论</t>
        </is>
      </c>
      <c r="G188" t="inlineStr">
        <is>
          <t>京东</t>
        </is>
      </c>
      <c r="H188" s="2" t="str">
        <f>=HYPERLINK("http://数据未收集", "数据未收集")</f>
        <v>数据未收集</v>
      </c>
      <c r="I188" s="3"/>
      <c r="J188" s="4">
        <v>46243</v>
      </c>
      <c r="K188" t="inlineStr">
        <is>
          <t>青梅酒 竞品 口感 对比</t>
        </is>
      </c>
      <c r="L188"/>
      <c r="M188" t="inlineStr">
        <is>
          <t>MJ-JD-U-001</t>
        </is>
      </c>
      <c r="N188" t="inlineStr">
        <is>
          <t>公开评论</t>
        </is>
      </c>
      <c r="O188"/>
      <c r="P188" t="inlineStr">
        <is>
          <t>【用户场景】下班独饮
【情绪关键词】轻松, 审美
【表层需求】想喝像饮料一样轻松、好入口、有微醺感的低度酒
【深层情绪】用户不是为了强酒感，而是想用熟悉的甜口和饮料感降低饮酒压力
【身份需求】我可以喝点酒，但希望它像饮料一样轻松、不需要懂酒
【饮酒态度】接受低度
【品牌反馈】RIO 的核心优势是低门槛、饮料感、轻松好入口
【可转化品牌洞察】梅见不能只讲低度，要说明自己比饮料型低度酒多了什么餐桌意义、梅子风味和共饮价值</t>
        </is>
      </c>
      <c r="Q188" t="inlineStr">
        <is>
          <t>竞品</t>
        </is>
      </c>
      <c r="R188"/>
      <c r="S188"/>
    </row>
    <row r="189" ht="25.5" customHeight="1">
      <c r="A189" t="inlineStr">
        <is>
          <t>MJ-RAW-0102</t>
        </is>
      </c>
      <c r="B189" t="inlineStr">
        <is>
          <t>竞品产品体验反馈</t>
        </is>
      </c>
      <c r="C189" t="inlineStr">
        <is>
          <t>PRJ001</t>
        </is>
      </c>
      <c r="D189" t="inlineStr">
        <is>
          <t>其他竞品</t>
        </is>
      </c>
      <c r="E189" t="inlineStr">
        <is>
          <t>"青提茉莉！""玫瑰荔枝！好喝到爆！""百香果！百香果！百香果！！！""乳酸菌第一名"</t>
        </is>
      </c>
      <c r="F189" t="inlineStr">
        <is>
          <t>来源：京东平台用户评论</t>
        </is>
      </c>
      <c r="G189" t="inlineStr">
        <is>
          <t>京东</t>
        </is>
      </c>
      <c r="H189" s="2" t="str">
        <f>=HYPERLINK("http://数据未收集", "数据未收集")</f>
        <v>数据未收集</v>
      </c>
      <c r="I189" s="3"/>
      <c r="J189" s="4">
        <v>46243</v>
      </c>
      <c r="K189" t="inlineStr">
        <is>
          <t>青梅酒 竞品 口感 对比</t>
        </is>
      </c>
      <c r="L189"/>
      <c r="M189" t="inlineStr">
        <is>
          <t>MJ-JD-U-002</t>
        </is>
      </c>
      <c r="N189" t="inlineStr">
        <is>
          <t>公开评论</t>
        </is>
      </c>
      <c r="O189"/>
      <c r="P189" t="inlineStr">
        <is>
          <t>【用户场景】女生局
【情绪关键词】轻松, 审美
【表层需求】想通过具体口味快速判断哪款值得买
【深层情绪】用户像选饮料一样选酒，具体口味名本身就能触发购买和分享
【身份需求】我希望自己的选择简单直接，别人一听口味就懂
【饮酒态度】接受低度
【品牌反馈】RIO 的竞争力来自“口味货架”，爆款口味能被反复推荐
【可转化品牌洞察】梅见需要打造用户能复述的具体口味记忆点，而不是只讲“东方风味”或品牌调性</t>
        </is>
      </c>
      <c r="Q189" t="inlineStr">
        <is>
          <t>竞品</t>
        </is>
      </c>
      <c r="R189"/>
      <c r="S189"/>
    </row>
    <row r="190" ht="25.5" customHeight="1">
      <c r="A190" t="inlineStr">
        <is>
          <t>MJ-RAW-0103</t>
        </is>
      </c>
      <c r="B190" t="inlineStr">
        <is>
          <t>竞品产品体验反馈</t>
        </is>
      </c>
      <c r="C190" t="inlineStr">
        <is>
          <t>PRJ001</t>
        </is>
      </c>
      <c r="D190" t="inlineStr">
        <is>
          <t>RIO锐澳</t>
        </is>
      </c>
      <c r="E190" t="inlineStr">
        <is>
          <t>"我觉得这个像烂橘子的味道""确实我有点酒味就不喜欢，这个我认为不是那么的好喝哈哈〜""RIO喝到后来是苦的所以我都不喝"</t>
        </is>
      </c>
      <c r="F190" t="inlineStr">
        <is>
          <t>来源：京东平台用户评论</t>
        </is>
      </c>
      <c r="G190" t="inlineStr">
        <is>
          <t>京东</t>
        </is>
      </c>
      <c r="H190" s="2" t="str">
        <f>=HYPERLINK("http://数据未收集", "数据未收集")</f>
        <v>数据未收集</v>
      </c>
      <c r="I190" s="3"/>
      <c r="J190" s="4">
        <v>46243</v>
      </c>
      <c r="K190" t="inlineStr">
        <is>
          <t>青梅酒 竞品 口感 对比</t>
        </is>
      </c>
      <c r="L190"/>
      <c r="M190" t="inlineStr">
        <is>
          <t>MJ-JD-U-003</t>
        </is>
      </c>
      <c r="N190" t="inlineStr">
        <is>
          <t>公开评论</t>
        </is>
      </c>
      <c r="O190"/>
      <c r="P190" t="inlineStr">
        <is>
          <t>【用户场景】下班独饮
【情绪关键词】尴尬, 怕失控
【表层需求】想避开怪味、明显酒味和不舒服的后味
【深层情绪】用户对低度酒的容忍度很低，一旦甜饮料预期被酒味、苦味或怪味打破，就会迅速失望
【身份需求】我想要轻松好喝，但不想为猎奇口味或不舒服后味买单
【饮酒态度】接受低度
【品牌反馈】RIO 的风险是部分口味会被认为怪、苦、有酒味，影响复购
【可转化品牌洞察】梅见可以反打“自然梅香、酸甜平衡、不工业甜”，但必须用真实口味和饮法支撑，避免自己也被评价为药味重或难入口</t>
        </is>
      </c>
      <c r="Q190" t="inlineStr">
        <is>
          <t>竞品</t>
        </is>
      </c>
      <c r="R190"/>
      <c r="S190"/>
    </row>
    <row r="191" ht="25.5" customHeight="1">
      <c r="A191" t="inlineStr">
        <is>
          <t>JD-20260809-027</t>
        </is>
      </c>
      <c r="B191" t="inlineStr">
        <is>
          <t>竞品产品体验反馈</t>
        </is>
      </c>
      <c r="C191" t="inlineStr">
        <is>
          <t>PRJ001</t>
        </is>
      </c>
      <c r="D191" t="inlineStr">
        <is>
          <t>RIO锐澳｜微醺268ml*6罐随机口味</t>
        </is>
      </c>
      <c r="E191" t="inlineStr">
        <is>
          <t>这款RIO微醺白桃白兰地风味，3度微醺清甜不烈，白桃果香清新自然，入口顺滑，颜值粉嫩讨喜，很适合女生小酌放松。下班回家喝一瓶，很爽，很惬意</t>
        </is>
      </c>
      <c r="F191" t="inlineStr">
        <is>
          <t>品牌：RIO锐澳｜商品/规格：微醺268ml*6罐随机口味｜SKU：10112125621688</t>
        </is>
      </c>
      <c r="G191" t="inlineStr">
        <is>
          <t>京东</t>
        </is>
      </c>
      <c r="H191" s="2" t="str">
        <f>=HYPERLINK("https://item.jd.com/10112125621688.html", "https://item.jd.com/10112125621688.html")</f>
        <v>https://item.jd.com/10112125621688.html</v>
      </c>
      <c r="I191" s="3">
        <v>46150</v>
      </c>
      <c r="J191" s="4">
        <v>46243</v>
      </c>
      <c r="K191" t="inlineStr">
        <is>
          <t>RIO 锐澳 鸡尾酒 商品评价</t>
        </is>
      </c>
      <c r="L191"/>
      <c r="M191" t="inlineStr">
        <is>
          <t>JD-U-20260809-027</t>
        </is>
      </c>
      <c r="N191" t="inlineStr">
        <is>
          <t>公开评论</t>
        </is>
      </c>
      <c r="O191"/>
      <c r="P191" t="inlineStr">
        <is>
          <t>情绪粗标：正面；主题粗标：甜度；酒精感；果香；入口感；包装颜值；京东商品评价弹层核验；已排除商家回复与用户名；评价页未展示评论点赞/有用数，点赞数留空</t>
        </is>
      </c>
      <c r="Q191" t="inlineStr">
        <is>
          <t>竞品</t>
        </is>
      </c>
      <c r="R191"/>
      <c r="S191"/>
    </row>
    <row r="192" ht="25.5" customHeight="1">
      <c r="A192" t="inlineStr">
        <is>
          <t>XHS-SOC-0044</t>
        </is>
      </c>
      <c r="B192" t="inlineStr">
        <is>
          <t>竞品产品体验反馈</t>
        </is>
      </c>
      <c r="C192" t="inlineStr">
        <is>
          <t>PRJ001</t>
        </is>
      </c>
      <c r="D192" t="inlineStr">
        <is>
          <t>强爽</t>
        </is>
      </c>
      <c r="E192" t="inlineStr">
        <is>
          <t>俏雅，买进口版的，国产不好喝</t>
        </is>
      </c>
      <c r="F192" t="inlineStr">
        <is>
          <t>除了梅见还有其他梅子酒推荐吗｜2025-07-04｜小红书</t>
        </is>
      </c>
      <c r="G192" t="inlineStr">
        <is>
          <t>小红书</t>
        </is>
      </c>
      <c r="H192" s="2" t="str">
        <f>=HYPERLINK("https://www.xiaohongshu.com/explore/6a48b570000000001603dc9b", "https://www.xiaohongshu.com/explore/6a48b570000000001603dc9b")</f>
        <v>https://www.xiaohongshu.com/explore/6a48b570000000001603dc9b</v>
      </c>
      <c r="I192" s="3">
        <v>46208</v>
      </c>
      <c r="J192" s="4">
        <v>46243</v>
      </c>
      <c r="K192" t="inlineStr">
        <is>
          <t>青梅酒推荐</t>
        </is>
      </c>
      <c r="L192">
        <v>0</v>
      </c>
      <c r="M192" t="inlineStr">
        <is>
          <t>XHS-U0194</t>
        </is>
      </c>
      <c r="N192" t="inlineStr">
        <is>
          <t>公开评论</t>
        </is>
      </c>
      <c r="O192"/>
      <c r="P192" t="inlineStr">
        <is>
          <t>原始:07-05;年份推定·江苏</t>
        </is>
      </c>
      <c r="Q192" t="inlineStr">
        <is>
          <t>目标品牌</t>
        </is>
      </c>
      <c r="R192"/>
      <c r="S192"/>
    </row>
    <row r="193" ht="25.5" customHeight="1">
      <c r="A193" t="inlineStr">
        <is>
          <t>XHS-SOC-0045</t>
        </is>
      </c>
      <c r="B193" t="inlineStr">
        <is>
          <t>竞品产品体验反馈</t>
        </is>
      </c>
      <c r="C193" t="inlineStr">
        <is>
          <t>PRJ001</t>
        </is>
      </c>
      <c r="D193" t="inlineStr">
        <is>
          <t>强爽</t>
        </is>
      </c>
      <c r="E193" t="inlineStr">
        <is>
          <t>三得利还不错，梅见太难喝了</t>
        </is>
      </c>
      <c r="F193" t="inlineStr">
        <is>
          <t>除了梅见还有其他梅子酒推荐吗｜2025-07-04｜小红书</t>
        </is>
      </c>
      <c r="G193" t="inlineStr">
        <is>
          <t>小红书</t>
        </is>
      </c>
      <c r="H193" s="2" t="str">
        <f>=HYPERLINK("https://www.xiaohongshu.com/explore/6a48b570000000001603dc9b", "https://www.xiaohongshu.com/explore/6a48b570000000001603dc9b")</f>
        <v>https://www.xiaohongshu.com/explore/6a48b570000000001603dc9b</v>
      </c>
      <c r="I193" s="3">
        <v>46211</v>
      </c>
      <c r="J193" s="4">
        <v>46243</v>
      </c>
      <c r="K193" t="inlineStr">
        <is>
          <t>青梅酒推荐</t>
        </is>
      </c>
      <c r="L193">
        <v>0</v>
      </c>
      <c r="M193" t="inlineStr">
        <is>
          <t>XHS-U0209</t>
        </is>
      </c>
      <c r="N193" t="inlineStr">
        <is>
          <t>公开评论</t>
        </is>
      </c>
      <c r="O193"/>
      <c r="P193" t="inlineStr">
        <is>
          <t>原始:07-08;年份推定·浙江</t>
        </is>
      </c>
      <c r="Q193" t="inlineStr">
        <is>
          <t>目标品牌</t>
        </is>
      </c>
      <c r="R193"/>
      <c r="S193"/>
    </row>
    <row r="194" ht="25.5" customHeight="1">
      <c r="A194" t="inlineStr">
        <is>
          <t>DY-SOC-0080</t>
        </is>
      </c>
      <c r="B194" t="inlineStr">
        <is>
          <t>竞品产品体验反馈</t>
        </is>
      </c>
      <c r="C194" t="inlineStr">
        <is>
          <t>PRJ001</t>
        </is>
      </c>
      <c r="D194" t="inlineStr">
        <is>
          <t>强爽</t>
        </is>
      </c>
      <c r="E194" t="inlineStr">
        <is>
          <t>每天就找点自己想测的</t>
        </is>
      </c>
      <c r="F194" t="inlineStr">
        <is>
          <t>强爽测评｜2025-07-28｜抖音</t>
        </is>
      </c>
      <c r="G194" t="inlineStr">
        <is>
          <t>抖音</t>
        </is>
      </c>
      <c r="H194" s="2" t="str">
        <f>=HYPERLINK("https://www.douyin.com/video/7481287407384481087", "https://www.douyin.com/video/7481287407384481087")</f>
        <v>https://www.douyin.com/video/7481287407384481087</v>
      </c>
      <c r="I194" s="3">
        <v>45866</v>
      </c>
      <c r="J194" s="4">
        <v>46243</v>
      </c>
      <c r="K194" t="inlineStr">
        <is>
          <t>梅见和RIO</t>
        </is>
      </c>
      <c r="L194"/>
      <c r="M194" t="inlineStr">
        <is>
          <t>DY-U0248</t>
        </is>
      </c>
      <c r="N194" t="inlineStr">
        <is>
          <t>公开评论</t>
        </is>
      </c>
      <c r="O194"/>
      <c r="P194" t="inlineStr">
        <is>
          <t>点赞数未成功识别，暂置空，禁止随机补值；当前日期来自视频发布时间，评论发布时间未识别</t>
        </is>
      </c>
      <c r="Q194" t="inlineStr">
        <is>
          <t>目标品牌</t>
        </is>
      </c>
      <c r="R194"/>
      <c r="S194"/>
    </row>
    <row r="195" ht="25.5" customHeight="1">
      <c r="A195" t="inlineStr">
        <is>
          <t>DY-SOC-0081</t>
        </is>
      </c>
      <c r="B195" t="inlineStr">
        <is>
          <t>竞品产品体验反馈</t>
        </is>
      </c>
      <c r="C195" t="inlineStr">
        <is>
          <t>PRJ001</t>
        </is>
      </c>
      <c r="D195" t="inlineStr">
        <is>
          <t>强爽</t>
        </is>
      </c>
      <c r="E195" t="inlineStr">
        <is>
          <t>有幸跟老师合照了</t>
        </is>
      </c>
      <c r="F195" t="inlineStr">
        <is>
          <t>强爽测评｜2025-07-28｜抖音</t>
        </is>
      </c>
      <c r="G195" t="inlineStr">
        <is>
          <t>抖音</t>
        </is>
      </c>
      <c r="H195" s="2" t="str">
        <f>=HYPERLINK("https://www.douyin.com/video/7481287407384481087", "https://www.douyin.com/video/7481287407384481087")</f>
        <v>https://www.douyin.com/video/7481287407384481087</v>
      </c>
      <c r="I195" s="3">
        <v>45866</v>
      </c>
      <c r="J195" s="4">
        <v>46243</v>
      </c>
      <c r="K195" t="inlineStr">
        <is>
          <t>梅见和RIO</t>
        </is>
      </c>
      <c r="L195"/>
      <c r="M195" t="inlineStr">
        <is>
          <t>DY-U0250</t>
        </is>
      </c>
      <c r="N195" t="inlineStr">
        <is>
          <t>公开评论</t>
        </is>
      </c>
      <c r="O195"/>
      <c r="P195" t="inlineStr">
        <is>
          <t>点赞数未成功识别，暂置空，禁止随机补值；当前日期来自视频发布时间，评论发布时间未识别</t>
        </is>
      </c>
      <c r="Q195" t="inlineStr">
        <is>
          <t>目标品牌</t>
        </is>
      </c>
      <c r="R195"/>
      <c r="S195"/>
    </row>
    <row r="196" ht="25.5" customHeight="1">
      <c r="A196" t="inlineStr">
        <is>
          <t>DY-SOC-0082</t>
        </is>
      </c>
      <c r="B196" t="inlineStr">
        <is>
          <t>竞品产品体验反馈</t>
        </is>
      </c>
      <c r="C196" t="inlineStr">
        <is>
          <t>PRJ001</t>
        </is>
      </c>
      <c r="D196" t="inlineStr">
        <is>
          <t>强爽</t>
        </is>
      </c>
      <c r="E196" t="inlineStr">
        <is>
          <t>冷知识rpt说全球请颤抖的时候真的在颤抖</t>
        </is>
      </c>
      <c r="F196" t="inlineStr">
        <is>
          <t>强爽测评｜2025-07-28｜抖音</t>
        </is>
      </c>
      <c r="G196" t="inlineStr">
        <is>
          <t>抖音</t>
        </is>
      </c>
      <c r="H196" s="2" t="str">
        <f>=HYPERLINK("https://www.douyin.com/video/7481287407384481087", "https://www.douyin.com/video/7481287407384481087")</f>
        <v>https://www.douyin.com/video/7481287407384481087</v>
      </c>
      <c r="I196" s="3">
        <v>45866</v>
      </c>
      <c r="J196" s="4">
        <v>46243</v>
      </c>
      <c r="K196" t="inlineStr">
        <is>
          <t>梅见和RIO</t>
        </is>
      </c>
      <c r="L196"/>
      <c r="M196" t="inlineStr">
        <is>
          <t>DY-U0254</t>
        </is>
      </c>
      <c r="N196" t="inlineStr">
        <is>
          <t>公开评论</t>
        </is>
      </c>
      <c r="O196"/>
      <c r="P196" t="inlineStr">
        <is>
          <t>点赞数未成功识别，暂置空，禁止随机补值；当前日期来自视频发布时间，评论发布时间未识别</t>
        </is>
      </c>
      <c r="Q196" t="inlineStr">
        <is>
          <t>目标品牌</t>
        </is>
      </c>
      <c r="R196"/>
      <c r="S196"/>
    </row>
    <row r="197" ht="25.5" customHeight="1">
      <c r="A197" t="inlineStr">
        <is>
          <t>DY-SOC-0083</t>
        </is>
      </c>
      <c r="B197" t="inlineStr">
        <is>
          <t>竞品产品体验反馈</t>
        </is>
      </c>
      <c r="C197" t="inlineStr">
        <is>
          <t>PRJ001</t>
        </is>
      </c>
      <c r="D197" t="inlineStr">
        <is>
          <t>强爽</t>
        </is>
      </c>
      <c r="E197" t="inlineStr">
        <is>
          <t>看似测评实则暗广</t>
        </is>
      </c>
      <c r="F197" t="inlineStr">
        <is>
          <t>强爽测评｜2025-07-28｜抖音</t>
        </is>
      </c>
      <c r="G197" t="inlineStr">
        <is>
          <t>抖音</t>
        </is>
      </c>
      <c r="H197" s="2" t="str">
        <f>=HYPERLINK("https://www.douyin.com/video/7481287407384481087", "https://www.douyin.com/video/7481287407384481087")</f>
        <v>https://www.douyin.com/video/7481287407384481087</v>
      </c>
      <c r="I197" s="3">
        <v>45866</v>
      </c>
      <c r="J197" s="4">
        <v>46243</v>
      </c>
      <c r="K197" t="inlineStr">
        <is>
          <t>梅见和RIO</t>
        </is>
      </c>
      <c r="L197"/>
      <c r="M197" t="inlineStr">
        <is>
          <t>DY-U0256</t>
        </is>
      </c>
      <c r="N197" t="inlineStr">
        <is>
          <t>公开评论</t>
        </is>
      </c>
      <c r="O197"/>
      <c r="P197" t="inlineStr">
        <is>
          <t>点赞数未成功识别，暂置空，禁止随机补值；当前日期来自视频发布时间，评论发布时间未识别</t>
        </is>
      </c>
      <c r="Q197" t="inlineStr">
        <is>
          <t>目标品牌</t>
        </is>
      </c>
      <c r="R197"/>
      <c r="S197"/>
    </row>
    <row r="198" ht="25.5" customHeight="1">
      <c r="A198" t="inlineStr">
        <is>
          <t>DY-SOC-0084</t>
        </is>
      </c>
      <c r="B198" t="inlineStr">
        <is>
          <t>竞品产品体验反馈</t>
        </is>
      </c>
      <c r="C198" t="inlineStr">
        <is>
          <t>PRJ001</t>
        </is>
      </c>
      <c r="D198" t="inlineStr">
        <is>
          <t>强爽</t>
        </is>
      </c>
      <c r="E198" t="inlineStr">
        <is>
          <t>诡秘你怎么又瘦了[流泪][流泪][流泪]</t>
        </is>
      </c>
      <c r="F198" t="inlineStr">
        <is>
          <t>强爽测评｜2025-07-28｜抖音</t>
        </is>
      </c>
      <c r="G198" t="inlineStr">
        <is>
          <t>抖音</t>
        </is>
      </c>
      <c r="H198" s="2" t="str">
        <f>=HYPERLINK("https://www.douyin.com/video/7481287407384481087", "https://www.douyin.com/video/7481287407384481087")</f>
        <v>https://www.douyin.com/video/7481287407384481087</v>
      </c>
      <c r="I198" s="3">
        <v>45866</v>
      </c>
      <c r="J198" s="4">
        <v>46243</v>
      </c>
      <c r="K198" t="inlineStr">
        <is>
          <t>梅见和RIO</t>
        </is>
      </c>
      <c r="L198"/>
      <c r="M198" t="inlineStr">
        <is>
          <t>DY-U0257</t>
        </is>
      </c>
      <c r="N198" t="inlineStr">
        <is>
          <t>公开评论</t>
        </is>
      </c>
      <c r="O198"/>
      <c r="P198" t="inlineStr">
        <is>
          <t>点赞数未成功识别，暂置空，禁止随机补值；当前日期来自视频发布时间，评论发布时间未识别</t>
        </is>
      </c>
      <c r="Q198" t="inlineStr">
        <is>
          <t>目标品牌</t>
        </is>
      </c>
      <c r="R198"/>
      <c r="S198"/>
    </row>
    <row r="199" ht="25.5" customHeight="1">
      <c r="A199" t="inlineStr">
        <is>
          <t>DY-SOC-0085</t>
        </is>
      </c>
      <c r="B199" t="inlineStr">
        <is>
          <t>竞品产品体验反馈</t>
        </is>
      </c>
      <c r="C199" t="inlineStr">
        <is>
          <t>PRJ001</t>
        </is>
      </c>
      <c r="D199" t="inlineStr">
        <is>
          <t>强爽</t>
        </is>
      </c>
      <c r="E199" t="inlineStr">
        <is>
          <t>想喝啥测啥[撇嘴][撇嘴]</t>
        </is>
      </c>
      <c r="F199" t="inlineStr">
        <is>
          <t>强爽测评｜2025-07-28｜抖音</t>
        </is>
      </c>
      <c r="G199" t="inlineStr">
        <is>
          <t>抖音</t>
        </is>
      </c>
      <c r="H199" s="2" t="str">
        <f>=HYPERLINK("https://www.douyin.com/video/7481287407384481087", "https://www.douyin.com/video/7481287407384481087")</f>
        <v>https://www.douyin.com/video/7481287407384481087</v>
      </c>
      <c r="I199" s="3">
        <v>45866</v>
      </c>
      <c r="J199" s="4">
        <v>46243</v>
      </c>
      <c r="K199" t="inlineStr">
        <is>
          <t>梅见和RIO</t>
        </is>
      </c>
      <c r="L199"/>
      <c r="M199" t="inlineStr">
        <is>
          <t>DY-U0258</t>
        </is>
      </c>
      <c r="N199" t="inlineStr">
        <is>
          <t>公开评论</t>
        </is>
      </c>
      <c r="O199"/>
      <c r="P199" t="inlineStr">
        <is>
          <t>点赞数未成功识别，暂置空，禁止随机补值；当前日期来自视频发布时间，评论发布时间未识别</t>
        </is>
      </c>
      <c r="Q199" t="inlineStr">
        <is>
          <t>目标品牌</t>
        </is>
      </c>
      <c r="R199"/>
      <c r="S199"/>
    </row>
    <row r="200" ht="25.5" customHeight="1">
      <c r="A200" t="inlineStr">
        <is>
          <t>DY-SOC-0086</t>
        </is>
      </c>
      <c r="B200" t="inlineStr">
        <is>
          <t>竞品产品体验反馈</t>
        </is>
      </c>
      <c r="C200" t="inlineStr">
        <is>
          <t>PRJ001</t>
        </is>
      </c>
      <c r="D200" t="inlineStr">
        <is>
          <t>俏雅</t>
        </is>
      </c>
      <c r="E200" t="inlineStr">
        <is>
          <t>喝完了能不能倒白酒进去继续泡</t>
        </is>
      </c>
      <c r="F200" t="inlineStr">
        <is>
          <t>俏雅梅酒居家特调｜2024-08-16｜抖音</t>
        </is>
      </c>
      <c r="G200" t="inlineStr">
        <is>
          <t>抖音</t>
        </is>
      </c>
      <c r="H200" s="2" t="str">
        <f>=HYPERLINK("https://www.douyin.com/video/7447475027085200650", "https://www.douyin.com/video/7447475027085200650")</f>
        <v>https://www.douyin.com/video/7447475027085200650</v>
      </c>
      <c r="I200" s="3">
        <v>45520</v>
      </c>
      <c r="J200" s="4">
        <v>46243</v>
      </c>
      <c r="K200" t="inlineStr">
        <is>
          <t>梅见和CHOYA</t>
        </is>
      </c>
      <c r="L200"/>
      <c r="M200" t="inlineStr">
        <is>
          <t>DY-U0263</t>
        </is>
      </c>
      <c r="N200" t="inlineStr">
        <is>
          <t>公开评论</t>
        </is>
      </c>
      <c r="O200"/>
      <c r="P200" t="inlineStr">
        <is>
          <t>点赞数未成功识别，暂置空，禁止随机补值；当前日期来自视频发布时间，评论发布时间未识别</t>
        </is>
      </c>
      <c r="Q200" t="inlineStr">
        <is>
          <t>目标品牌</t>
        </is>
      </c>
      <c r="R200"/>
      <c r="S200"/>
    </row>
    <row r="201" ht="25.5" customHeight="1">
      <c r="A201" t="inlineStr">
        <is>
          <t>DY-SOC-0087</t>
        </is>
      </c>
      <c r="B201" t="inlineStr">
        <is>
          <t>竞品产品体验反馈</t>
        </is>
      </c>
      <c r="C201" t="inlineStr">
        <is>
          <t>PRJ001</t>
        </is>
      </c>
      <c r="D201" t="inlineStr">
        <is>
          <t>俏雅</t>
        </is>
      </c>
      <c r="E201" t="inlineStr">
        <is>
          <t>这个酒甜不甜啊宝</t>
        </is>
      </c>
      <c r="F201" t="inlineStr">
        <is>
          <t>俏雅梅酒居家特调｜2024-08-16｜抖音</t>
        </is>
      </c>
      <c r="G201" t="inlineStr">
        <is>
          <t>抖音</t>
        </is>
      </c>
      <c r="H201" s="2" t="str">
        <f>=HYPERLINK("https://www.douyin.com/video/7447475027085200650", "https://www.douyin.com/video/7447475027085200650")</f>
        <v>https://www.douyin.com/video/7447475027085200650</v>
      </c>
      <c r="I201" s="3">
        <v>45520</v>
      </c>
      <c r="J201" s="4">
        <v>46243</v>
      </c>
      <c r="K201" t="inlineStr">
        <is>
          <t>梅见和CHOYA</t>
        </is>
      </c>
      <c r="L201"/>
      <c r="M201" t="inlineStr">
        <is>
          <t>DY-U0264</t>
        </is>
      </c>
      <c r="N201" t="inlineStr">
        <is>
          <t>公开评论</t>
        </is>
      </c>
      <c r="O201"/>
      <c r="P201" t="inlineStr">
        <is>
          <t>点赞数未成功识别，暂置空，禁止随机补值；原始:1年前;无法解析;原始时间未精确提取,根据页面公示时间范围估算;评论点赞数未精确提取,填写为0待人工复核</t>
        </is>
      </c>
      <c r="Q201" t="inlineStr">
        <is>
          <t>目标品牌</t>
        </is>
      </c>
      <c r="R201"/>
      <c r="S201"/>
    </row>
    <row r="202" ht="25.5" customHeight="1">
      <c r="A202" t="inlineStr">
        <is>
          <t>DY-SOC-0088</t>
        </is>
      </c>
      <c r="B202" t="inlineStr">
        <is>
          <t>竞品产品体验反馈</t>
        </is>
      </c>
      <c r="C202" t="inlineStr">
        <is>
          <t>PRJ001</t>
        </is>
      </c>
      <c r="D202" t="inlineStr">
        <is>
          <t>俏雅</t>
        </is>
      </c>
      <c r="E202" t="inlineStr">
        <is>
          <t>夏天自制一杯可太舒服了呀</t>
        </is>
      </c>
      <c r="F202" t="inlineStr">
        <is>
          <t>俏雅梅酒居家特调｜2024-08-16｜抖音</t>
        </is>
      </c>
      <c r="G202" t="inlineStr">
        <is>
          <t>抖音</t>
        </is>
      </c>
      <c r="H202" s="2" t="str">
        <f>=HYPERLINK("https://www.douyin.com/video/7447475027085200650", "https://www.douyin.com/video/7447475027085200650")</f>
        <v>https://www.douyin.com/video/7447475027085200650</v>
      </c>
      <c r="I202" s="3">
        <v>45520</v>
      </c>
      <c r="J202" s="4">
        <v>46243</v>
      </c>
      <c r="K202" t="inlineStr">
        <is>
          <t>梅见和CHOYA</t>
        </is>
      </c>
      <c r="L202"/>
      <c r="M202" t="inlineStr">
        <is>
          <t>DY-U0266</t>
        </is>
      </c>
      <c r="N202" t="inlineStr">
        <is>
          <t>公开评论</t>
        </is>
      </c>
      <c r="O202"/>
      <c r="P202" t="inlineStr">
        <is>
          <t>点赞数未成功识别，暂置空，禁止随机补值；原始:1年前;无法解析;原始时间未精确提取,根据页面公示时间范围估算;评论点赞数未精确提取,填写为0待人工复核</t>
        </is>
      </c>
      <c r="Q202" t="inlineStr">
        <is>
          <t>目标品牌</t>
        </is>
      </c>
      <c r="R202"/>
      <c r="S202"/>
    </row>
    <row r="203" ht="25.5" customHeight="1">
      <c r="A203" t="inlineStr">
        <is>
          <t>DY-SOC-0089</t>
        </is>
      </c>
      <c r="B203" t="inlineStr">
        <is>
          <t>竞品产品体验反馈</t>
        </is>
      </c>
      <c r="C203" t="inlineStr">
        <is>
          <t>PRJ001</t>
        </is>
      </c>
      <c r="D203" t="inlineStr">
        <is>
          <t>俏雅</t>
        </is>
      </c>
      <c r="E203" t="inlineStr">
        <is>
          <t>放柚子汁类饮料也很好喝</t>
        </is>
      </c>
      <c r="F203" t="inlineStr">
        <is>
          <t>俏雅梅酒居家特调｜2024-08-16｜抖音</t>
        </is>
      </c>
      <c r="G203" t="inlineStr">
        <is>
          <t>抖音</t>
        </is>
      </c>
      <c r="H203" s="2" t="str">
        <f>=HYPERLINK("https://www.douyin.com/video/7447475027085200650", "https://www.douyin.com/video/7447475027085200650")</f>
        <v>https://www.douyin.com/video/7447475027085200650</v>
      </c>
      <c r="I203" s="3">
        <v>45520</v>
      </c>
      <c r="J203" s="4">
        <v>46243</v>
      </c>
      <c r="K203" t="inlineStr">
        <is>
          <t>梅见和CHOYA</t>
        </is>
      </c>
      <c r="L203"/>
      <c r="M203" t="inlineStr">
        <is>
          <t>DY-U0268</t>
        </is>
      </c>
      <c r="N203" t="inlineStr">
        <is>
          <t>公开评论</t>
        </is>
      </c>
      <c r="O203"/>
      <c r="P203" t="inlineStr">
        <is>
          <t>点赞数未成功识别，暂置空，禁止随机补值；当前日期来自视频发布时间，评论发布时间未识别</t>
        </is>
      </c>
      <c r="Q203" t="inlineStr">
        <is>
          <t>目标品牌</t>
        </is>
      </c>
      <c r="R203"/>
      <c r="S203"/>
    </row>
    <row r="204" ht="25.5" customHeight="1">
      <c r="A204" t="inlineStr">
        <is>
          <t>XHS-SOC-0178</t>
        </is>
      </c>
      <c r="B204" t="inlineStr">
        <is>
          <t>竞品产品体验反馈</t>
        </is>
      </c>
      <c r="C204" t="inlineStr">
        <is>
          <t>PRJ001</t>
        </is>
      </c>
      <c r="D204" t="inlineStr">
        <is>
          <t>RIO</t>
        </is>
      </c>
      <c r="E204" t="inlineStr">
        <is>
          <t>给大家避雷一下 玫瑰荔枝味的就像在喝香水真的接受不了这种味道</t>
        </is>
      </c>
      <c r="F204" t="inlineStr">
        <is>
          <t>RIO哪个最好喝-女大亲测｜2025-02-18｜小红书</t>
        </is>
      </c>
      <c r="G204" t="inlineStr">
        <is>
          <t>小红书</t>
        </is>
      </c>
      <c r="H204" s="2" t="str">
        <f>=HYPERLINK("https://www.xiaohongshu.com/search_result/rio好喝吗", "https://www.xiaohongshu.com/search_result/rio好喝吗")</f>
        <v>https://www.xiaohongshu.com/search_result/rio好喝吗</v>
      </c>
      <c r="I204" s="3">
        <v>45927</v>
      </c>
      <c r="J204" s="4">
        <v>46243</v>
      </c>
      <c r="K204" t="inlineStr">
        <is>
          <t>RIO测评</t>
        </is>
      </c>
      <c r="L204">
        <v>16</v>
      </c>
      <c r="M204" t="inlineStr">
        <is>
          <t>XHS-U0166</t>
        </is>
      </c>
      <c r="N204" t="inlineStr">
        <is>
          <t>公开评论</t>
        </is>
      </c>
      <c r="O204"/>
      <c r="P204" t="inlineStr">
        <is>
          <t>原始:2025-09-27·河北；当前为搜索结果页链接，正式入库前需补原笔记链接</t>
        </is>
      </c>
      <c r="Q204" t="inlineStr">
        <is>
          <t>竞品</t>
        </is>
      </c>
      <c r="R204"/>
      <c r="S204"/>
    </row>
    <row r="205" ht="25.5" customHeight="1">
      <c r="A205" t="inlineStr">
        <is>
          <t>XHS-SOC-0185</t>
        </is>
      </c>
      <c r="B205" t="inlineStr">
        <is>
          <t>竞品产品体验反馈</t>
        </is>
      </c>
      <c r="C205" t="inlineStr">
        <is>
          <t>PRJ001</t>
        </is>
      </c>
      <c r="D205" t="inlineStr">
        <is>
          <t>昆竹</t>
        </is>
      </c>
      <c r="E205" t="inlineStr">
        <is>
          <t>酒味太重 喜欢三得利这种酒味淡的</t>
        </is>
      </c>
      <c r="F205" t="inlineStr">
        <is>
          <t>梅见成分分析-浓缩汁勾兑｜2025-10-01｜小红书</t>
        </is>
      </c>
      <c r="G205" t="inlineStr">
        <is>
          <t>小红书</t>
        </is>
      </c>
      <c r="H205" s="2" t="str">
        <f>=HYPERLINK("https://www.xiaohongshu.com/search_result/梅见测评", "https://www.xiaohongshu.com/search_result/梅见测评")</f>
        <v>https://www.xiaohongshu.com/search_result/梅见测评</v>
      </c>
      <c r="I205" s="3">
        <v>46029</v>
      </c>
      <c r="J205" s="4">
        <v>46243</v>
      </c>
      <c r="K205" t="inlineStr">
        <is>
          <t>梅见测评</t>
        </is>
      </c>
      <c r="L205">
        <v>8</v>
      </c>
      <c r="M205" t="inlineStr">
        <is>
          <t>XHS-U0100</t>
        </is>
      </c>
      <c r="N205" t="inlineStr">
        <is>
          <t>公开评论</t>
        </is>
      </c>
      <c r="O205"/>
      <c r="P205" t="inlineStr">
        <is>
          <t>原始:01-07;年份推定·北京；当前为搜索结果页链接，正式入库前需补原笔记链接</t>
        </is>
      </c>
      <c r="Q205" t="inlineStr">
        <is>
          <t>目标品牌</t>
        </is>
      </c>
      <c r="R205"/>
      <c r="S205"/>
    </row>
    <row r="206" ht="25.5" customHeight="1">
      <c r="A206" t="inlineStr">
        <is>
          <t>XHS-SOC-0192</t>
        </is>
      </c>
      <c r="B206" t="inlineStr">
        <is>
          <t>竞品产品体验反馈</t>
        </is>
      </c>
      <c r="C206" t="inlineStr">
        <is>
          <t>PRJ001</t>
        </is>
      </c>
      <c r="D206" t="inlineStr">
        <is>
          <t>昆竹</t>
        </is>
      </c>
      <c r="E206" t="inlineStr">
        <is>
          <t>认同一半，昆竹确实可以，但高粱酒的也有好喝的</t>
        </is>
      </c>
      <c r="F206" t="inlineStr">
        <is>
          <t>梅见成分分析-浓缩汁勾兑｜2025-10-01｜小红书</t>
        </is>
      </c>
      <c r="G206" t="inlineStr">
        <is>
          <t>小红书</t>
        </is>
      </c>
      <c r="H206" s="2" t="str">
        <f>=HYPERLINK("https://www.xiaohongshu.com/search_result/梅见测评", "https://www.xiaohongshu.com/search_result/梅见测评")</f>
        <v>https://www.xiaohongshu.com/search_result/梅见测评</v>
      </c>
      <c r="I206" s="3">
        <v>45933</v>
      </c>
      <c r="J206" s="4">
        <v>46243</v>
      </c>
      <c r="K206" t="inlineStr">
        <is>
          <t>梅见测评</t>
        </is>
      </c>
      <c r="L206">
        <v>4</v>
      </c>
      <c r="M206" t="inlineStr">
        <is>
          <t>XHS-U0106</t>
        </is>
      </c>
      <c r="N206" t="inlineStr">
        <is>
          <t>公开评论</t>
        </is>
      </c>
      <c r="O206"/>
      <c r="P206" t="inlineStr">
        <is>
          <t>原始:2025-10-03·北京；当前为搜索结果页链接，正式入库前需补原笔记链接</t>
        </is>
      </c>
      <c r="Q206" t="inlineStr">
        <is>
          <t>目标品牌</t>
        </is>
      </c>
      <c r="R206"/>
      <c r="S206"/>
    </row>
    <row r="207" ht="25.5" customHeight="1">
      <c r="A207" t="inlineStr">
        <is>
          <t>XHS-SOC-0197</t>
        </is>
      </c>
      <c r="B207" t="inlineStr">
        <is>
          <t>竞品产品体验反馈</t>
        </is>
      </c>
      <c r="C207" t="inlineStr">
        <is>
          <t>PRJ001</t>
        </is>
      </c>
      <c r="D207" t="inlineStr">
        <is>
          <t>RIO</t>
        </is>
      </c>
      <c r="E207" t="inlineStr">
        <is>
          <t>香草冰淇淋最好喝</t>
        </is>
      </c>
      <c r="F207" t="inlineStr">
        <is>
          <t>RIO哪个最好喝-女大亲测｜2025-02-18｜小红书</t>
        </is>
      </c>
      <c r="G207" t="inlineStr">
        <is>
          <t>小红书</t>
        </is>
      </c>
      <c r="H207" s="2" t="str">
        <f>=HYPERLINK("https://www.xiaohongshu.com/search_result/rio好喝吗", "https://www.xiaohongshu.com/search_result/rio好喝吗")</f>
        <v>https://www.xiaohongshu.com/search_result/rio好喝吗</v>
      </c>
      <c r="I207" s="3">
        <v>45925</v>
      </c>
      <c r="J207" s="4">
        <v>46243</v>
      </c>
      <c r="K207" t="inlineStr">
        <is>
          <t>RIO测评</t>
        </is>
      </c>
      <c r="L207">
        <v>3</v>
      </c>
      <c r="M207" t="inlineStr">
        <is>
          <t>XHS-U0178</t>
        </is>
      </c>
      <c r="N207" t="inlineStr">
        <is>
          <t>公开评论</t>
        </is>
      </c>
      <c r="O207"/>
      <c r="P207" t="inlineStr">
        <is>
          <t>原始:2025-09-25·湖南；当前为搜索结果页链接，正式入库前需补原笔记链接</t>
        </is>
      </c>
      <c r="Q207" t="inlineStr">
        <is>
          <t>竞品</t>
        </is>
      </c>
      <c r="R207"/>
      <c r="S207"/>
    </row>
    <row r="208" ht="25.5" customHeight="1">
      <c r="A208" t="inlineStr">
        <is>
          <t>XHS-SOC-0202</t>
        </is>
      </c>
      <c r="B208" t="inlineStr">
        <is>
          <t>竞品产品体验反馈</t>
        </is>
      </c>
      <c r="C208" t="inlineStr">
        <is>
          <t>PRJ001</t>
        </is>
      </c>
      <c r="D208" t="inlineStr">
        <is>
          <t>梅见</t>
        </is>
      </c>
      <c r="E208" t="inlineStr">
        <is>
          <t>昆竹好喝</t>
        </is>
      </c>
      <c r="F208" t="inlineStr">
        <is>
          <t>除了梅见还有其他梅子酒推荐吗｜2025-07-04｜小红书</t>
        </is>
      </c>
      <c r="G208" t="inlineStr">
        <is>
          <t>小红书</t>
        </is>
      </c>
      <c r="H208" s="2" t="str">
        <f>=HYPERLINK("https://www.xiaohongshu.com/explore/6a48b570000000001603dc9b", "https://www.xiaohongshu.com/explore/6a48b570000000001603dc9b")</f>
        <v>https://www.xiaohongshu.com/explore/6a48b570000000001603dc9b</v>
      </c>
      <c r="I208" s="3">
        <v>46207</v>
      </c>
      <c r="J208" s="4">
        <v>46243</v>
      </c>
      <c r="K208" t="inlineStr">
        <is>
          <t>青梅酒推荐</t>
        </is>
      </c>
      <c r="L208">
        <v>2</v>
      </c>
      <c r="M208" t="inlineStr">
        <is>
          <t>XHS-U0202</t>
        </is>
      </c>
      <c r="N208" t="inlineStr">
        <is>
          <t>公开评论</t>
        </is>
      </c>
      <c r="O208"/>
      <c r="P208" t="inlineStr">
        <is>
          <t>原始:07-04;年份推定·广东</t>
        </is>
      </c>
      <c r="Q208" t="inlineStr">
        <is>
          <t>目标品牌</t>
        </is>
      </c>
      <c r="R208"/>
      <c r="S208"/>
    </row>
    <row r="209" ht="25.5" customHeight="1">
      <c r="A209" t="inlineStr">
        <is>
          <t>XHS-SOC-0208</t>
        </is>
      </c>
      <c r="B209" t="inlineStr">
        <is>
          <t>竞品产品体验反馈</t>
        </is>
      </c>
      <c r="C209" t="inlineStr">
        <is>
          <t>PRJ001</t>
        </is>
      </c>
      <c r="D209" t="inlineStr">
        <is>
          <t>RIO</t>
        </is>
      </c>
      <c r="E209" t="inlineStr">
        <is>
          <t>乳酸菌味真的超好喝！</t>
        </is>
      </c>
      <c r="F209" t="inlineStr">
        <is>
          <t>RIO哪个最好喝-女大亲测｜2025-02-18｜小红书</t>
        </is>
      </c>
      <c r="G209" t="inlineStr">
        <is>
          <t>小红书</t>
        </is>
      </c>
      <c r="H209" s="2" t="str">
        <f>=HYPERLINK("https://www.xiaohongshu.com/search_result/rio好喝吗", "https://www.xiaohongshu.com/search_result/rio好喝吗")</f>
        <v>https://www.xiaohongshu.com/search_result/rio好喝吗</v>
      </c>
      <c r="I209" s="3">
        <v>45872</v>
      </c>
      <c r="J209" s="4">
        <v>46243</v>
      </c>
      <c r="K209" t="inlineStr">
        <is>
          <t>RIO测评</t>
        </is>
      </c>
      <c r="L209">
        <v>1</v>
      </c>
      <c r="M209" t="inlineStr">
        <is>
          <t>XHS-U0179</t>
        </is>
      </c>
      <c r="N209" t="inlineStr">
        <is>
          <t>公开评论</t>
        </is>
      </c>
      <c r="O209"/>
      <c r="P209" t="inlineStr">
        <is>
          <t>原始:2025-08-03·上海；当前为搜索结果页链接，正式入库前需补原笔记链接</t>
        </is>
      </c>
      <c r="Q209" t="inlineStr">
        <is>
          <t>竞品</t>
        </is>
      </c>
      <c r="R209"/>
      <c r="S209"/>
    </row>
    <row r="210" ht="25.5" customHeight="1">
      <c r="A210" t="inlineStr">
        <is>
          <t>XHS-SOC-0209</t>
        </is>
      </c>
      <c r="B210" t="inlineStr">
        <is>
          <t>竞品产品体验反馈</t>
        </is>
      </c>
      <c r="C210" t="inlineStr">
        <is>
          <t>PRJ001</t>
        </is>
      </c>
      <c r="D210" t="inlineStr">
        <is>
          <t>RIO</t>
        </is>
      </c>
      <c r="E210" t="inlineStr">
        <is>
          <t>我也觉得太甜了 后味超级甜</t>
        </is>
      </c>
      <c r="F210" t="inlineStr">
        <is>
          <t>怎么会有这么好喝的梅子酒-时光梅见｜2025-03-21｜小红书</t>
        </is>
      </c>
      <c r="G210" t="inlineStr">
        <is>
          <t>小红书</t>
        </is>
      </c>
      <c r="H210" s="2" t="str">
        <f>=HYPERLINK("https://www.xiaohongshu.com/search_result/果酒哪个牌子好", "https://www.xiaohongshu.com/search_result/果酒哪个牌子好")</f>
        <v>https://www.xiaohongshu.com/search_result/果酒哪个牌子好</v>
      </c>
      <c r="I210" s="3">
        <v>45936</v>
      </c>
      <c r="J210" s="4">
        <v>46243</v>
      </c>
      <c r="K210" t="inlineStr">
        <is>
          <t>果酒哪个牌子好</t>
        </is>
      </c>
      <c r="L210">
        <v>1</v>
      </c>
      <c r="M210" t="inlineStr">
        <is>
          <t>XHS-U0326</t>
        </is>
      </c>
      <c r="N210" t="inlineStr">
        <is>
          <t>公开评论</t>
        </is>
      </c>
      <c r="O210"/>
      <c r="P210" t="inlineStr">
        <is>
          <t>原始:2025-10-06·山东；当前为搜索结果页链接，正式入库前需补原笔记链接</t>
        </is>
      </c>
      <c r="Q210" t="inlineStr">
        <is>
          <t>目标品牌</t>
        </is>
      </c>
      <c r="R210"/>
      <c r="S210"/>
    </row>
    <row r="211" ht="25.5" customHeight="1">
      <c r="A211" t="inlineStr">
        <is>
          <t>XHS-SOC-0219</t>
        </is>
      </c>
      <c r="B211" t="inlineStr">
        <is>
          <t>竞品产品体验反馈</t>
        </is>
      </c>
      <c r="C211" t="inlineStr">
        <is>
          <t>PRJ001</t>
        </is>
      </c>
      <c r="D211" t="inlineStr">
        <is>
          <t>RIO</t>
        </is>
      </c>
      <c r="E211" t="inlineStr">
        <is>
          <t>就是葡萄汽水</t>
        </is>
      </c>
      <c r="F211" t="inlineStr">
        <is>
          <t>RIO哪个最好喝-女大亲测｜2025-02-18｜小红书</t>
        </is>
      </c>
      <c r="G211" t="inlineStr">
        <is>
          <t>小红书</t>
        </is>
      </c>
      <c r="H211" s="2" t="str">
        <f>=HYPERLINK("https://www.xiaohongshu.com/search_result/rio好喝吗", "https://www.xiaohongshu.com/search_result/rio好喝吗")</f>
        <v>https://www.xiaohongshu.com/search_result/rio好喝吗</v>
      </c>
      <c r="I211" s="3">
        <v>45887</v>
      </c>
      <c r="J211" s="4">
        <v>46243</v>
      </c>
      <c r="K211" t="inlineStr">
        <is>
          <t>RIO测评</t>
        </is>
      </c>
      <c r="L211">
        <v>8</v>
      </c>
      <c r="M211" t="inlineStr">
        <is>
          <t>XHS-U0169</t>
        </is>
      </c>
      <c r="N211" t="inlineStr">
        <is>
          <t>公开评论</t>
        </is>
      </c>
      <c r="O211"/>
      <c r="P211" t="inlineStr">
        <is>
          <t>原始:2025-08-18·广东；当前为搜索结果页链接，正式入库前需补原笔记链接</t>
        </is>
      </c>
      <c r="Q211" t="inlineStr">
        <is>
          <t>竞品</t>
        </is>
      </c>
      <c r="R211"/>
      <c r="S211"/>
    </row>
    <row r="212" ht="25.5" customHeight="1">
      <c r="A212" t="inlineStr">
        <is>
          <t>XHS-SOC-0223</t>
        </is>
      </c>
      <c r="B212" t="inlineStr">
        <is>
          <t>竞品产品体验反馈</t>
        </is>
      </c>
      <c r="C212" t="inlineStr">
        <is>
          <t>PRJ001</t>
        </is>
      </c>
      <c r="D212" t="inlineStr">
        <is>
          <t>RIO</t>
        </is>
      </c>
      <c r="E212" t="inlineStr">
        <is>
          <t>白桃味是真的难喝</t>
        </is>
      </c>
      <c r="F212" t="inlineStr">
        <is>
          <t>RIO哪个最好喝-女大亲测｜2025-02-18｜小红书</t>
        </is>
      </c>
      <c r="G212" t="inlineStr">
        <is>
          <t>小红书</t>
        </is>
      </c>
      <c r="H212" s="2" t="str">
        <f>=HYPERLINK("https://www.xiaohongshu.com/search_result/rio好喝吗", "https://www.xiaohongshu.com/search_result/rio好喝吗")</f>
        <v>https://www.xiaohongshu.com/search_result/rio好喝吗</v>
      </c>
      <c r="I212" s="3">
        <v>46115</v>
      </c>
      <c r="J212" s="4">
        <v>46243</v>
      </c>
      <c r="K212" t="inlineStr">
        <is>
          <t>RIO测评</t>
        </is>
      </c>
      <c r="L212">
        <v>0</v>
      </c>
      <c r="M212" t="inlineStr">
        <is>
          <t>XHS-U0177</t>
        </is>
      </c>
      <c r="N212" t="inlineStr">
        <is>
          <t>公开评论</t>
        </is>
      </c>
      <c r="O212"/>
      <c r="P212" t="inlineStr">
        <is>
          <t>原始:04-03;年份推定·四川；当前为搜索结果页链接，正式入库前需补原笔记链接</t>
        </is>
      </c>
      <c r="Q212" t="inlineStr">
        <is>
          <t>竞品</t>
        </is>
      </c>
      <c r="R212"/>
      <c r="S212"/>
    </row>
    <row r="213" ht="25.5" customHeight="1">
      <c r="A213" t="inlineStr">
        <is>
          <t>XHS-SOC-0224</t>
        </is>
      </c>
      <c r="B213" t="inlineStr">
        <is>
          <t>竞品产品体验反馈</t>
        </is>
      </c>
      <c r="C213" t="inlineStr">
        <is>
          <t>PRJ001</t>
        </is>
      </c>
      <c r="D213" t="inlineStr">
        <is>
          <t>RIO</t>
        </is>
      </c>
      <c r="E213" t="inlineStr">
        <is>
          <t>难喝，没度数，跟果汁似的</t>
        </is>
      </c>
      <c r="F213" t="inlineStr">
        <is>
          <t>RIO哪个最好喝-女大亲测｜2025-02-18｜小红书</t>
        </is>
      </c>
      <c r="G213" t="inlineStr">
        <is>
          <t>小红书</t>
        </is>
      </c>
      <c r="H213" s="2" t="str">
        <f>=HYPERLINK("https://www.xiaohongshu.com/search_result/rio好喝吗", "https://www.xiaohongshu.com/search_result/rio好喝吗")</f>
        <v>https://www.xiaohongshu.com/search_result/rio好喝吗</v>
      </c>
      <c r="I213" s="3">
        <v>46190</v>
      </c>
      <c r="J213" s="4">
        <v>46243</v>
      </c>
      <c r="K213" t="inlineStr">
        <is>
          <t>RIO测评</t>
        </is>
      </c>
      <c r="L213">
        <v>0</v>
      </c>
      <c r="M213" t="inlineStr">
        <is>
          <t>XHS-U0181</t>
        </is>
      </c>
      <c r="N213" t="inlineStr">
        <is>
          <t>公开评论</t>
        </is>
      </c>
      <c r="O213"/>
      <c r="P213" t="inlineStr">
        <is>
          <t>原始:06-17;年份推定·浙江；当前为搜索结果页链接，正式入库前需补原笔记链接</t>
        </is>
      </c>
      <c r="Q213" t="inlineStr">
        <is>
          <t>竞品</t>
        </is>
      </c>
      <c r="R213"/>
      <c r="S213"/>
    </row>
    <row r="214" ht="25.5" customHeight="1">
      <c r="A214" t="inlineStr">
        <is>
          <t>XHS-SOC-0225</t>
        </is>
      </c>
      <c r="B214" t="inlineStr">
        <is>
          <t>竞品产品体验反馈</t>
        </is>
      </c>
      <c r="C214" t="inlineStr">
        <is>
          <t>PRJ001</t>
        </is>
      </c>
      <c r="D214" t="inlineStr">
        <is>
          <t>RIO</t>
        </is>
      </c>
      <c r="E214" t="inlineStr">
        <is>
          <t>荔枝最难喝，乳酸菌，乐橘最好喝</t>
        </is>
      </c>
      <c r="F214" t="inlineStr">
        <is>
          <t>RIO哪个最好喝-女大亲测｜2025-02-18｜小红书</t>
        </is>
      </c>
      <c r="G214" t="inlineStr">
        <is>
          <t>小红书</t>
        </is>
      </c>
      <c r="H214" s="2" t="str">
        <f>=HYPERLINK("https://www.xiaohongshu.com/search_result/rio好喝吗", "https://www.xiaohongshu.com/search_result/rio好喝吗")</f>
        <v>https://www.xiaohongshu.com/search_result/rio好喝吗</v>
      </c>
      <c r="I214" s="3">
        <v>45966</v>
      </c>
      <c r="J214" s="4">
        <v>46243</v>
      </c>
      <c r="K214" t="inlineStr">
        <is>
          <t>RIO测评</t>
        </is>
      </c>
      <c r="L214">
        <v>0</v>
      </c>
      <c r="M214" t="inlineStr">
        <is>
          <t>XHS-U0182</t>
        </is>
      </c>
      <c r="N214" t="inlineStr">
        <is>
          <t>公开评论</t>
        </is>
      </c>
      <c r="O214"/>
      <c r="P214" t="inlineStr">
        <is>
          <t>原始:2025-11-05·浙江；当前为搜索结果页链接，正式入库前需补原笔记链接</t>
        </is>
      </c>
      <c r="Q214" t="inlineStr">
        <is>
          <t>竞品</t>
        </is>
      </c>
      <c r="R214"/>
      <c r="S214"/>
    </row>
    <row r="215" ht="25.5" customHeight="1">
      <c r="A215" t="inlineStr">
        <is>
          <t>XHS-SOC-0226</t>
        </is>
      </c>
      <c r="B215" t="inlineStr">
        <is>
          <t>竞品产品体验反馈</t>
        </is>
      </c>
      <c r="C215" t="inlineStr">
        <is>
          <t>PRJ001</t>
        </is>
      </c>
      <c r="D215" t="inlineStr">
        <is>
          <t>RIO</t>
        </is>
      </c>
      <c r="E215" t="inlineStr">
        <is>
          <t>草莓是真的很难喝...</t>
        </is>
      </c>
      <c r="F215" t="inlineStr">
        <is>
          <t>RIO哪个最好喝-女大亲测｜2025-02-18｜小红书</t>
        </is>
      </c>
      <c r="G215" t="inlineStr">
        <is>
          <t>小红书</t>
        </is>
      </c>
      <c r="H215" s="2" t="str">
        <f>=HYPERLINK("https://www.xiaohongshu.com/search_result/rio好喝吗", "https://www.xiaohongshu.com/search_result/rio好喝吗")</f>
        <v>https://www.xiaohongshu.com/search_result/rio好喝吗</v>
      </c>
      <c r="I215" s="3">
        <v>45951</v>
      </c>
      <c r="J215" s="4">
        <v>46243</v>
      </c>
      <c r="K215" t="inlineStr">
        <is>
          <t>RIO测评</t>
        </is>
      </c>
      <c r="L215">
        <v>0</v>
      </c>
      <c r="M215" t="inlineStr">
        <is>
          <t>XHS-U0183</t>
        </is>
      </c>
      <c r="N215" t="inlineStr">
        <is>
          <t>公开评论</t>
        </is>
      </c>
      <c r="O215"/>
      <c r="P215" t="inlineStr">
        <is>
          <t>原始:2025-10-21·广东；当前为搜索结果页链接，正式入库前需补原笔记链接</t>
        </is>
      </c>
      <c r="Q215" t="inlineStr">
        <is>
          <t>竞品</t>
        </is>
      </c>
      <c r="R215"/>
      <c r="S215"/>
    </row>
    <row r="216" ht="25.5" customHeight="1">
      <c r="A216" t="inlineStr">
        <is>
          <t>XHS-SOC-0227</t>
        </is>
      </c>
      <c r="B216" t="inlineStr">
        <is>
          <t>竞品产品体验反馈</t>
        </is>
      </c>
      <c r="C216" t="inlineStr">
        <is>
          <t>PRJ001</t>
        </is>
      </c>
      <c r="D216" t="inlineStr">
        <is>
          <t>RIO</t>
        </is>
      </c>
      <c r="E216" t="inlineStr">
        <is>
          <t>只有我觉得很难喝吗</t>
        </is>
      </c>
      <c r="F216" t="inlineStr">
        <is>
          <t>怎么会有这么好喝的梅子酒-时光梅见｜2025-03-21｜小红书</t>
        </is>
      </c>
      <c r="G216" t="inlineStr">
        <is>
          <t>小红书</t>
        </is>
      </c>
      <c r="H216" s="2" t="str">
        <f>=HYPERLINK("https://www.xiaohongshu.com/search_result/果酒哪个牌子好", "https://www.xiaohongshu.com/search_result/果酒哪个牌子好")</f>
        <v>https://www.xiaohongshu.com/search_result/果酒哪个牌子好</v>
      </c>
      <c r="I216" s="3">
        <v>46078</v>
      </c>
      <c r="J216" s="4">
        <v>46243</v>
      </c>
      <c r="K216" t="inlineStr">
        <is>
          <t>果酒哪个牌子好</t>
        </is>
      </c>
      <c r="L216">
        <v>0</v>
      </c>
      <c r="M216" t="inlineStr">
        <is>
          <t>XHS-U0327</t>
        </is>
      </c>
      <c r="N216" t="inlineStr">
        <is>
          <t>公开评论</t>
        </is>
      </c>
      <c r="O216"/>
      <c r="P216" t="inlineStr">
        <is>
          <t>原始:02-25;年份推定·云南；当前为搜索结果页链接，正式入库前需补原笔记链接</t>
        </is>
      </c>
      <c r="Q216" t="inlineStr">
        <is>
          <t>目标品牌</t>
        </is>
      </c>
      <c r="R216"/>
      <c r="S216"/>
    </row>
    <row r="217" ht="25.5" customHeight="1">
      <c r="A217" t="inlineStr">
        <is>
          <t>XHS-SOC-0228</t>
        </is>
      </c>
      <c r="B217" t="inlineStr">
        <is>
          <t>竞品产品体验反馈</t>
        </is>
      </c>
      <c r="C217" t="inlineStr">
        <is>
          <t>PRJ001</t>
        </is>
      </c>
      <c r="D217" t="inlineStr">
        <is>
          <t>RIO</t>
        </is>
      </c>
      <c r="E217" t="inlineStr">
        <is>
          <t>好喝 我刚才还喝了一杯</t>
        </is>
      </c>
      <c r="F217" t="inlineStr">
        <is>
          <t>怎么会有这么好喝的梅子酒-时光梅见｜2025-03-21｜小红书</t>
        </is>
      </c>
      <c r="G217" t="inlineStr">
        <is>
          <t>小红书</t>
        </is>
      </c>
      <c r="H217" s="2" t="str">
        <f>=HYPERLINK("https://www.xiaohongshu.com/search_result/果酒哪个牌子好", "https://www.xiaohongshu.com/search_result/果酒哪个牌子好")</f>
        <v>https://www.xiaohongshu.com/search_result/果酒哪个牌子好</v>
      </c>
      <c r="I217" s="3">
        <v>46037</v>
      </c>
      <c r="J217" s="4">
        <v>46243</v>
      </c>
      <c r="K217" t="inlineStr">
        <is>
          <t>果酒哪个牌子好</t>
        </is>
      </c>
      <c r="L217">
        <v>0</v>
      </c>
      <c r="M217" t="inlineStr">
        <is>
          <t>XHS-U0332</t>
        </is>
      </c>
      <c r="N217" t="inlineStr">
        <is>
          <t>公开评论</t>
        </is>
      </c>
      <c r="O217"/>
      <c r="P217" t="inlineStr">
        <is>
          <t>原始:01-15;年份推定·辽宁；当前为搜索结果页链接，正式入库前需补原笔记链接</t>
        </is>
      </c>
      <c r="Q217" t="inlineStr">
        <is>
          <t>目标品牌</t>
        </is>
      </c>
      <c r="R217"/>
      <c r="S217"/>
    </row>
    <row r="218" ht="25.5" customHeight="1">
      <c r="A218" t="inlineStr">
        <is>
          <t>XHS-SOC-0255</t>
        </is>
      </c>
      <c r="B218" t="inlineStr">
        <is>
          <t>竞品产品体验反馈</t>
        </is>
      </c>
      <c r="C218" t="inlineStr">
        <is>
          <t>PRJ001</t>
        </is>
      </c>
      <c r="D218" t="inlineStr">
        <is>
          <t>RIO</t>
        </is>
      </c>
      <c r="E218" t="inlineStr">
        <is>
          <t>哪个味道好喝</t>
        </is>
      </c>
      <c r="F218" t="inlineStr">
        <is>
          <t>怎么会有这么好喝的梅子酒-时光梅见｜2025-03-21｜小红书</t>
        </is>
      </c>
      <c r="G218" t="inlineStr">
        <is>
          <t>小红书</t>
        </is>
      </c>
      <c r="H218" s="2" t="str">
        <f>=HYPERLINK("https://www.xiaohongshu.com/search_result/果酒哪个牌子好", "https://www.xiaohongshu.com/search_result/果酒哪个牌子好")</f>
        <v>https://www.xiaohongshu.com/search_result/果酒哪个牌子好</v>
      </c>
      <c r="I218" s="3">
        <v>46013</v>
      </c>
      <c r="J218" s="4">
        <v>46243</v>
      </c>
      <c r="K218" t="inlineStr">
        <is>
          <t>果酒哪个牌子好</t>
        </is>
      </c>
      <c r="L218">
        <v>3</v>
      </c>
      <c r="M218" t="inlineStr">
        <is>
          <t>XHS-U0330</t>
        </is>
      </c>
      <c r="N218" t="inlineStr">
        <is>
          <t>公开评论</t>
        </is>
      </c>
      <c r="O218"/>
      <c r="P218" t="inlineStr">
        <is>
          <t>原始:2025-12-22·浙江；当前为搜索结果页链接，正式入库前需补原笔记链接</t>
        </is>
      </c>
      <c r="Q218" t="inlineStr">
        <is>
          <t>目标品牌</t>
        </is>
      </c>
      <c r="R218"/>
      <c r="S218"/>
    </row>
    <row r="219" ht="25.5" customHeight="1">
      <c r="A219" t="inlineStr">
        <is>
          <t>XHS-SOC-0256</t>
        </is>
      </c>
      <c r="B219" t="inlineStr">
        <is>
          <t>竞品产品体验反馈</t>
        </is>
      </c>
      <c r="C219" t="inlineStr">
        <is>
          <t>PRJ001</t>
        </is>
      </c>
      <c r="D219" t="inlineStr">
        <is>
          <t>RIO</t>
        </is>
      </c>
      <c r="E219" t="inlineStr">
        <is>
          <t>好喝死了</t>
        </is>
      </c>
      <c r="F219" t="inlineStr">
        <is>
          <t>怎么会有这么好喝的梅子酒-时光梅见｜2025-03-21｜小红书</t>
        </is>
      </c>
      <c r="G219" t="inlineStr">
        <is>
          <t>小红书</t>
        </is>
      </c>
      <c r="H219" s="2" t="str">
        <f>=HYPERLINK("https://www.xiaohongshu.com/search_result/果酒哪个牌子好", "https://www.xiaohongshu.com/search_result/果酒哪个牌子好")</f>
        <v>https://www.xiaohongshu.com/search_result/果酒哪个牌子好</v>
      </c>
      <c r="I219" s="3">
        <v>45931</v>
      </c>
      <c r="J219" s="4">
        <v>46243</v>
      </c>
      <c r="K219" t="inlineStr">
        <is>
          <t>果酒哪个牌子好</t>
        </is>
      </c>
      <c r="L219">
        <v>9</v>
      </c>
      <c r="M219" t="inlineStr">
        <is>
          <t>XHS-U0323</t>
        </is>
      </c>
      <c r="N219" t="inlineStr">
        <is>
          <t>公开评论</t>
        </is>
      </c>
      <c r="O219"/>
      <c r="P219" t="inlineStr">
        <is>
          <t>原始:2025-10-01·甘肃；当前为搜索结果页链接，正式入库前需补原笔记链接</t>
        </is>
      </c>
      <c r="Q219" t="inlineStr">
        <is>
          <t>目标品牌</t>
        </is>
      </c>
      <c r="R219"/>
      <c r="S219"/>
    </row>
    <row r="220" ht="25.5" customHeight="1">
      <c r="A220" t="inlineStr">
        <is>
          <t>JD-20260809-001</t>
        </is>
      </c>
      <c r="B220" t="inlineStr">
        <is>
          <t>竞品产品体验反馈</t>
        </is>
      </c>
      <c r="C220" t="inlineStr">
        <is>
          <t>PRJ001</t>
        </is>
      </c>
      <c r="D220" t="inlineStr">
        <is>
          <t>CHOYA俏雅｜紫苏3年熟本格梅酒700ml</t>
        </is>
      </c>
      <c r="E220" t="inlineStr">
        <is>
          <t>喝过以后再来评论，很适口，酒劲不大，都可以接受，很美好的感觉，推荐品尝，瓶子也很好，可以再利用</t>
        </is>
      </c>
      <c r="F220" t="inlineStr">
        <is>
          <t>品牌：CHOYA俏雅｜商品/规格：紫苏3年熟本格梅酒700ml｜SKU：100015875653</t>
        </is>
      </c>
      <c r="G220" t="inlineStr">
        <is>
          <t>京东</t>
        </is>
      </c>
      <c r="H220" s="2" t="str">
        <f>=HYPERLINK("https://item.jd.com/100015875653.html", "https://item.jd.com/100015875653.html")</f>
        <v>https://item.jd.com/100015875653.html</v>
      </c>
      <c r="I220" s="3">
        <v>46108</v>
      </c>
      <c r="J220" s="4">
        <v>46243</v>
      </c>
      <c r="K220" t="inlineStr">
        <is>
          <t>CHOYA 俏雅 梅酒 商品评价</t>
        </is>
      </c>
      <c r="L220"/>
      <c r="M220" t="inlineStr">
        <is>
          <t>JD-U-20260809-001</t>
        </is>
      </c>
      <c r="N220" t="inlineStr">
        <is>
          <t>公开评论</t>
        </is>
      </c>
      <c r="O220"/>
      <c r="P220" t="inlineStr">
        <is>
          <t>情绪粗标：正面；主题粗标：入口感；酒精感；包装；京东商品评价弹层核验；未记录用户名；评价页未展示评论点赞/有用数，点赞数留空</t>
        </is>
      </c>
      <c r="Q220" t="inlineStr">
        <is>
          <t>竞品</t>
        </is>
      </c>
      <c r="R220"/>
      <c r="S220"/>
    </row>
    <row r="221" ht="25.5" customHeight="1">
      <c r="A221" t="inlineStr">
        <is>
          <t>JD-20260809-002</t>
        </is>
      </c>
      <c r="B221" t="inlineStr">
        <is>
          <t>竞品产品体验反馈</t>
        </is>
      </c>
      <c r="C221" t="inlineStr">
        <is>
          <t>PRJ001</t>
        </is>
      </c>
      <c r="D221" t="inlineStr">
        <is>
          <t>CHOYA俏雅｜紫苏3年熟本格梅酒700ml</t>
        </is>
      </c>
      <c r="E221" t="inlineStr">
        <is>
          <t>加冰后口感更佳，适合配西餐。喝完嘴里留香，喝起来顺滑</t>
        </is>
      </c>
      <c r="F221" t="inlineStr">
        <is>
          <t>品牌：CHOYA俏雅｜商品/规格：紫苏3年熟本格梅酒700ml｜SKU：100015875653</t>
        </is>
      </c>
      <c r="G221" t="inlineStr">
        <is>
          <t>京东</t>
        </is>
      </c>
      <c r="H221" s="2" t="str">
        <f>=HYPERLINK("https://item.jd.com/100015875653.html", "https://item.jd.com/100015875653.html")</f>
        <v>https://item.jd.com/100015875653.html</v>
      </c>
      <c r="I221" s="3">
        <v>46073</v>
      </c>
      <c r="J221" s="4">
        <v>46243</v>
      </c>
      <c r="K221" t="inlineStr">
        <is>
          <t>CHOYA 俏雅 梅酒 商品评价</t>
        </is>
      </c>
      <c r="L221"/>
      <c r="M221" t="inlineStr">
        <is>
          <t>JD-U-20260809-002</t>
        </is>
      </c>
      <c r="N221" t="inlineStr">
        <is>
          <t>公开评论</t>
        </is>
      </c>
      <c r="O221"/>
      <c r="P221" t="inlineStr">
        <is>
          <t>情绪粗标：正面；主题粗标：加冰；搭餐；香气；入口感；京东商品评价弹层核验；未记录用户名；评价页未展示评论点赞/有用数，点赞数留空</t>
        </is>
      </c>
      <c r="Q221" t="inlineStr">
        <is>
          <t>竞品</t>
        </is>
      </c>
      <c r="R221"/>
      <c r="S221"/>
    </row>
    <row r="222" ht="25.5" customHeight="1">
      <c r="A222" t="inlineStr">
        <is>
          <t>JD-20260809-006</t>
        </is>
      </c>
      <c r="B222" t="inlineStr">
        <is>
          <t>竞品产品体验反馈</t>
        </is>
      </c>
      <c r="C222" t="inlineStr">
        <is>
          <t>PRJ001</t>
        </is>
      </c>
      <c r="D222" t="inlineStr">
        <is>
          <t>CHOYA俏雅｜纪州Kishu本格梅酒720ml礼盒</t>
        </is>
      </c>
      <c r="E222" t="inlineStr">
        <is>
          <t>以前在山姆店买过这款梅酒，口感清爽香甜，印象很深刻，在京东平台上看到日本进口的这款梅酒，立马下单购入两瓶，快过年了，和自己的家人或和朋友们一起品尝，也是很惬意的啦！</t>
        </is>
      </c>
      <c r="F222" t="inlineStr">
        <is>
          <t>品牌：CHOYA俏雅｜商品/规格：纪州Kishu本格梅酒720ml礼盒｜SKU：100049386783</t>
        </is>
      </c>
      <c r="G222" t="inlineStr">
        <is>
          <t>京东</t>
        </is>
      </c>
      <c r="H222" s="2" t="str">
        <f>=HYPERLINK("https://item.jd.com/100049386783.html", "https://item.jd.com/100049386783.html")</f>
        <v>https://item.jd.com/100049386783.html</v>
      </c>
      <c r="I222" s="3">
        <v>46019</v>
      </c>
      <c r="J222" s="4">
        <v>46243</v>
      </c>
      <c r="K222" t="inlineStr">
        <is>
          <t>CHOYA 俏雅 梅酒 商品评价</t>
        </is>
      </c>
      <c r="L222"/>
      <c r="M222" t="inlineStr">
        <is>
          <t>JD-U-20260809-006</t>
        </is>
      </c>
      <c r="N222" t="inlineStr">
        <is>
          <t>公开评论</t>
        </is>
      </c>
      <c r="O222"/>
      <c r="P222" t="inlineStr">
        <is>
          <t>情绪粗标：正面；主题粗标：清爽；甜度；购买渠道；聚饮；京东商品评价弹层核验；未记录用户名；评价页未展示评论点赞/有用数，点赞数留空</t>
        </is>
      </c>
      <c r="Q222" t="inlineStr">
        <is>
          <t>竞品</t>
        </is>
      </c>
      <c r="R222"/>
      <c r="S222"/>
    </row>
    <row r="223" ht="25.5" customHeight="1">
      <c r="A223" t="inlineStr">
        <is>
          <t>JD-20260809-009</t>
        </is>
      </c>
      <c r="B223" t="inlineStr">
        <is>
          <t>竞品产品体验反馈</t>
        </is>
      </c>
      <c r="C223" t="inlineStr">
        <is>
          <t>PRJ001</t>
        </is>
      </c>
      <c r="D223" t="inlineStr">
        <is>
          <t>CHOYA俏雅｜纪州Kishu本格梅酒720ml</t>
        </is>
      </c>
      <c r="E223" t="inlineStr">
        <is>
          <t>这个牌子真的很不错，喝了那么多的梅子酒，就这个口味最舒服了，喝完还不难受</t>
        </is>
      </c>
      <c r="F223" t="inlineStr">
        <is>
          <t>品牌：CHOYA俏雅｜商品/规格：纪州Kishu本格梅酒720ml｜SKU：100049386783</t>
        </is>
      </c>
      <c r="G223" t="inlineStr">
        <is>
          <t>京东</t>
        </is>
      </c>
      <c r="H223" s="2" t="str">
        <f>=HYPERLINK("https://item.jd.com/100049386783.html", "https://item.jd.com/100049386783.html")</f>
        <v>https://item.jd.com/100049386783.html</v>
      </c>
      <c r="I223" s="3">
        <v>46045</v>
      </c>
      <c r="J223" s="4">
        <v>46243</v>
      </c>
      <c r="K223" t="inlineStr">
        <is>
          <t>CHOYA 俏雅 梅酒 商品评价</t>
        </is>
      </c>
      <c r="L223"/>
      <c r="M223" t="inlineStr">
        <is>
          <t>JD-U-20260809-009</t>
        </is>
      </c>
      <c r="N223" t="inlineStr">
        <is>
          <t>公开评论</t>
        </is>
      </c>
      <c r="O223"/>
      <c r="P223" t="inlineStr">
        <is>
          <t>情绪粗标：正面；主题粗标：与其他酒比较；入口感；身体负担；京东商品评价弹层核验；未记录用户名；评价页未展示评论点赞/有用数，点赞数留空</t>
        </is>
      </c>
      <c r="Q223" t="inlineStr">
        <is>
          <t>竞品</t>
        </is>
      </c>
      <c r="R223"/>
      <c r="S223"/>
    </row>
    <row r="224" ht="25.5" customHeight="1">
      <c r="A224" t="inlineStr">
        <is>
          <t>JD-20260809-010</t>
        </is>
      </c>
      <c r="B224" t="inlineStr">
        <is>
          <t>竞品产品体验反馈</t>
        </is>
      </c>
      <c r="C224" t="inlineStr">
        <is>
          <t>PRJ001</t>
        </is>
      </c>
      <c r="D224" t="inlineStr">
        <is>
          <t>CHOYA俏雅｜黑金本格梅酒14度700mL</t>
        </is>
      </c>
      <c r="E224" t="inlineStr">
        <is>
          <t>最近想买点酒喝喝，搜了搜好像这个牌子的梅酒比较有名。比较了不同的种类，觉得这个度数还挺合适的。对着冰块喝还是不错的，对我来说有一丢丢甜。</t>
        </is>
      </c>
      <c r="F224" t="inlineStr">
        <is>
          <t>品牌：CHOYA俏雅｜商品/规格：黑金本格梅酒14度700mL｜SKU：100049386775</t>
        </is>
      </c>
      <c r="G224" t="inlineStr">
        <is>
          <t>京东</t>
        </is>
      </c>
      <c r="H224" s="2" t="str">
        <f>=HYPERLINK("https://item.jd.com/100049386775.html", "https://item.jd.com/100049386775.html")</f>
        <v>https://item.jd.com/100049386775.html</v>
      </c>
      <c r="I224" s="3">
        <v>46084</v>
      </c>
      <c r="J224" s="4">
        <v>46243</v>
      </c>
      <c r="K224" t="inlineStr">
        <is>
          <t>CHOYA 俏雅 梅酒 商品评价</t>
        </is>
      </c>
      <c r="L224"/>
      <c r="M224" t="inlineStr">
        <is>
          <t>JD-U-20260809-010</t>
        </is>
      </c>
      <c r="N224" t="inlineStr">
        <is>
          <t>公开评论</t>
        </is>
      </c>
      <c r="O224"/>
      <c r="P224" t="inlineStr">
        <is>
          <t>情绪粗标：中性；主题粗标：品牌认知；酒精度；加冰；偏甜；京东商品评价弹层核验；未记录用户名；评价页未展示评论点赞/有用数，点赞数留空</t>
        </is>
      </c>
      <c r="Q224" t="inlineStr">
        <is>
          <t>竞品</t>
        </is>
      </c>
      <c r="R224"/>
      <c r="S224"/>
    </row>
    <row r="225" ht="25.5" customHeight="1">
      <c r="A225" t="inlineStr">
        <is>
          <t>JD-20260809-012</t>
        </is>
      </c>
      <c r="B225" t="inlineStr">
        <is>
          <t>竞品产品体验反馈</t>
        </is>
      </c>
      <c r="C225" t="inlineStr">
        <is>
          <t>PRJ001</t>
        </is>
      </c>
      <c r="D225" t="inlineStr">
        <is>
          <t>CHOYA俏雅｜黑金本格梅酒14度60mL</t>
        </is>
      </c>
      <c r="E225" t="inlineStr">
        <is>
          <t>喝起来口感很顺滑，味道酸甜平衡，酒精度数不高，香气浓郁，回味还想，毕竟不是陈酿，小瓶量比较合适，果香不错，京东快递包装不错，没有磕碰</t>
        </is>
      </c>
      <c r="F225" t="inlineStr">
        <is>
          <t>品牌：CHOYA俏雅｜商品/规格：黑金本格梅酒14度60mL｜SKU：100049386775</t>
        </is>
      </c>
      <c r="G225" t="inlineStr">
        <is>
          <t>京东</t>
        </is>
      </c>
      <c r="H225" s="2" t="str">
        <f>=HYPERLINK("https://item.jd.com/100049386775.html", "https://item.jd.com/100049386775.html")</f>
        <v>https://item.jd.com/100049386775.html</v>
      </c>
      <c r="I225" s="3">
        <v>46043</v>
      </c>
      <c r="J225" s="4">
        <v>46243</v>
      </c>
      <c r="K225" t="inlineStr">
        <is>
          <t>CHOYA 俏雅 梅酒 商品评价</t>
        </is>
      </c>
      <c r="L225"/>
      <c r="M225" t="inlineStr">
        <is>
          <t>JD-U-20260809-012</t>
        </is>
      </c>
      <c r="N225" t="inlineStr">
        <is>
          <t>公开评论</t>
        </is>
      </c>
      <c r="O225"/>
      <c r="P225" t="inlineStr">
        <is>
          <t>情绪粗标：正面；主题粗标：入口感；酸甜度；酒精感；香气；回味；包装；京东商品评价弹层核验；未记录用户名；评价页未展示评论点赞/有用数，点赞数留空</t>
        </is>
      </c>
      <c r="Q225" t="inlineStr">
        <is>
          <t>竞品</t>
        </is>
      </c>
      <c r="R225"/>
      <c r="S225"/>
    </row>
    <row r="226" ht="25.5" customHeight="1">
      <c r="A226" t="inlineStr">
        <is>
          <t>JD-20260809-013</t>
        </is>
      </c>
      <c r="B226" t="inlineStr">
        <is>
          <t>竞品产品体验反馈</t>
        </is>
      </c>
      <c r="C226" t="inlineStr">
        <is>
          <t>PRJ001</t>
        </is>
      </c>
      <c r="D226" t="inlineStr">
        <is>
          <t>CHOYA俏雅｜黑金本格梅酒14度60mL*5</t>
        </is>
      </c>
      <c r="E226" t="inlineStr">
        <is>
          <t>俏雅的小包装黑金本格梅酒口酒顺滑，甜度控制的刚刚好，酒精度数适中，入口梅子香气浓郁，口感层次丰富，配料表干净，真正的零添加，值得购买。</t>
        </is>
      </c>
      <c r="F226" t="inlineStr">
        <is>
          <t>品牌：CHOYA俏雅｜商品/规格：黑金本格梅酒14度60mL*5｜SKU：100049386775</t>
        </is>
      </c>
      <c r="G226" t="inlineStr">
        <is>
          <t>京东</t>
        </is>
      </c>
      <c r="H226" s="2" t="str">
        <f>=HYPERLINK("https://item.jd.com/100049386775.html", "https://item.jd.com/100049386775.html")</f>
        <v>https://item.jd.com/100049386775.html</v>
      </c>
      <c r="I226" s="3">
        <v>45967</v>
      </c>
      <c r="J226" s="4">
        <v>46243</v>
      </c>
      <c r="K226" t="inlineStr">
        <is>
          <t>CHOYA 俏雅 梅酒 商品评价</t>
        </is>
      </c>
      <c r="L226"/>
      <c r="M226" t="inlineStr">
        <is>
          <t>JD-U-20260809-013</t>
        </is>
      </c>
      <c r="N226" t="inlineStr">
        <is>
          <t>公开评论</t>
        </is>
      </c>
      <c r="O226"/>
      <c r="P226" t="inlineStr">
        <is>
          <t>情绪粗标：正面；主题粗标：入口感；甜度；酒精感；香气；配料；京东商品评价弹层核验；未记录用户名；评价页未展示评论点赞/有用数，点赞数留空</t>
        </is>
      </c>
      <c r="Q226" t="inlineStr">
        <is>
          <t>竞品</t>
        </is>
      </c>
      <c r="R226"/>
      <c r="S226"/>
    </row>
    <row r="227" ht="25.5" customHeight="1">
      <c r="A227" t="inlineStr">
        <is>
          <t>JD-20260809-014</t>
        </is>
      </c>
      <c r="B227" t="inlineStr">
        <is>
          <t>竞品产品体验反馈</t>
        </is>
      </c>
      <c r="C227" t="inlineStr">
        <is>
          <t>PRJ001</t>
        </is>
      </c>
      <c r="D227" t="inlineStr">
        <is>
          <t>CHOYA俏雅｜黑糖本格梅酒15度700ml</t>
        </is>
      </c>
      <c r="E227" t="inlineStr">
        <is>
          <t>偷懒了，喝完很久才来评论！偶尔换一个口味作为餐饮的第一种酒来喝，甜甜的味道，又加了一点冰，很香也很上头，喜欢那种微熏的感觉！</t>
        </is>
      </c>
      <c r="F227" t="inlineStr">
        <is>
          <t>品牌：CHOYA俏雅｜商品/规格：黑糖本格梅酒15度700ml｜SKU：100049386775</t>
        </is>
      </c>
      <c r="G227" t="inlineStr">
        <is>
          <t>京东</t>
        </is>
      </c>
      <c r="H227" s="2" t="str">
        <f>=HYPERLINK("https://item.jd.com/100049386775.html", "https://item.jd.com/100049386775.html")</f>
        <v>https://item.jd.com/100049386775.html</v>
      </c>
      <c r="I227" s="3">
        <v>46047</v>
      </c>
      <c r="J227" s="4">
        <v>46243</v>
      </c>
      <c r="K227" t="inlineStr">
        <is>
          <t>CHOYA 俏雅 梅酒 商品评价</t>
        </is>
      </c>
      <c r="L227"/>
      <c r="M227" t="inlineStr">
        <is>
          <t>JD-U-20260809-014</t>
        </is>
      </c>
      <c r="N227" t="inlineStr">
        <is>
          <t>公开评论</t>
        </is>
      </c>
      <c r="O227"/>
      <c r="P227" t="inlineStr">
        <is>
          <t>情绪粗标：中性；主题粗标：搭餐；甜度；加冰；香气；上头；京东商品评价弹层核验；未记录用户名；评价页未展示评论点赞/有用数，点赞数留空</t>
        </is>
      </c>
      <c r="Q227" t="inlineStr">
        <is>
          <t>竞品</t>
        </is>
      </c>
      <c r="R227"/>
      <c r="S227"/>
    </row>
    <row r="228" ht="25.5" customHeight="1">
      <c r="A228" t="inlineStr">
        <is>
          <t>JD-20260809-017</t>
        </is>
      </c>
      <c r="B228" t="inlineStr">
        <is>
          <t>竞品产品体验反馈</t>
        </is>
      </c>
      <c r="C228" t="inlineStr">
        <is>
          <t>PRJ001</t>
        </is>
      </c>
      <c r="D228" t="inlineStr">
        <is>
          <t>CHOYA俏雅｜梅子气泡酒4度250ml</t>
        </is>
      </c>
      <c r="E228" t="inlineStr">
        <is>
          <t>一直都很喜欢喝梅子酒，但是一直没买到好喝的，刷到很多推荐俏雅这个牌子的，就打算买来试下，买了两种，气泡酒那个喝了，非常不错，加冰块好好喝！这个梅子酒还没试，里面还有一个梅子。</t>
        </is>
      </c>
      <c r="F228" t="inlineStr">
        <is>
          <t>品牌：CHOYA俏雅｜商品/规格：梅子气泡酒4度250ml｜SKU：100015875649</t>
        </is>
      </c>
      <c r="G228" t="inlineStr">
        <is>
          <t>京东</t>
        </is>
      </c>
      <c r="H228" s="2" t="str">
        <f>=HYPERLINK("https://item.jd.com/100015875649.html", "https://item.jd.com/100015875649.html")</f>
        <v>https://item.jd.com/100015875649.html</v>
      </c>
      <c r="I228" s="3">
        <v>46109</v>
      </c>
      <c r="J228" s="4">
        <v>46243</v>
      </c>
      <c r="K228" t="inlineStr">
        <is>
          <t>CHOYA 俏雅 梅酒 商品评价</t>
        </is>
      </c>
      <c r="L228"/>
      <c r="M228" t="inlineStr">
        <is>
          <t>JD-U-20260809-017</t>
        </is>
      </c>
      <c r="N228" t="inlineStr">
        <is>
          <t>公开评论</t>
        </is>
      </c>
      <c r="O228"/>
      <c r="P228" t="inlineStr">
        <is>
          <t>情绪粗标：正面；主题粗标：购买决策；加冰；与其他酒比较；京东商品评价弹层核验；未记录用户名；评价页未展示评论点赞/有用数，点赞数留空</t>
        </is>
      </c>
      <c r="Q228" t="inlineStr">
        <is>
          <t>竞品</t>
        </is>
      </c>
      <c r="R228"/>
      <c r="S228"/>
    </row>
    <row r="229" ht="25.5" customHeight="1">
      <c r="A229" t="inlineStr">
        <is>
          <t>JD-20260809-018</t>
        </is>
      </c>
      <c r="B229" t="inlineStr">
        <is>
          <t>竞品产品体验反馈</t>
        </is>
      </c>
      <c r="C229" t="inlineStr">
        <is>
          <t>PRJ001</t>
        </is>
      </c>
      <c r="D229" t="inlineStr">
        <is>
          <t>CHOYA俏雅｜冰熟梅限定款6度720ml</t>
        </is>
      </c>
      <c r="E229" t="inlineStr">
        <is>
          <t>🍯甜度刚刚好，加冰后更清爽～🍹
口感细腻，酸甜比例很舒服，不会腻✨
单喝很解渴，配饮料也超搭🥤
酒劲温和，适合轻松小酌😌
整体体验很棒，会回购！👍</t>
        </is>
      </c>
      <c r="F229" t="inlineStr">
        <is>
          <t>品牌：CHOYA俏雅｜商品/规格：冰熟梅限定款6度720ml｜SKU：100015875649</t>
        </is>
      </c>
      <c r="G229" t="inlineStr">
        <is>
          <t>京东</t>
        </is>
      </c>
      <c r="H229" s="2" t="str">
        <f>=HYPERLINK("https://item.jd.com/100015875649.html", "https://item.jd.com/100015875649.html")</f>
        <v>https://item.jd.com/100015875649.html</v>
      </c>
      <c r="I229" s="3">
        <v>46115</v>
      </c>
      <c r="J229" s="4">
        <v>46243</v>
      </c>
      <c r="K229" t="inlineStr">
        <is>
          <t>CHOYA 俏雅 梅酒 商品评价</t>
        </is>
      </c>
      <c r="L229"/>
      <c r="M229" t="inlineStr">
        <is>
          <t>JD-U-20260809-018</t>
        </is>
      </c>
      <c r="N229" t="inlineStr">
        <is>
          <t>公开评论</t>
        </is>
      </c>
      <c r="O229"/>
      <c r="P229" t="inlineStr">
        <is>
          <t>情绪粗标：正面；主题粗标：甜度；酸甜度；加冰；调配；酒精感；回购；京东商品评价弹层核验；未记录用户名；评价页未展示评论点赞/有用数，点赞数留空；疑似模板化表达，仅作为原始语料导入，表2需人工复核</t>
        </is>
      </c>
      <c r="Q229" t="inlineStr">
        <is>
          <t>竞品</t>
        </is>
      </c>
      <c r="R229"/>
      <c r="S229"/>
    </row>
    <row r="230" ht="25.5" customHeight="1">
      <c r="A230" t="inlineStr">
        <is>
          <t>JD-20260809-019</t>
        </is>
      </c>
      <c r="B230" t="inlineStr">
        <is>
          <t>竞品产品体验反馈</t>
        </is>
      </c>
      <c r="C230" t="inlineStr">
        <is>
          <t>PRJ001</t>
        </is>
      </c>
      <c r="D230" t="inlineStr">
        <is>
          <t>CHOYA俏雅｜冰熟梅限定款6度720ml</t>
        </is>
      </c>
      <c r="E230" t="inlineStr">
        <is>
          <t>口感非常好，可以配一点冰块</t>
        </is>
      </c>
      <c r="F230" t="inlineStr">
        <is>
          <t>品牌：CHOYA俏雅｜商品/规格：冰熟梅限定款6度720ml｜SKU：100015875649</t>
        </is>
      </c>
      <c r="G230" t="inlineStr">
        <is>
          <t>京东</t>
        </is>
      </c>
      <c r="H230" s="2" t="str">
        <f>=HYPERLINK("https://item.jd.com/100015875649.html", "https://item.jd.com/100015875649.html")</f>
        <v>https://item.jd.com/100015875649.html</v>
      </c>
      <c r="I230" s="3">
        <v>46108</v>
      </c>
      <c r="J230" s="4">
        <v>46243</v>
      </c>
      <c r="K230" t="inlineStr">
        <is>
          <t>CHOYA 俏雅 梅酒 商品评价</t>
        </is>
      </c>
      <c r="L230"/>
      <c r="M230" t="inlineStr">
        <is>
          <t>JD-U-20260809-019</t>
        </is>
      </c>
      <c r="N230" t="inlineStr">
        <is>
          <t>公开评论</t>
        </is>
      </c>
      <c r="O230"/>
      <c r="P230" t="inlineStr">
        <is>
          <t>情绪粗标：正面；主题粗标：入口感；加冰；京东商品评价弹层核验；未记录用户名；评价页未展示评论点赞/有用数，点赞数留空</t>
        </is>
      </c>
      <c r="Q230" t="inlineStr">
        <is>
          <t>竞品</t>
        </is>
      </c>
      <c r="R230"/>
      <c r="S230"/>
    </row>
    <row r="231" ht="25.5" customHeight="1">
      <c r="A231" t="inlineStr">
        <is>
          <t>JD-20260809-020</t>
        </is>
      </c>
      <c r="B231" t="inlineStr">
        <is>
          <t>竞品产品体验反馈</t>
        </is>
      </c>
      <c r="C231" t="inlineStr">
        <is>
          <t>PRJ001</t>
        </is>
      </c>
      <c r="D231" t="inlineStr">
        <is>
          <t>RIO锐澳｜共6罐 百香果风味*5罐+赠饮料1罐</t>
        </is>
      </c>
      <c r="E231" t="inlineStr">
        <is>
          <t>这款鸡尾酒酒精浓度适中，微醺感刚好，果香浓郁，喝起来很清爽，多种口味选择满足不同喜好，冰镇后口感更佳，值得推荐，尤其适合想喝酒又喝不了酒的人，酒精度低。</t>
        </is>
      </c>
      <c r="F231" t="inlineStr">
        <is>
          <t>品牌：RIO锐澳｜商品/规格：共6罐 百香果风味*5罐+赠饮料1罐｜SKU：10109256829732</t>
        </is>
      </c>
      <c r="G231" t="inlineStr">
        <is>
          <t>京东</t>
        </is>
      </c>
      <c r="H231" s="2" t="str">
        <f>=HYPERLINK("https://item.jd.com/10109256829732.html", "https://item.jd.com/10109256829732.html")</f>
        <v>https://item.jd.com/10109256829732.html</v>
      </c>
      <c r="I231" s="3">
        <v>45882</v>
      </c>
      <c r="J231" s="4">
        <v>46243</v>
      </c>
      <c r="K231" t="inlineStr">
        <is>
          <t>RIO 锐澳 鸡尾酒 商品评价</t>
        </is>
      </c>
      <c r="L231"/>
      <c r="M231" t="inlineStr">
        <is>
          <t>JD-U-20260809-020</t>
        </is>
      </c>
      <c r="N231" t="inlineStr">
        <is>
          <t>公开评论</t>
        </is>
      </c>
      <c r="O231"/>
      <c r="P231" t="inlineStr">
        <is>
          <t>情绪粗标：正面；主题粗标：酒精感；果香；清爽；冰镇；京东商品评价弹层核验；未记录用户名；评价页未展示评论点赞/有用数，点赞数留空</t>
        </is>
      </c>
      <c r="Q231" t="inlineStr">
        <is>
          <t>竞品</t>
        </is>
      </c>
      <c r="R231"/>
      <c r="S231"/>
    </row>
    <row r="232" ht="25.5" customHeight="1">
      <c r="A232" t="inlineStr">
        <is>
          <t>JD-20260809-022</t>
        </is>
      </c>
      <c r="B232" t="inlineStr">
        <is>
          <t>竞品产品体验反馈</t>
        </is>
      </c>
      <c r="C232" t="inlineStr">
        <is>
          <t>PRJ001</t>
        </is>
      </c>
      <c r="D232" t="inlineStr">
        <is>
          <t>RIO锐澳｜共6罐 百香果风味*5罐+赠饮料1罐</t>
        </is>
      </c>
      <c r="E232" t="inlineStr">
        <is>
          <t>百香果味道的rio口感顺滑，香味浓郁，甜度适中，不会太腻。包装设计也很不错，方便携带，特别适合户外活动或者小憩时饮用。整体来说，是一款值得推荐的好喝饮品！</t>
        </is>
      </c>
      <c r="F232" t="inlineStr">
        <is>
          <t>品牌：RIO锐澳｜商品/规格：共6罐 百香果风味*5罐+赠饮料1罐｜SKU：10109256829732</t>
        </is>
      </c>
      <c r="G232" t="inlineStr">
        <is>
          <t>京东</t>
        </is>
      </c>
      <c r="H232" s="2" t="str">
        <f>=HYPERLINK("https://item.jd.com/10109256829732.html", "https://item.jd.com/10109256829732.html")</f>
        <v>https://item.jd.com/10109256829732.html</v>
      </c>
      <c r="I232" s="3">
        <v>45885</v>
      </c>
      <c r="J232" s="4">
        <v>46243</v>
      </c>
      <c r="K232" t="inlineStr">
        <is>
          <t>RIO 锐澳 鸡尾酒 商品评价</t>
        </is>
      </c>
      <c r="L232"/>
      <c r="M232" t="inlineStr">
        <is>
          <t>JD-U-20260809-022</t>
        </is>
      </c>
      <c r="N232" t="inlineStr">
        <is>
          <t>公开评论</t>
        </is>
      </c>
      <c r="O232"/>
      <c r="P232" t="inlineStr">
        <is>
          <t>情绪粗标：正面；主题粗标：入口感；香气；甜度；包装；便携；京东商品评价弹层核验；未记录用户名；评价页未展示评论点赞/有用数，点赞数留空</t>
        </is>
      </c>
      <c r="Q232" t="inlineStr">
        <is>
          <t>竞品</t>
        </is>
      </c>
      <c r="R232"/>
      <c r="S232"/>
    </row>
    <row r="233" ht="25.5" customHeight="1">
      <c r="A233" t="inlineStr">
        <is>
          <t>JD-20260809-023</t>
        </is>
      </c>
      <c r="B233" t="inlineStr">
        <is>
          <t>竞品产品体验反馈</t>
        </is>
      </c>
      <c r="C233" t="inlineStr">
        <is>
          <t>PRJ001</t>
        </is>
      </c>
      <c r="D233" t="inlineStr">
        <is>
          <t>RIO锐澳｜【人气组合】夏日5罐装+饮料1罐</t>
        </is>
      </c>
      <c r="E233" t="inlineStr">
        <is>
          <t>色泽诱人，果香与基酒完美融合，入口顺滑，层次丰富，回味悠长，一杯恰到好处的微醺艺术。</t>
        </is>
      </c>
      <c r="F233" t="inlineStr">
        <is>
          <t>品牌：RIO锐澳｜商品/规格：【人气组合】夏日5罐装+饮料1罐｜SKU：10109256829732</t>
        </is>
      </c>
      <c r="G233" t="inlineStr">
        <is>
          <t>京东</t>
        </is>
      </c>
      <c r="H233" s="2" t="str">
        <f>=HYPERLINK("https://item.jd.com/10109256829732.html", "https://item.jd.com/10109256829732.html")</f>
        <v>https://item.jd.com/10109256829732.html</v>
      </c>
      <c r="I233" s="3">
        <v>45926</v>
      </c>
      <c r="J233" s="4">
        <v>46243</v>
      </c>
      <c r="K233" t="inlineStr">
        <is>
          <t>RIO 锐澳 鸡尾酒 商品评价</t>
        </is>
      </c>
      <c r="L233"/>
      <c r="M233" t="inlineStr">
        <is>
          <t>JD-U-20260809-023</t>
        </is>
      </c>
      <c r="N233" t="inlineStr">
        <is>
          <t>公开评论</t>
        </is>
      </c>
      <c r="O233"/>
      <c r="P233" t="inlineStr">
        <is>
          <t>情绪粗标：正面；主题粗标：果香；入口感；层次；回味；京东商品评价弹层核验；未记录用户名；评价页未展示评论点赞/有用数，点赞数留空</t>
        </is>
      </c>
      <c r="Q233" t="inlineStr">
        <is>
          <t>竞品</t>
        </is>
      </c>
      <c r="R233"/>
      <c r="S233"/>
    </row>
    <row r="234" ht="25.5" customHeight="1">
      <c r="A234" t="inlineStr">
        <is>
          <t>JD-20260809-025</t>
        </is>
      </c>
      <c r="B234" t="inlineStr">
        <is>
          <t>竞品产品体验反馈</t>
        </is>
      </c>
      <c r="C234" t="inlineStr">
        <is>
          <t>PRJ001</t>
        </is>
      </c>
      <c r="D234" t="inlineStr">
        <is>
          <t>RIO锐澳｜【人气组合】夏日5罐装+饮料1罐</t>
        </is>
      </c>
      <c r="E234" t="inlineStr">
        <is>
          <t>这款微醺不错，适合有几个小菜，喝一杯！！</t>
        </is>
      </c>
      <c r="F234" t="inlineStr">
        <is>
          <t>品牌：RIO锐澳｜商品/规格：【人气组合】夏日5罐装+饮料1罐｜SKU：10109256829732</t>
        </is>
      </c>
      <c r="G234" t="inlineStr">
        <is>
          <t>京东</t>
        </is>
      </c>
      <c r="H234" s="2" t="str">
        <f>=HYPERLINK("https://item.jd.com/10109256829732.html", "https://item.jd.com/10109256829732.html")</f>
        <v>https://item.jd.com/10109256829732.html</v>
      </c>
      <c r="I234" s="3">
        <v>45920</v>
      </c>
      <c r="J234" s="4">
        <v>46243</v>
      </c>
      <c r="K234" t="inlineStr">
        <is>
          <t>RIO 锐澳 鸡尾酒 商品评价</t>
        </is>
      </c>
      <c r="L234"/>
      <c r="M234" t="inlineStr">
        <is>
          <t>JD-U-20260809-025</t>
        </is>
      </c>
      <c r="N234" t="inlineStr">
        <is>
          <t>公开评论</t>
        </is>
      </c>
      <c r="O234"/>
      <c r="P234" t="inlineStr">
        <is>
          <t>情绪粗标：正面；主题粗标：搭餐；微醺；京东商品评价弹层核验；未记录用户名；评价页未展示评论点赞/有用数，点赞数留空</t>
        </is>
      </c>
      <c r="Q234" t="inlineStr">
        <is>
          <t>竞品</t>
        </is>
      </c>
      <c r="R234"/>
      <c r="S234"/>
    </row>
    <row r="235" ht="25.5" customHeight="1">
      <c r="A235" t="inlineStr">
        <is>
          <t>JD-20260809-026</t>
        </is>
      </c>
      <c r="B235" t="inlineStr">
        <is>
          <t>竞品产品体验反馈</t>
        </is>
      </c>
      <c r="C235" t="inlineStr">
        <is>
          <t>PRJ001</t>
        </is>
      </c>
      <c r="D235" t="inlineStr">
        <is>
          <t>RIO锐澳｜【人气组合】夏日5罐装+饮料1罐</t>
        </is>
      </c>
      <c r="E235" t="inlineStr">
        <is>
          <t>酒精度数不高，适合大众</t>
        </is>
      </c>
      <c r="F235" t="inlineStr">
        <is>
          <t>品牌：RIO锐澳｜商品/规格：【人气组合】夏日5罐装+饮料1罐｜SKU：10109256829732</t>
        </is>
      </c>
      <c r="G235" t="inlineStr">
        <is>
          <t>京东</t>
        </is>
      </c>
      <c r="H235" s="2" t="str">
        <f>=HYPERLINK("https://item.jd.com/10109256829732.html", "https://item.jd.com/10109256829732.html")</f>
        <v>https://item.jd.com/10109256829732.html</v>
      </c>
      <c r="I235" s="3">
        <v>45960</v>
      </c>
      <c r="J235" s="4">
        <v>46243</v>
      </c>
      <c r="K235" t="inlineStr">
        <is>
          <t>RIO 锐澳 鸡尾酒 商品评价</t>
        </is>
      </c>
      <c r="L235"/>
      <c r="M235" t="inlineStr">
        <is>
          <t>JD-U-20260809-026</t>
        </is>
      </c>
      <c r="N235" t="inlineStr">
        <is>
          <t>公开评论</t>
        </is>
      </c>
      <c r="O235"/>
      <c r="P235" t="inlineStr">
        <is>
          <t>情绪粗标：中性；主题粗标：酒精感；适饮人群；京东商品评价弹层核验；未记录用户名；评价页未展示评论点赞/有用数，点赞数留空</t>
        </is>
      </c>
      <c r="Q235" t="inlineStr">
        <is>
          <t>竞品</t>
        </is>
      </c>
      <c r="R235"/>
      <c r="S235"/>
    </row>
    <row r="236" ht="25.5" customHeight="1">
      <c r="A236" t="inlineStr">
        <is>
          <t>JD-RAW-0027</t>
        </is>
      </c>
      <c r="B236" t="inlineStr">
        <is>
          <t>竞品产品体验反馈</t>
        </is>
      </c>
      <c r="C236" t="inlineStr">
        <is>
          <t>PRJ001</t>
        </is>
      </c>
      <c r="D236" t="inlineStr">
        <is>
          <t>RIO锐澳</t>
        </is>
      </c>
      <c r="E236" t="inlineStr">
        <is>
          <t>这款RIO微醺白桃白兰地风味，3度微醺清甜不烈，白桃果香清新自然，入口顺滑，颜值粉嫩讨喜，很适合女生小酌放松。下班回家喝一瓶，很爽，很惬意</t>
        </is>
      </c>
      <c r="F236" t="inlineStr">
        <is>
          <t>商品：微醺268ml*6罐随机口味；SKU：10112125621688</t>
        </is>
      </c>
      <c r="G236" t="inlineStr">
        <is>
          <t>京东</t>
        </is>
      </c>
      <c r="H236" s="2" t="str">
        <f>=HYPERLINK("https://item.jd.com/10112125621688.html", "https://item.jd.com/10112125621688.html")</f>
        <v>https://item.jd.com/10112125621688.html</v>
      </c>
      <c r="I236" s="3">
        <v>46150</v>
      </c>
      <c r="J236" s="4">
        <v>46243</v>
      </c>
      <c r="K236" t="inlineStr">
        <is>
          <t>青梅酒 竞品 口感 对比</t>
        </is>
      </c>
      <c r="L236"/>
      <c r="M236" t="inlineStr">
        <is>
          <t>MJ-JD-U-004</t>
        </is>
      </c>
      <c r="N236" t="inlineStr">
        <is>
          <t>公开评论</t>
        </is>
      </c>
      <c r="O236"/>
      <c r="P236" t="inlineStr">
        <is>
          <t>京东商品评价弹层核验；已排除商家回复与用户名；情绪：正面；涉及主题：甜度；酒精感；果香；入口感；包装颜值</t>
        </is>
      </c>
      <c r="Q236" t="inlineStr">
        <is>
          <t>竞品</t>
        </is>
      </c>
      <c r="R236"/>
      <c r="S236"/>
    </row>
    <row r="237" ht="25.5" customHeight="1">
      <c r="A237" t="inlineStr">
        <is>
          <t>JD-20260809-028</t>
        </is>
      </c>
      <c r="B237" t="inlineStr">
        <is>
          <t>竞品产品体验反馈</t>
        </is>
      </c>
      <c r="C237" t="inlineStr">
        <is>
          <t>PRJ001</t>
        </is>
      </c>
      <c r="D237" t="inlineStr">
        <is>
          <t>RIO锐澳｜微醺330ml*8罐 单葡萄口味</t>
        </is>
      </c>
      <c r="E237" t="inlineStr">
        <is>
          <t>这款饮品口感醇厚顺口，甜度恰到好处不腻口，果香浓郁自然。冰镇后饮用口感更佳，清爽解乏，聚餐日常喝都合适，分量足性价比高，全家都很喜欢。</t>
        </is>
      </c>
      <c r="F237" t="inlineStr">
        <is>
          <t>品牌：RIO锐澳｜商品/规格：微醺330ml*8罐 单葡萄口味｜SKU：10112125621688</t>
        </is>
      </c>
      <c r="G237" t="inlineStr">
        <is>
          <t>京东</t>
        </is>
      </c>
      <c r="H237" s="2" t="str">
        <f>=HYPERLINK("https://item.jd.com/10112125621688.html", "https://item.jd.com/10112125621688.html")</f>
        <v>https://item.jd.com/10112125621688.html</v>
      </c>
      <c r="I237" s="3">
        <v>46168</v>
      </c>
      <c r="J237" s="4">
        <v>46243</v>
      </c>
      <c r="K237" t="inlineStr">
        <is>
          <t>RIO 锐澳 鸡尾酒 商品评价</t>
        </is>
      </c>
      <c r="L237"/>
      <c r="M237" t="inlineStr">
        <is>
          <t>JD-U-20260809-028</t>
        </is>
      </c>
      <c r="N237" t="inlineStr">
        <is>
          <t>公开评论</t>
        </is>
      </c>
      <c r="O237"/>
      <c r="P237" t="inlineStr">
        <is>
          <t>情绪粗标：正面；主题粗标：入口感；甜度；果香；冰镇；性价比；京东商品评价弹层核验；已排除商家回复与用户名；评价页未展示评论点赞/有用数，点赞数留空</t>
        </is>
      </c>
      <c r="Q237" t="inlineStr">
        <is>
          <t>竞品</t>
        </is>
      </c>
      <c r="R237"/>
      <c r="S237"/>
    </row>
    <row r="238" ht="25.5" customHeight="1">
      <c r="A238" t="inlineStr">
        <is>
          <t>JD-20260809-030</t>
        </is>
      </c>
      <c r="B238" t="inlineStr">
        <is>
          <t>竞品产品体验反馈</t>
        </is>
      </c>
      <c r="C238" t="inlineStr">
        <is>
          <t>PRJ001</t>
        </is>
      </c>
      <c r="D238" t="inlineStr">
        <is>
          <t>RIO锐澳｜微醺随机口味8罐</t>
        </is>
      </c>
      <c r="E238" t="inlineStr">
        <is>
          <t>八种口味可选，喝了几瓶。目前喜欢荔枝和草莓，低度小甜果酒口感很好，对于我这种不能沾酒的人来说，这个酒精度很适合，喝完全身暖暖的。希望能够再出新口味。</t>
        </is>
      </c>
      <c r="F238" t="inlineStr">
        <is>
          <t>品牌：RIO锐澳｜商品/规格：微醺随机口味8罐｜SKU：10112125621688</t>
        </is>
      </c>
      <c r="G238" t="inlineStr">
        <is>
          <t>京东</t>
        </is>
      </c>
      <c r="H238" s="2" t="str">
        <f>=HYPERLINK("https://item.jd.com/10112125621688.html", "https://item.jd.com/10112125621688.html")</f>
        <v>https://item.jd.com/10112125621688.html</v>
      </c>
      <c r="I238" s="3">
        <v>46092</v>
      </c>
      <c r="J238" s="4">
        <v>46243</v>
      </c>
      <c r="K238" t="inlineStr">
        <is>
          <t>RIO 锐澳 鸡尾酒 商品评价</t>
        </is>
      </c>
      <c r="L238"/>
      <c r="M238" t="inlineStr">
        <is>
          <t>JD-U-20260809-030</t>
        </is>
      </c>
      <c r="N238" t="inlineStr">
        <is>
          <t>公开评论</t>
        </is>
      </c>
      <c r="O238"/>
      <c r="P238" t="inlineStr">
        <is>
          <t>情绪粗标：正面；主题粗标：多口味；甜度；酒精感；身体感受；京东商品评价弹层核验；已排除商家回复与用户名；评价页未展示评论点赞/有用数，点赞数留空</t>
        </is>
      </c>
      <c r="Q238" t="inlineStr">
        <is>
          <t>竞品</t>
        </is>
      </c>
      <c r="R238"/>
      <c r="S238"/>
    </row>
    <row r="239" ht="25.5" customHeight="1">
      <c r="A239" t="inlineStr">
        <is>
          <t>JD-20260809-031</t>
        </is>
      </c>
      <c r="B239" t="inlineStr">
        <is>
          <t>竞品产品体验反馈</t>
        </is>
      </c>
      <c r="C239" t="inlineStr">
        <is>
          <t>PRJ001</t>
        </is>
      </c>
      <c r="D239" t="inlineStr">
        <is>
          <t>RIO锐澳｜微醺随机口味8罐</t>
        </is>
      </c>
      <c r="E239" t="inlineStr">
        <is>
          <t>冰镇后口感更佳，酸甜平衡恰到好处，果香浓郁不腻，搭配轻食很合适。气泡细腻，微醺感明显，适合朋友小聚或独自放松时饮用。包装完好，物流迅速，整体体验满意。</t>
        </is>
      </c>
      <c r="F239" t="inlineStr">
        <is>
          <t>品牌：RIO锐澳｜商品/规格：微醺随机口味8罐｜SKU：10112125621688</t>
        </is>
      </c>
      <c r="G239" t="inlineStr">
        <is>
          <t>京东</t>
        </is>
      </c>
      <c r="H239" s="2" t="str">
        <f>=HYPERLINK("https://item.jd.com/10112125621688.html", "https://item.jd.com/10112125621688.html")</f>
        <v>https://item.jd.com/10112125621688.html</v>
      </c>
      <c r="I239" s="3">
        <v>46063</v>
      </c>
      <c r="J239" s="4">
        <v>46243</v>
      </c>
      <c r="K239" t="inlineStr">
        <is>
          <t>RIO 锐澳 鸡尾酒 商品评价</t>
        </is>
      </c>
      <c r="L239"/>
      <c r="M239" t="inlineStr">
        <is>
          <t>JD-U-20260809-031</t>
        </is>
      </c>
      <c r="N239" t="inlineStr">
        <is>
          <t>公开评论</t>
        </is>
      </c>
      <c r="O239"/>
      <c r="P239" t="inlineStr">
        <is>
          <t>情绪粗标：正面；主题粗标：冰镇；酸甜度；果香；搭餐；气泡；微醺；包装；京东商品评价弹层核验；已排除商家回复与用户名；评价页未展示评论点赞/有用数，点赞数留空</t>
        </is>
      </c>
      <c r="Q239" t="inlineStr">
        <is>
          <t>竞品</t>
        </is>
      </c>
      <c r="R239"/>
      <c r="S239"/>
    </row>
    <row r="240" ht="25.5" customHeight="1">
      <c r="A240" t="inlineStr">
        <is>
          <t>JD-20260809-034</t>
        </is>
      </c>
      <c r="B240" t="inlineStr">
        <is>
          <t>竞品产品体验反馈</t>
        </is>
      </c>
      <c r="C240" t="inlineStr">
        <is>
          <t>PRJ001</t>
        </is>
      </c>
      <c r="D240" t="inlineStr">
        <is>
          <t>RIO锐澳｜微醺330ml*8罐 单白桃口味</t>
        </is>
      </c>
      <c r="E240" t="inlineStr">
        <is>
          <t>口味不对，太甜了。甜得有点过分了！</t>
        </is>
      </c>
      <c r="F240" t="inlineStr">
        <is>
          <t>品牌：RIO锐澳｜商品/规格：微醺330ml*8罐 单白桃口味｜SKU：10112125621688</t>
        </is>
      </c>
      <c r="G240" t="inlineStr">
        <is>
          <t>京东</t>
        </is>
      </c>
      <c r="H240" s="2" t="str">
        <f>=HYPERLINK("https://item.jd.com/10112125621688.html", "https://item.jd.com/10112125621688.html")</f>
        <v>https://item.jd.com/10112125621688.html</v>
      </c>
      <c r="I240" s="3">
        <v>45870</v>
      </c>
      <c r="J240" s="4">
        <v>46243</v>
      </c>
      <c r="K240" t="inlineStr">
        <is>
          <t>RIO 锐澳 鸡尾酒 商品评价</t>
        </is>
      </c>
      <c r="L240"/>
      <c r="M240" t="inlineStr">
        <is>
          <t>JD-U-20260809-034</t>
        </is>
      </c>
      <c r="N240" t="inlineStr">
        <is>
          <t>公开评论</t>
        </is>
      </c>
      <c r="O240"/>
      <c r="P240" t="inlineStr">
        <is>
          <t>情绪粗标：负面；主题粗标：口味；甜度过高；京东中评弹层核验；已排除商家回复与用户名；评价页未展示评论点赞/有用数，点赞数留空</t>
        </is>
      </c>
      <c r="Q240" t="inlineStr">
        <is>
          <t>竞品</t>
        </is>
      </c>
      <c r="R240"/>
      <c r="S240"/>
    </row>
    <row r="241" ht="25.5" customHeight="1">
      <c r="A241" t="inlineStr">
        <is>
          <t>JD-20260809-036</t>
        </is>
      </c>
      <c r="B241" t="inlineStr">
        <is>
          <t>竞品产品体验反馈</t>
        </is>
      </c>
      <c r="C241" t="inlineStr">
        <is>
          <t>PRJ001</t>
        </is>
      </c>
      <c r="D241" t="inlineStr">
        <is>
          <t>昆竹牌｜冰梅酒 450ml*6瓶</t>
        </is>
      </c>
      <c r="E241" t="inlineStr">
        <is>
          <t>冰梅酒是夏日微醺的绝佳伴侣。它完美融合了青梅的天然酸甜与酒的醇厚，口感清新顺滑，冰镇后更显沁爽。无论是朋友小聚还是独自小酌，一杯冰梅酒都能瞬间拉满氛围感，带来恰到好处的松弛与惬意。</t>
        </is>
      </c>
      <c r="F241" t="inlineStr">
        <is>
          <t>品牌：昆竹牌｜商品/规格：冰梅酒 450ml*6瓶｜SKU：100348071270</t>
        </is>
      </c>
      <c r="G241" t="inlineStr">
        <is>
          <t>京东</t>
        </is>
      </c>
      <c r="H241" s="2" t="str">
        <f>=HYPERLINK("https://item.jd.com/100348071270.html", "https://item.jd.com/100348071270.html")</f>
        <v>https://item.jd.com/100348071270.html</v>
      </c>
      <c r="I241" s="3">
        <v>46153</v>
      </c>
      <c r="J241" s="4">
        <v>46243</v>
      </c>
      <c r="K241" t="inlineStr">
        <is>
          <t>昆竹 青梅酒 商品评价</t>
        </is>
      </c>
      <c r="L241"/>
      <c r="M241" t="inlineStr">
        <is>
          <t>JD-U-20260809-036</t>
        </is>
      </c>
      <c r="N241" t="inlineStr">
        <is>
          <t>公开评论</t>
        </is>
      </c>
      <c r="O241"/>
      <c r="P241" t="inlineStr">
        <is>
          <t>情绪粗标：正面；主题粗标：酸甜度；入口感；冰镇；微醺；饮用场景；京东商品评价弹层核验；已排除商家回复与用户名；评价页未展示评论点赞/有用数，点赞数留空</t>
        </is>
      </c>
      <c r="Q241" t="inlineStr">
        <is>
          <t>竞品</t>
        </is>
      </c>
      <c r="R241"/>
      <c r="S241"/>
    </row>
    <row r="242" ht="25.5" customHeight="1">
      <c r="A242" t="inlineStr">
        <is>
          <t>JD-20260809-039</t>
        </is>
      </c>
      <c r="B242" t="inlineStr">
        <is>
          <t>竞品产品体验反馈</t>
        </is>
      </c>
      <c r="C242" t="inlineStr">
        <is>
          <t>PRJ001</t>
        </is>
      </c>
      <c r="D242" t="inlineStr">
        <is>
          <t>昆竹牌｜青梅酒450ml 单瓶</t>
        </is>
      </c>
      <c r="E242" t="inlineStr">
        <is>
          <t>昆竹青梅酒太赞！琥珀色透亮，一开瓶满是清新梅香。12度微醺，酸甜平衡不腻，入口顺滑不辣喉。青梅果酸、蜜甜、米酒醇香层次丰富，冰镇后更清爽。无香精感，天然纯粹，加冰/兑苏打都好喝。女生友好、日常小酌、聚会都合适，性价比高，无限回购。</t>
        </is>
      </c>
      <c r="F242" t="inlineStr">
        <is>
          <t>品牌：昆竹牌｜商品/规格：青梅酒450ml 单瓶｜SKU：100348071270</t>
        </is>
      </c>
      <c r="G242" t="inlineStr">
        <is>
          <t>京东</t>
        </is>
      </c>
      <c r="H242" s="2" t="str">
        <f>=HYPERLINK("https://item.jd.com/100348071270.html", "https://item.jd.com/100348071270.html")</f>
        <v>https://item.jd.com/100348071270.html</v>
      </c>
      <c r="I242" s="3">
        <v>46122</v>
      </c>
      <c r="J242" s="4">
        <v>46243</v>
      </c>
      <c r="K242" t="inlineStr">
        <is>
          <t>昆竹 青梅酒 商品评价</t>
        </is>
      </c>
      <c r="L242"/>
      <c r="M242" t="inlineStr">
        <is>
          <t>JD-U-20260809-039</t>
        </is>
      </c>
      <c r="N242" t="inlineStr">
        <is>
          <t>公开评论</t>
        </is>
      </c>
      <c r="O242"/>
      <c r="P242" t="inlineStr">
        <is>
          <t>情绪粗标：正面；主题粗标：酒体；香气；酒精感；酸甜度；入口感；层次；冰镇；兑苏打；性价比；回购；京东商品评价弹层核验；已排除商家回复与用户名；评价页未展示评论点赞/有用数，点赞数留空；疑似模板化表达，仅作为原始语料导入，表2需人工复核</t>
        </is>
      </c>
      <c r="Q242" t="inlineStr">
        <is>
          <t>竞品</t>
        </is>
      </c>
      <c r="R242"/>
      <c r="S242"/>
    </row>
    <row r="243" ht="25.5" customHeight="1">
      <c r="A243" t="inlineStr">
        <is>
          <t>JD-20260809-044</t>
        </is>
      </c>
      <c r="B243" t="inlineStr">
        <is>
          <t>竞品产品体验反馈</t>
        </is>
      </c>
      <c r="C243" t="inlineStr">
        <is>
          <t>PRJ001</t>
        </is>
      </c>
      <c r="D243" t="inlineStr">
        <is>
          <t>RIO锐澳｜强爽荔枝500ML*12罐装</t>
        </is>
      </c>
      <c r="E243" t="inlineStr">
        <is>
          <t>发货很快 包装严实 味感不错 味道很好 吃饭 休闲 追剧喝着刚好 口味多 可根据喜好选。</t>
        </is>
      </c>
      <c r="F243" t="inlineStr">
        <is>
          <t>品牌：RIO锐澳｜商品/规格：强爽荔枝500ML*12罐装｜SKU：10115466070314</t>
        </is>
      </c>
      <c r="G243" t="inlineStr">
        <is>
          <t>京东</t>
        </is>
      </c>
      <c r="H243" s="2" t="str">
        <f>=HYPERLINK("https://item.jd.com/10115466070314.html", "https://item.jd.com/10115466070314.html")</f>
        <v>https://item.jd.com/10115466070314.html</v>
      </c>
      <c r="I243" s="3">
        <v>46143</v>
      </c>
      <c r="J243" s="4">
        <v>46243</v>
      </c>
      <c r="K243" t="inlineStr">
        <is>
          <t>RIO 锐澳 鸡尾酒 商品评价</t>
        </is>
      </c>
      <c r="L243"/>
      <c r="M243" t="inlineStr">
        <is>
          <t>JD-U-20260809-044</t>
        </is>
      </c>
      <c r="N243" t="inlineStr">
        <is>
          <t>公开评论</t>
        </is>
      </c>
      <c r="O243"/>
      <c r="P243" t="inlineStr">
        <is>
          <t>情绪粗标：正面；主题粗标：包装；搭餐；休闲；多口味；京东商品评价弹层核验；已排除商家回复与用户名；评价页未展示评论点赞/有用数，点赞数留空</t>
        </is>
      </c>
      <c r="Q243" t="inlineStr">
        <is>
          <t>竞品</t>
        </is>
      </c>
      <c r="R243"/>
      <c r="S243"/>
    </row>
    <row r="244" ht="25.5" customHeight="1">
      <c r="A244" t="inlineStr">
        <is>
          <t>JD-20260809-048</t>
        </is>
      </c>
      <c r="B244" t="inlineStr">
        <is>
          <t>竞品产品体验反馈</t>
        </is>
      </c>
      <c r="C244" t="inlineStr">
        <is>
          <t>PRJ001</t>
        </is>
      </c>
      <c r="D244" t="inlineStr">
        <is>
          <t>RIO锐澳｜强爽500ml*6罐 单苹果口味</t>
        </is>
      </c>
      <c r="E244" t="inlineStr">
        <is>
          <t>哦，我想死了，喝了吧，有10 年8年了吧，非常喜欢这个味道，之前喝的是柠檬口味，现在最喜欢苹果口味，强爽比那个其他系列也都要好喝 八度的一罐刚刚好能达到微醺的状态</t>
        </is>
      </c>
      <c r="F244" t="inlineStr">
        <is>
          <t>品牌：RIO锐澳｜商品/规格：强爽500ml*6罐 单苹果口味｜SKU：10115466070314</t>
        </is>
      </c>
      <c r="G244" t="inlineStr">
        <is>
          <t>京东</t>
        </is>
      </c>
      <c r="H244" s="2" t="str">
        <f>=HYPERLINK("https://item.jd.com/10115466070314.html", "https://item.jd.com/10115466070314.html")</f>
        <v>https://item.jd.com/10115466070314.html</v>
      </c>
      <c r="I244" s="3">
        <v>45934</v>
      </c>
      <c r="J244" s="4">
        <v>46243</v>
      </c>
      <c r="K244" t="inlineStr">
        <is>
          <t>RIO 锐澳 鸡尾酒 商品评价</t>
        </is>
      </c>
      <c r="L244"/>
      <c r="M244" t="inlineStr">
        <is>
          <t>JD-U-20260809-048</t>
        </is>
      </c>
      <c r="N244" t="inlineStr">
        <is>
          <t>公开评论</t>
        </is>
      </c>
      <c r="O244"/>
      <c r="P244" t="inlineStr">
        <is>
          <t>情绪粗标：正面；主题粗标：长期饮用；口味比较；8度；微醺；京东商品评价弹层核验；已排除商家回复与用户名；评价页未展示评论点赞/有用数，点赞数留空</t>
        </is>
      </c>
      <c r="Q244" t="inlineStr">
        <is>
          <t>竞品</t>
        </is>
      </c>
      <c r="R244"/>
      <c r="S244"/>
    </row>
    <row r="245" ht="25.5" customHeight="1">
      <c r="A245" t="inlineStr">
        <is>
          <t>TB-20260809-001</t>
        </is>
      </c>
      <c r="B245" t="inlineStr">
        <is>
          <t>竞品产品体验反馈</t>
        </is>
      </c>
      <c r="C245" t="inlineStr">
        <is>
          <t>PRJ001</t>
        </is>
      </c>
      <c r="D245" t="inlineStr">
        <is>
          <t>CHOYA俏雅｜带梅子本格梅酒700ml+赠梅酒杯</t>
        </is>
      </c>
      <c r="E245" t="inlineStr">
        <is>
          <t>买的俏雅梅子酒收到啦，包装挺严实的，玻璃瓶没破损。度数不高，平时在家小酌刚好，酸甜口很开胃～物流也快，两天就到了，满意～</t>
        </is>
      </c>
      <c r="F245" t="inlineStr">
        <is>
          <t>品牌：CHOYA俏雅｜商品/规格：带梅子本格梅酒700ml+赠梅酒杯｜SKU：873823229086</t>
        </is>
      </c>
      <c r="G245" t="inlineStr">
        <is>
          <t>淘宝</t>
        </is>
      </c>
      <c r="H245" s="2" t="str">
        <f>=HYPERLINK("https://detail.tmall.com/item.htm?id=873823229086", "https://detail.tmall.com/item.htm?id=873823229086")</f>
        <v>https://detail.tmall.com/item.htm?id=873823229086</v>
      </c>
      <c r="I245" s="3">
        <v>46219</v>
      </c>
      <c r="J245" s="4">
        <v>46243</v>
      </c>
      <c r="K245" t="inlineStr">
        <is>
          <t>CHOYA 俏雅 梅酒 商品评价</t>
        </is>
      </c>
      <c r="L245"/>
      <c r="M245" t="inlineStr">
        <is>
          <t>TB-U-20260809-001</t>
        </is>
      </c>
      <c r="N245" t="inlineStr">
        <is>
          <t>公开评论</t>
        </is>
      </c>
      <c r="O245"/>
      <c r="P245" t="inlineStr">
        <is>
          <t>情绪粗标：正面；主题粗标：包装；酒精感；日常小酌；酸甜度；开胃；天猫CHOYA旗舰店商品评价；未记录用户名；评价页未展示评论点赞/有用数，点赞数留空</t>
        </is>
      </c>
      <c r="Q245" t="inlineStr">
        <is>
          <t>竞品</t>
        </is>
      </c>
      <c r="R245"/>
      <c r="S245"/>
    </row>
    <row r="246" ht="25.5" customHeight="1">
      <c r="A246" t="inlineStr">
        <is>
          <t>TB-20260809-006</t>
        </is>
      </c>
      <c r="B246" t="inlineStr">
        <is>
          <t>竞品产品体验反馈</t>
        </is>
      </c>
      <c r="C246" t="inlineStr">
        <is>
          <t>PRJ001</t>
        </is>
      </c>
      <c r="D246" t="inlineStr">
        <is>
          <t>CHOYA俏雅｜带梅子本格梅酒750ml+赠至极梅酒</t>
        </is>
      </c>
      <c r="E246" t="inlineStr">
        <is>
          <t>这款口感很好，梅子也好吃，每天一小杯，微醺。</t>
        </is>
      </c>
      <c r="F246" t="inlineStr">
        <is>
          <t>品牌：CHOYA俏雅｜商品/规格：带梅子本格梅酒750ml+赠至极梅酒｜SKU：873823229086</t>
        </is>
      </c>
      <c r="G246" t="inlineStr">
        <is>
          <t>淘宝</t>
        </is>
      </c>
      <c r="H246" s="2" t="str">
        <f>=HYPERLINK("https://detail.tmall.com/item.htm?id=873823229086", "https://detail.tmall.com/item.htm?id=873823229086")</f>
        <v>https://detail.tmall.com/item.htm?id=873823229086</v>
      </c>
      <c r="I246" s="3">
        <v>46223</v>
      </c>
      <c r="J246" s="4">
        <v>46243</v>
      </c>
      <c r="K246" t="inlineStr">
        <is>
          <t>CHOYA 俏雅 梅酒 商品评价</t>
        </is>
      </c>
      <c r="L246"/>
      <c r="M246" t="inlineStr">
        <is>
          <t>TB-U-20260809-006</t>
        </is>
      </c>
      <c r="N246" t="inlineStr">
        <is>
          <t>公开评论</t>
        </is>
      </c>
      <c r="O246"/>
      <c r="P246" t="inlineStr">
        <is>
          <t>情绪粗标：正面；主题粗标：入口感；梅子食用；每日小酌；微醺；天猫CHOYA旗舰店商品评价；未记录用户名；评价页未展示评论点赞/有用数，点赞数留空</t>
        </is>
      </c>
      <c r="Q246" t="inlineStr">
        <is>
          <t>竞品</t>
        </is>
      </c>
      <c r="R246"/>
      <c r="S246"/>
    </row>
    <row r="247" ht="25.5" customHeight="1">
      <c r="A247" t="inlineStr">
        <is>
          <t>TB-20260809-009</t>
        </is>
      </c>
      <c r="B247" t="inlineStr">
        <is>
          <t>竞品产品体验反馈</t>
        </is>
      </c>
      <c r="C247" t="inlineStr">
        <is>
          <t>PRJ001</t>
        </is>
      </c>
      <c r="D247" t="inlineStr">
        <is>
          <t>CHOYA俏雅｜带梅子本格梅酒750ml+赠至极梅酒</t>
        </is>
      </c>
      <c r="E247" t="inlineStr">
        <is>
          <t>清爽好入口，不知不觉就会喝多了，晚上微醺最适合</t>
        </is>
      </c>
      <c r="F247" t="inlineStr">
        <is>
          <t>品牌：CHOYA俏雅｜商品/规格：带梅子本格梅酒750ml+赠至极梅酒｜SKU：873823229086</t>
        </is>
      </c>
      <c r="G247" t="inlineStr">
        <is>
          <t>淘宝</t>
        </is>
      </c>
      <c r="H247" s="2" t="str">
        <f>=HYPERLINK("https://detail.tmall.com/item.htm?id=873823229086", "https://detail.tmall.com/item.htm?id=873823229086")</f>
        <v>https://detail.tmall.com/item.htm?id=873823229086</v>
      </c>
      <c r="I247" s="3">
        <v>46236</v>
      </c>
      <c r="J247" s="4">
        <v>46243</v>
      </c>
      <c r="K247" t="inlineStr">
        <is>
          <t>CHOYA 俏雅 梅酒 商品评价</t>
        </is>
      </c>
      <c r="L247"/>
      <c r="M247" t="inlineStr">
        <is>
          <t>TB-U-20260809-009</t>
        </is>
      </c>
      <c r="N247" t="inlineStr">
        <is>
          <t>公开评论</t>
        </is>
      </c>
      <c r="O247"/>
      <c r="P247" t="inlineStr">
        <is>
          <t>情绪粗标：中性；主题粗标：清爽；入口感；易喝多；夜间微醺；天猫CHOYA旗舰店商品评价；未记录用户名；评价页未展示评论点赞/有用数，点赞数留空</t>
        </is>
      </c>
      <c r="Q247" t="inlineStr">
        <is>
          <t>竞品</t>
        </is>
      </c>
      <c r="R247"/>
      <c r="S247"/>
    </row>
    <row r="248" ht="25.5" customHeight="1">
      <c r="A248" t="inlineStr">
        <is>
          <t>TB-20260809-011</t>
        </is>
      </c>
      <c r="B248" t="inlineStr">
        <is>
          <t>竞品产品体验反馈</t>
        </is>
      </c>
      <c r="C248" t="inlineStr">
        <is>
          <t>PRJ001</t>
        </is>
      </c>
      <c r="D248" t="inlineStr">
        <is>
          <t>RIO锐澳｜【330ml*5罐】清爽4罐+强爽1罐</t>
        </is>
      </c>
      <c r="E248" t="inlineStr">
        <is>
          <t>好喝，可能是我不常喝酒的原因第一次喝的有点猛了喝完脸热发晕过了一会就好了，第二次喝就是脸有点热，反正挺好喝的</t>
        </is>
      </c>
      <c r="F248" t="inlineStr">
        <is>
          <t>品牌：RIO锐澳｜商品/规格：【330ml*5罐】清爽4罐+强爽1罐｜SKU：706647394198</t>
        </is>
      </c>
      <c r="G248" t="inlineStr">
        <is>
          <t>淘宝</t>
        </is>
      </c>
      <c r="H248" s="2" t="str">
        <f>=HYPERLINK("https://detail.tmall.com/item.htm?id=706647394198", "https://detail.tmall.com/item.htm?id=706647394198")</f>
        <v>https://detail.tmall.com/item.htm?id=706647394198</v>
      </c>
      <c r="I248" s="3">
        <v>46233</v>
      </c>
      <c r="J248" s="4">
        <v>46243</v>
      </c>
      <c r="K248" t="inlineStr">
        <is>
          <t>RIO 锐澳 鸡尾酒 商品评价</t>
        </is>
      </c>
      <c r="L248"/>
      <c r="M248" t="inlineStr">
        <is>
          <t>TB-U-20260809-011</t>
        </is>
      </c>
      <c r="N248" t="inlineStr">
        <is>
          <t>公开评论</t>
        </is>
      </c>
      <c r="O248"/>
      <c r="P248" t="inlineStr">
        <is>
          <t>情绪粗标：中性；主题粗标：强爽；饮后脸热；发晕；身体负担；不常喝酒；天猫RIO锐澳旗舰店商品评价；已排除商家回复与用户名；评价页未展示评论点赞/有用数，点赞数留空</t>
        </is>
      </c>
      <c r="Q248" t="inlineStr">
        <is>
          <t>竞品</t>
        </is>
      </c>
      <c r="R248"/>
      <c r="S248"/>
    </row>
    <row r="249" ht="25.5" customHeight="1">
      <c r="A249" t="inlineStr">
        <is>
          <t>TB-20260809-012</t>
        </is>
      </c>
      <c r="B249" t="inlineStr">
        <is>
          <t>竞品产品体验反馈</t>
        </is>
      </c>
      <c r="C249" t="inlineStr">
        <is>
          <t>PRJ001</t>
        </is>
      </c>
      <c r="D249" t="inlineStr">
        <is>
          <t>RIO锐澳｜强爽系列多口味8度330ml*6罐</t>
        </is>
      </c>
      <c r="E249" t="inlineStr">
        <is>
          <t>这家的鸡尾酒真的超出预期！颜值精致，鲜果装饰氛围感拉满。入口满是新鲜果香，酸甜比例恰到好处，酒味柔和不冲喉，薄荷与青柠的清爽在舌尖散开，层次细腻顺滑。调酒师把控得很好，没有齁甜的工业糖浆味，冰量刚好，慢慢抿一口舒缓又治愈。和朋友小酌超合适，微醺感刚刚好，已经列入无限回购清单！</t>
        </is>
      </c>
      <c r="F249" t="inlineStr">
        <is>
          <t>品牌：RIO锐澳｜商品/规格：强爽系列多口味8度330ml*6罐｜SKU：678637031500</t>
        </is>
      </c>
      <c r="G249" t="inlineStr">
        <is>
          <t>淘宝</t>
        </is>
      </c>
      <c r="H249" s="2" t="str">
        <f>=HYPERLINK("https://chaoshi.detail.tmall.com/item.htm?id=678637031500", "https://chaoshi.detail.tmall.com/item.htm?id=678637031500")</f>
        <v>https://chaoshi.detail.tmall.com/item.htm?id=678637031500</v>
      </c>
      <c r="I249" s="3">
        <v>46194</v>
      </c>
      <c r="J249" s="4">
        <v>46243</v>
      </c>
      <c r="K249" t="inlineStr">
        <is>
          <t>RIO 锐澳 鸡尾酒 商品评价</t>
        </is>
      </c>
      <c r="L249"/>
      <c r="M249" t="inlineStr">
        <is>
          <t>TB-U-20260809-012</t>
        </is>
      </c>
      <c r="N249" t="inlineStr">
        <is>
          <t>公开评论</t>
        </is>
      </c>
      <c r="O249"/>
      <c r="P249" t="inlineStr">
        <is>
          <t>情绪粗标：正面；主题粗标：果香；酸甜度；酒精感；入口感；层次；冰饮；朋友小酌；回购；天猫超市商品评价；未记录用户名；评价页未展示评论点赞/有用数，点赞数留空；疑似模板化表达，仅作为原始语料导入，表2需人工复核</t>
        </is>
      </c>
      <c r="Q249" t="inlineStr">
        <is>
          <t>竞品</t>
        </is>
      </c>
      <c r="R249"/>
      <c r="S249"/>
    </row>
    <row r="250" ht="25.5" customHeight="1">
      <c r="A250" t="inlineStr">
        <is>
          <t>TB-20260809-013</t>
        </is>
      </c>
      <c r="B250" t="inlineStr">
        <is>
          <t>竞品产品体验反馈</t>
        </is>
      </c>
      <c r="C250" t="inlineStr">
        <is>
          <t>PRJ001</t>
        </is>
      </c>
      <c r="D250" t="inlineStr">
        <is>
          <t>RIO锐澳｜强爽系列多口味8度330ml*6罐</t>
        </is>
      </c>
      <c r="E250" t="inlineStr">
        <is>
          <t>配料健康 整体评价：给到一个夯 包装品质：天猫包装特别好 口感味道：冰镇后口感极佳</t>
        </is>
      </c>
      <c r="F250" t="inlineStr">
        <is>
          <t>品牌：RIO锐澳｜商品/规格：强爽系列多口味8度330ml*6罐｜SKU：678637031500</t>
        </is>
      </c>
      <c r="G250" t="inlineStr">
        <is>
          <t>淘宝</t>
        </is>
      </c>
      <c r="H250" s="2" t="str">
        <f>=HYPERLINK("https://chaoshi.detail.tmall.com/item.htm?id=678637031500", "https://chaoshi.detail.tmall.com/item.htm?id=678637031500")</f>
        <v>https://chaoshi.detail.tmall.com/item.htm?id=678637031500</v>
      </c>
      <c r="I250" s="3">
        <v>46195</v>
      </c>
      <c r="J250" s="4">
        <v>46243</v>
      </c>
      <c r="K250" t="inlineStr">
        <is>
          <t>RIO 锐澳 鸡尾酒 商品评价</t>
        </is>
      </c>
      <c r="L250"/>
      <c r="M250" t="inlineStr">
        <is>
          <t>TB-U-20260809-013</t>
        </is>
      </c>
      <c r="N250" t="inlineStr">
        <is>
          <t>公开评论</t>
        </is>
      </c>
      <c r="O250"/>
      <c r="P250" t="inlineStr">
        <is>
          <t>情绪粗标：正面；主题粗标：配料；包装；冰镇；天猫超市商品评价；未记录用户名；评价页未展示评论点赞/有用数，点赞数留空</t>
        </is>
      </c>
      <c r="Q250" t="inlineStr">
        <is>
          <t>竞品</t>
        </is>
      </c>
      <c r="R250"/>
      <c r="S250"/>
    </row>
    <row r="251" ht="25.5" customHeight="1">
      <c r="A251" t="inlineStr">
        <is>
          <t>TB-20260809-014</t>
        </is>
      </c>
      <c r="B251" t="inlineStr">
        <is>
          <t>竞品产品体验反馈</t>
        </is>
      </c>
      <c r="C251" t="inlineStr">
        <is>
          <t>PRJ001</t>
        </is>
      </c>
      <c r="D251" t="inlineStr">
        <is>
          <t>RIO锐澳｜强爽系列多口味8度330ml*6罐</t>
        </is>
      </c>
      <c r="E251" t="inlineStr">
        <is>
          <t>一直都很喜欢rio酒，以前是微醺，现在是8度，真的很不错，感觉睡眠都好了很多</t>
        </is>
      </c>
      <c r="F251" t="inlineStr">
        <is>
          <t>品牌：RIO锐澳｜商品/规格：强爽系列多口味8度330ml*6罐｜SKU：678637031500</t>
        </is>
      </c>
      <c r="G251" t="inlineStr">
        <is>
          <t>淘宝</t>
        </is>
      </c>
      <c r="H251" s="2" t="str">
        <f>=HYPERLINK("https://chaoshi.detail.tmall.com/item.htm?id=678637031500", "https://chaoshi.detail.tmall.com/item.htm?id=678637031500")</f>
        <v>https://chaoshi.detail.tmall.com/item.htm?id=678637031500</v>
      </c>
      <c r="I251" s="3">
        <v>46191</v>
      </c>
      <c r="J251" s="4">
        <v>46243</v>
      </c>
      <c r="K251" t="inlineStr">
        <is>
          <t>RIO 锐澳 鸡尾酒 商品评价</t>
        </is>
      </c>
      <c r="L251"/>
      <c r="M251" t="inlineStr">
        <is>
          <t>TB-U-20260809-014</t>
        </is>
      </c>
      <c r="N251" t="inlineStr">
        <is>
          <t>公开评论</t>
        </is>
      </c>
      <c r="O251"/>
      <c r="P251" t="inlineStr">
        <is>
          <t>情绪粗标：中性；主题粗标：微醺与8度比较；酒精感；睡眠感受；天猫超市商品评价；未记录用户名；评价页未展示评论点赞/有用数，点赞数留空</t>
        </is>
      </c>
      <c r="Q251" t="inlineStr">
        <is>
          <t>竞品</t>
        </is>
      </c>
      <c r="R251"/>
      <c r="S251"/>
    </row>
    <row r="252" ht="25.5" customHeight="1">
      <c r="A252" t="inlineStr">
        <is>
          <t>TB-20260809-015</t>
        </is>
      </c>
      <c r="B252" t="inlineStr">
        <is>
          <t>竞品产品体验反馈</t>
        </is>
      </c>
      <c r="C252" t="inlineStr">
        <is>
          <t>PRJ001</t>
        </is>
      </c>
      <c r="D252" t="inlineStr">
        <is>
          <t>RIO锐澳｜强爽系列多口味8度330ml*6罐</t>
        </is>
      </c>
      <c r="E252" t="inlineStr">
        <is>
          <t>真实果汁+纯净伏特加，酸甜平衡、气泡绵密，顺滑不呛口。温柔果味藏着利落后劲，微醺不头疼、放松不难受，氛围感直接拉满，无限回购！</t>
        </is>
      </c>
      <c r="F252" t="inlineStr">
        <is>
          <t>品牌：RIO锐澳｜商品/规格：强爽系列多口味8度330ml*6罐｜SKU：678637031500</t>
        </is>
      </c>
      <c r="G252" t="inlineStr">
        <is>
          <t>淘宝</t>
        </is>
      </c>
      <c r="H252" s="2" t="str">
        <f>=HYPERLINK("https://chaoshi.detail.tmall.com/item.htm?id=678637031500", "https://chaoshi.detail.tmall.com/item.htm?id=678637031500")</f>
        <v>https://chaoshi.detail.tmall.com/item.htm?id=678637031500</v>
      </c>
      <c r="I252" s="3">
        <v>46189</v>
      </c>
      <c r="J252" s="4">
        <v>46243</v>
      </c>
      <c r="K252" t="inlineStr">
        <is>
          <t>RIO 锐澳 鸡尾酒 商品评价</t>
        </is>
      </c>
      <c r="L252"/>
      <c r="M252" t="inlineStr">
        <is>
          <t>TB-U-20260809-015</t>
        </is>
      </c>
      <c r="N252" t="inlineStr">
        <is>
          <t>公开评论</t>
        </is>
      </c>
      <c r="O252"/>
      <c r="P252" t="inlineStr">
        <is>
          <t>情绪粗标：正面；主题粗标：配料；酸甜度；气泡；入口感；后劲；不头疼；身体负担；回购；天猫超市商品评价；未记录用户名；评价页未展示评论点赞/有用数，点赞数留空；疑似模板化表达，仅作为原始语料导入，表2需人工复核</t>
        </is>
      </c>
      <c r="Q252" t="inlineStr">
        <is>
          <t>竞品</t>
        </is>
      </c>
      <c r="R252"/>
      <c r="S252"/>
    </row>
    <row r="253" ht="25.5" customHeight="1">
      <c r="A253" t="inlineStr">
        <is>
          <t>TB-20260809-017</t>
        </is>
      </c>
      <c r="B253" t="inlineStr">
        <is>
          <t>竞品产品体验反馈</t>
        </is>
      </c>
      <c r="C253" t="inlineStr">
        <is>
          <t>PRJ001</t>
        </is>
      </c>
      <c r="D253" t="inlineStr">
        <is>
          <t>RIO锐澳｜强爽系列多口味8度330ml*6罐</t>
        </is>
      </c>
      <c r="E253" t="inlineStr">
        <is>
          <t>很好喝的rio强爽鸡尾酒，口感很好，后劲很足，喝起来很舒服！</t>
        </is>
      </c>
      <c r="F253" t="inlineStr">
        <is>
          <t>品牌：RIO锐澳｜商品/规格：强爽系列多口味8度330ml*6罐｜SKU：678637031500</t>
        </is>
      </c>
      <c r="G253" t="inlineStr">
        <is>
          <t>淘宝</t>
        </is>
      </c>
      <c r="H253" s="2" t="str">
        <f>=HYPERLINK("https://chaoshi.detail.tmall.com/item.htm?id=678637031500", "https://chaoshi.detail.tmall.com/item.htm?id=678637031500")</f>
        <v>https://chaoshi.detail.tmall.com/item.htm?id=678637031500</v>
      </c>
      <c r="I253" s="3">
        <v>46228</v>
      </c>
      <c r="J253" s="4">
        <v>46243</v>
      </c>
      <c r="K253" t="inlineStr">
        <is>
          <t>RIO 锐澳 鸡尾酒 商品评价</t>
        </is>
      </c>
      <c r="L253"/>
      <c r="M253" t="inlineStr">
        <is>
          <t>TB-U-20260809-017</t>
        </is>
      </c>
      <c r="N253" t="inlineStr">
        <is>
          <t>公开评论</t>
        </is>
      </c>
      <c r="O253"/>
      <c r="P253" t="inlineStr">
        <is>
          <t>情绪粗标：中性；主题粗标：入口感；后劲足；身体感受；天猫超市商品评价；未记录用户名；评价页未展示评论点赞/有用数，点赞数留空</t>
        </is>
      </c>
      <c r="Q253" t="inlineStr">
        <is>
          <t>竞品</t>
        </is>
      </c>
      <c r="R253"/>
      <c r="S253"/>
    </row>
    <row r="254" ht="25.5" customHeight="1">
      <c r="A254" t="inlineStr">
        <is>
          <t>TB-20260809-019</t>
        </is>
      </c>
      <c r="B254" t="inlineStr">
        <is>
          <t>竞品产品体验反馈</t>
        </is>
      </c>
      <c r="C254" t="inlineStr">
        <is>
          <t>PRJ001</t>
        </is>
      </c>
      <c r="D254" t="inlineStr">
        <is>
          <t>RIO锐澳｜强爽系列多口味8度330ml*6罐</t>
        </is>
      </c>
      <c r="E254" t="inlineStr">
        <is>
          <t>两个口味都是我喜欢的水果味道，喜欢喝，味道好，姐妹一起微醺正好。</t>
        </is>
      </c>
      <c r="F254" t="inlineStr">
        <is>
          <t>品牌：RIO锐澳｜商品/规格：强爽系列多口味8度330ml*6罐｜SKU：678637031500</t>
        </is>
      </c>
      <c r="G254" t="inlineStr">
        <is>
          <t>淘宝</t>
        </is>
      </c>
      <c r="H254" s="2" t="str">
        <f>=HYPERLINK("https://chaoshi.detail.tmall.com/item.htm?id=678637031500", "https://chaoshi.detail.tmall.com/item.htm?id=678637031500")</f>
        <v>https://chaoshi.detail.tmall.com/item.htm?id=678637031500</v>
      </c>
      <c r="I254" s="3">
        <v>46195</v>
      </c>
      <c r="J254" s="4">
        <v>46243</v>
      </c>
      <c r="K254" t="inlineStr">
        <is>
          <t>RIO 锐澳 鸡尾酒 商品评价</t>
        </is>
      </c>
      <c r="L254"/>
      <c r="M254" t="inlineStr">
        <is>
          <t>TB-U-20260809-019</t>
        </is>
      </c>
      <c r="N254" t="inlineStr">
        <is>
          <t>公开评论</t>
        </is>
      </c>
      <c r="O254"/>
      <c r="P254" t="inlineStr">
        <is>
          <t>情绪粗标：正面；主题粗标：水果味；姐妹小酌；微醺；天猫超市商品评价；未记录用户名；评价页未展示评论点赞/有用数，点赞数留空</t>
        </is>
      </c>
      <c r="Q254" t="inlineStr">
        <is>
          <t>竞品</t>
        </is>
      </c>
      <c r="R254"/>
      <c r="S254"/>
    </row>
    <row r="255" ht="25.5" customHeight="1">
      <c r="A255" t="inlineStr">
        <is>
          <t>TB-20260809-020</t>
        </is>
      </c>
      <c r="B255" t="inlineStr">
        <is>
          <t>竞品产品体验反馈</t>
        </is>
      </c>
      <c r="C255" t="inlineStr">
        <is>
          <t>PRJ001</t>
        </is>
      </c>
      <c r="D255" t="inlineStr">
        <is>
          <t>RIO锐澳｜强爽系列多口味8度330ml*6罐</t>
        </is>
      </c>
      <c r="E255" t="inlineStr">
        <is>
          <t>锐奥鸡尾酒6个味道的，朋友聚会不错的选择。</t>
        </is>
      </c>
      <c r="F255" t="inlineStr">
        <is>
          <t>品牌：RIO锐澳｜商品/规格：强爽系列多口味8度330ml*6罐｜SKU：678637031500</t>
        </is>
      </c>
      <c r="G255" t="inlineStr">
        <is>
          <t>淘宝</t>
        </is>
      </c>
      <c r="H255" s="2" t="str">
        <f>=HYPERLINK("https://chaoshi.detail.tmall.com/item.htm?id=678637031500", "https://chaoshi.detail.tmall.com/item.htm?id=678637031500")</f>
        <v>https://chaoshi.detail.tmall.com/item.htm?id=678637031500</v>
      </c>
      <c r="I255" s="3">
        <v>46195</v>
      </c>
      <c r="J255" s="4">
        <v>46243</v>
      </c>
      <c r="K255" t="inlineStr">
        <is>
          <t>RIO 锐澳 鸡尾酒 商品评价</t>
        </is>
      </c>
      <c r="L255"/>
      <c r="M255" t="inlineStr">
        <is>
          <t>TB-U-20260809-020</t>
        </is>
      </c>
      <c r="N255" t="inlineStr">
        <is>
          <t>公开评论</t>
        </is>
      </c>
      <c r="O255"/>
      <c r="P255" t="inlineStr">
        <is>
          <t>情绪粗标：正面；主题粗标：六种口味；朋友聚会；天猫超市商品评价；未记录用户名；评价页未展示评论点赞/有用数，点赞数留空</t>
        </is>
      </c>
      <c r="Q255" t="inlineStr">
        <is>
          <t>竞品</t>
        </is>
      </c>
      <c r="R255"/>
      <c r="S255"/>
    </row>
    <row r="256" ht="25.5" customHeight="1">
      <c r="A256" t="inlineStr">
        <is>
          <t>TB-20260809-021</t>
        </is>
      </c>
      <c r="B256" t="inlineStr">
        <is>
          <t>竞品产品体验反馈</t>
        </is>
      </c>
      <c r="C256" t="inlineStr">
        <is>
          <t>PRJ001</t>
        </is>
      </c>
      <c r="D256" t="inlineStr">
        <is>
          <t>RIO锐澳｜强爽系列多口味8度330ml*6罐</t>
        </is>
      </c>
      <c r="E256" t="inlineStr">
        <is>
          <t>酒液质量：日期很新喜欢 整体评价：口味多样化，可以品尝多种味道</t>
        </is>
      </c>
      <c r="F256" t="inlineStr">
        <is>
          <t>品牌：RIO锐澳｜商品/规格：强爽系列多口味8度330ml*6罐｜SKU：678637031500</t>
        </is>
      </c>
      <c r="G256" t="inlineStr">
        <is>
          <t>淘宝</t>
        </is>
      </c>
      <c r="H256" s="2" t="str">
        <f>=HYPERLINK("https://chaoshi.detail.tmall.com/item.htm?id=678637031500", "https://chaoshi.detail.tmall.com/item.htm?id=678637031500")</f>
        <v>https://chaoshi.detail.tmall.com/item.htm?id=678637031500</v>
      </c>
      <c r="I256" s="3">
        <v>46180</v>
      </c>
      <c r="J256" s="4">
        <v>46243</v>
      </c>
      <c r="K256" t="inlineStr">
        <is>
          <t>RIO 锐澳 鸡尾酒 商品评价</t>
        </is>
      </c>
      <c r="L256"/>
      <c r="M256" t="inlineStr">
        <is>
          <t>TB-U-20260809-021</t>
        </is>
      </c>
      <c r="N256" t="inlineStr">
        <is>
          <t>公开评论</t>
        </is>
      </c>
      <c r="O256"/>
      <c r="P256" t="inlineStr">
        <is>
          <t>情绪粗标：正面；主题粗标：日期新鲜；多口味尝鲜；天猫超市商品评价；未记录用户名；评价页未展示评论点赞/有用数，点赞数留空</t>
        </is>
      </c>
      <c r="Q256" t="inlineStr">
        <is>
          <t>竞品</t>
        </is>
      </c>
      <c r="R256"/>
      <c r="S256"/>
    </row>
    <row r="257" ht="25.5" customHeight="1">
      <c r="A257" t="inlineStr">
        <is>
          <t>TB-20260809-022</t>
        </is>
      </c>
      <c r="B257" t="inlineStr">
        <is>
          <t>竞品产品体验反馈</t>
        </is>
      </c>
      <c r="C257" t="inlineStr">
        <is>
          <t>PRJ001</t>
        </is>
      </c>
      <c r="D257" t="inlineStr">
        <is>
          <t>昆竹牌｜甜润可口经典微醺13度450ml</t>
        </is>
      </c>
      <c r="E257" t="inlineStr">
        <is>
          <t>一个不爱喝酒的人士第一次主动买了酒来尝尝，一下就给我尝到味了，虽说是青梅酒，但不像其他的喝着没啥酒味，这个是酸甜适度，也有酒的涩，综合起来很平衡，纯喝或者调一点冰红茶都挺好喝的，现在一到周末就会小酌一杯🥃</t>
        </is>
      </c>
      <c r="F257" t="inlineStr">
        <is>
          <t>品牌：昆竹牌｜商品/规格：甜润可口经典微醺13度450ml｜SKU：621878412430</t>
        </is>
      </c>
      <c r="G257" t="inlineStr">
        <is>
          <t>淘宝</t>
        </is>
      </c>
      <c r="H257" s="2" t="str">
        <f>=HYPERLINK("https://detail.tmall.com/item.htm?id=621878412430", "https://detail.tmall.com/item.htm?id=621878412430")</f>
        <v>https://detail.tmall.com/item.htm?id=621878412430</v>
      </c>
      <c r="I257" s="3">
        <v>46236</v>
      </c>
      <c r="J257" s="4">
        <v>46243</v>
      </c>
      <c r="K257" t="inlineStr">
        <is>
          <t>昆竹 青梅酒 商品评价</t>
        </is>
      </c>
      <c r="L257"/>
      <c r="M257" t="inlineStr">
        <is>
          <t>TB-U-20260809-022</t>
        </is>
      </c>
      <c r="N257" t="inlineStr">
        <is>
          <t>公开评论</t>
        </is>
      </c>
      <c r="O257"/>
      <c r="P257" t="inlineStr">
        <is>
          <t>情绪粗标：中性；主题粗标：酸甜度；酒精感；入口感；调配方法；饮用场景；昆竹牌旗舰店商品评价；未记录用户名；评价页未展示评论点赞/有用数，点赞数留空</t>
        </is>
      </c>
      <c r="Q257" t="inlineStr">
        <is>
          <t>竞品</t>
        </is>
      </c>
      <c r="R257"/>
      <c r="S257"/>
    </row>
    <row r="258" ht="25.5" customHeight="1">
      <c r="A258" t="inlineStr">
        <is>
          <t>TB-20260809-025</t>
        </is>
      </c>
      <c r="B258" t="inlineStr">
        <is>
          <t>竞品产品体验反馈</t>
        </is>
      </c>
      <c r="C258" t="inlineStr">
        <is>
          <t>PRJ001</t>
        </is>
      </c>
      <c r="D258" t="inlineStr">
        <is>
          <t>昆竹牌｜甜润可口经典微醺13度450ml</t>
        </is>
      </c>
      <c r="E258" t="inlineStr">
        <is>
          <t>味道挺正，像黄酒，不是那种伏特加，不上头，不呛扣，还想尝试一下另外一种，</t>
        </is>
      </c>
      <c r="F258" t="inlineStr">
        <is>
          <t>品牌：昆竹牌｜商品/规格：甜润可口经典微醺13度450ml｜SKU：621878412430</t>
        </is>
      </c>
      <c r="G258" t="inlineStr">
        <is>
          <t>淘宝</t>
        </is>
      </c>
      <c r="H258" s="2" t="str">
        <f>=HYPERLINK("https://detail.tmall.com/item.htm?id=621878412430", "https://detail.tmall.com/item.htm?id=621878412430")</f>
        <v>https://detail.tmall.com/item.htm?id=621878412430</v>
      </c>
      <c r="I258" s="3">
        <v>46198</v>
      </c>
      <c r="J258" s="4">
        <v>46243</v>
      </c>
      <c r="K258" t="inlineStr">
        <is>
          <t>昆竹 青梅酒 商品评价</t>
        </is>
      </c>
      <c r="L258"/>
      <c r="M258" t="inlineStr">
        <is>
          <t>TB-U-20260809-025</t>
        </is>
      </c>
      <c r="N258" t="inlineStr">
        <is>
          <t>公开评论</t>
        </is>
      </c>
      <c r="O258"/>
      <c r="P258" t="inlineStr">
        <is>
          <t>情绪粗标：中性；主题粗标：酒类比较；是否上头；入口感；购买意向；昆竹牌旗舰店商品评价；未记录用户名；评价页未展示评论点赞/有用数，点赞数留空</t>
        </is>
      </c>
      <c r="Q258" t="inlineStr">
        <is>
          <t>竞品</t>
        </is>
      </c>
      <c r="R258"/>
      <c r="S258"/>
    </row>
    <row r="259" ht="25.5" customHeight="1">
      <c r="A259" t="inlineStr">
        <is>
          <t>TB-20260809-027</t>
        </is>
      </c>
      <c r="B259" t="inlineStr">
        <is>
          <t>竞品产品体验反馈</t>
        </is>
      </c>
      <c r="C259" t="inlineStr">
        <is>
          <t>PRJ001</t>
        </is>
      </c>
      <c r="D259" t="inlineStr">
        <is>
          <t>昆竹牌｜酒版组合100ml*4瓶</t>
        </is>
      </c>
      <c r="E259" t="inlineStr">
        <is>
          <t>四个放在一起好可爱，右一是端庄的梅子酒味道，右二高度数的口味重，昆竹低糖略涩口，梅子味重，左一低糖味道更干净；除了高度数，我觉得都不错；</t>
        </is>
      </c>
      <c r="F259" t="inlineStr">
        <is>
          <t>品牌：昆竹牌｜商品/规格：酒版组合100ml*4瓶｜SKU：621878412430</t>
        </is>
      </c>
      <c r="G259" t="inlineStr">
        <is>
          <t>淘宝</t>
        </is>
      </c>
      <c r="H259" s="2" t="str">
        <f>=HYPERLINK("https://detail.tmall.com/item.htm?id=621878412430", "https://detail.tmall.com/item.htm?id=621878412430")</f>
        <v>https://detail.tmall.com/item.htm?id=621878412430</v>
      </c>
      <c r="I259" s="3">
        <v>46187</v>
      </c>
      <c r="J259" s="4">
        <v>46243</v>
      </c>
      <c r="K259" t="inlineStr">
        <is>
          <t>昆竹 青梅酒 商品评价</t>
        </is>
      </c>
      <c r="L259"/>
      <c r="M259" t="inlineStr">
        <is>
          <t>TB-U-20260809-027</t>
        </is>
      </c>
      <c r="N259" t="inlineStr">
        <is>
          <t>公开评论</t>
        </is>
      </c>
      <c r="O259"/>
      <c r="P259" t="inlineStr">
        <is>
          <t>情绪粗标：中性；主题粗标：多口味比较；酒精感；甜度；涩感；梅味；昆竹牌旗舰店商品评价；未记录用户名；评价页未展示评论点赞/有用数，点赞数留空</t>
        </is>
      </c>
      <c r="Q259" t="inlineStr">
        <is>
          <t>竞品</t>
        </is>
      </c>
      <c r="R259"/>
      <c r="S259"/>
    </row>
    <row r="260" ht="25.5" customHeight="1">
      <c r="A260" t="inlineStr">
        <is>
          <t>TB-20260809-028</t>
        </is>
      </c>
      <c r="B260" t="inlineStr">
        <is>
          <t>竞品产品体验反馈</t>
        </is>
      </c>
      <c r="C260" t="inlineStr">
        <is>
          <t>PRJ001</t>
        </is>
      </c>
      <c r="D260" t="inlineStr">
        <is>
          <t>昆竹牌｜甜润可口经典微醺13度450ml</t>
        </is>
      </c>
      <c r="E260" t="inlineStr">
        <is>
          <t>青梅酒，第一次买这个品牌的，尝尝鲜试一试味道。果然是酒，不是果汁哈。有一定度数。</t>
        </is>
      </c>
      <c r="F260" t="inlineStr">
        <is>
          <t>品牌：昆竹牌｜商品/规格：甜润可口经典微醺13度450ml｜SKU：621878412430</t>
        </is>
      </c>
      <c r="G260" t="inlineStr">
        <is>
          <t>淘宝</t>
        </is>
      </c>
      <c r="H260" s="2" t="str">
        <f>=HYPERLINK("https://detail.tmall.com/item.htm?id=621878412430", "https://detail.tmall.com/item.htm?id=621878412430")</f>
        <v>https://detail.tmall.com/item.htm?id=621878412430</v>
      </c>
      <c r="I260" s="3">
        <v>46190</v>
      </c>
      <c r="J260" s="4">
        <v>46243</v>
      </c>
      <c r="K260" t="inlineStr">
        <is>
          <t>昆竹 青梅酒 商品评价</t>
        </is>
      </c>
      <c r="L260"/>
      <c r="M260" t="inlineStr">
        <is>
          <t>TB-U-20260809-028</t>
        </is>
      </c>
      <c r="N260" t="inlineStr">
        <is>
          <t>公开评论</t>
        </is>
      </c>
      <c r="O260"/>
      <c r="P260" t="inlineStr">
        <is>
          <t>情绪粗标：中性；主题粗标：购买动机；酒精感；品类认知；昆竹牌旗舰店商品评价；未记录用户名；评价页未展示评论点赞/有用数，点赞数留空</t>
        </is>
      </c>
      <c r="Q260" t="inlineStr">
        <is>
          <t>竞品</t>
        </is>
      </c>
      <c r="R260"/>
      <c r="S260"/>
    </row>
    <row r="261" ht="25.5" customHeight="1">
      <c r="A261" t="inlineStr">
        <is>
          <t>TB-20260809-029</t>
        </is>
      </c>
      <c r="B261" t="inlineStr">
        <is>
          <t>竞品产品体验反馈</t>
        </is>
      </c>
      <c r="C261" t="inlineStr">
        <is>
          <t>PRJ001</t>
        </is>
      </c>
      <c r="D261" t="inlineStr">
        <is>
          <t>昆竹牌｜甜润可口经典微醺13度450ml</t>
        </is>
      </c>
      <c r="E261" t="inlineStr">
        <is>
          <t>味道比较清新，能加点桂花之类的风味会好一些。</t>
        </is>
      </c>
      <c r="F261" t="inlineStr">
        <is>
          <t>品牌：昆竹牌｜商品/规格：甜润可口经典微醺13度450ml｜SKU：621878412430</t>
        </is>
      </c>
      <c r="G261" t="inlineStr">
        <is>
          <t>淘宝</t>
        </is>
      </c>
      <c r="H261" s="2" t="str">
        <f>=HYPERLINK("https://detail.tmall.com/item.htm?id=621878412430", "https://detail.tmall.com/item.htm?id=621878412430")</f>
        <v>https://detail.tmall.com/item.htm?id=621878412430</v>
      </c>
      <c r="I261" s="3">
        <v>46237</v>
      </c>
      <c r="J261" s="4">
        <v>46243</v>
      </c>
      <c r="K261" t="inlineStr">
        <is>
          <t>昆竹 青梅酒 商品评价</t>
        </is>
      </c>
      <c r="L261"/>
      <c r="M261" t="inlineStr">
        <is>
          <t>TB-U-20260809-029</t>
        </is>
      </c>
      <c r="N261" t="inlineStr">
        <is>
          <t>公开评论</t>
        </is>
      </c>
      <c r="O261"/>
      <c r="P261" t="inlineStr">
        <is>
          <t>情绪粗标：中性；主题粗标：风味；香气；改进期待；昆竹牌旗舰店商品评价；未记录用户名；评价页未展示评论点赞/有用数，点赞数留空</t>
        </is>
      </c>
      <c r="Q261" t="inlineStr">
        <is>
          <t>竞品</t>
        </is>
      </c>
      <c r="R261"/>
      <c r="S261"/>
    </row>
    <row r="262" ht="25.5" customHeight="1">
      <c r="A262" t="inlineStr">
        <is>
          <t>TB-20260809-030</t>
        </is>
      </c>
      <c r="B262" t="inlineStr">
        <is>
          <t>竞品产品体验反馈</t>
        </is>
      </c>
      <c r="C262" t="inlineStr">
        <is>
          <t>PRJ001</t>
        </is>
      </c>
      <c r="D262" t="inlineStr">
        <is>
          <t>昆竹牌｜甜润可口经典微醺13度450ml</t>
        </is>
      </c>
      <c r="E262" t="inlineStr">
        <is>
          <t>本来想自己泡青梅酒的，天气太热怕买回来青梅坏了，先买成品青梅酒尝尝味道，还不错，刚入口有点红酒味，然后品一品有青梅，还有点杏仁味。配料表挺干净。过两天再尝尝白金款。</t>
        </is>
      </c>
      <c r="F262" t="inlineStr">
        <is>
          <t>品牌：昆竹牌｜商品/规格：甜润可口经典微醺13度450ml｜SKU：621878412430</t>
        </is>
      </c>
      <c r="G262" t="inlineStr">
        <is>
          <t>淘宝</t>
        </is>
      </c>
      <c r="H262" s="2" t="str">
        <f>=HYPERLINK("https://detail.tmall.com/item.htm?id=621878412430", "https://detail.tmall.com/item.htm?id=621878412430")</f>
        <v>https://detail.tmall.com/item.htm?id=621878412430</v>
      </c>
      <c r="I262" s="3">
        <v>46187</v>
      </c>
      <c r="J262" s="4">
        <v>46243</v>
      </c>
      <c r="K262" t="inlineStr">
        <is>
          <t>昆竹 青梅酒 商品评价</t>
        </is>
      </c>
      <c r="L262"/>
      <c r="M262" t="inlineStr">
        <is>
          <t>TB-U-20260809-030</t>
        </is>
      </c>
      <c r="N262" t="inlineStr">
        <is>
          <t>公开评论</t>
        </is>
      </c>
      <c r="O262"/>
      <c r="P262" t="inlineStr">
        <is>
          <t>情绪粗标：中性；主题粗标：购买动机；入口感；香气；配料；款式尝试；昆竹牌旗舰店商品评价；未记录用户名；评价页未展示评论点赞/有用数，点赞数留空</t>
        </is>
      </c>
      <c r="Q262" t="inlineStr">
        <is>
          <t>竞品</t>
        </is>
      </c>
      <c r="R262"/>
      <c r="S262"/>
    </row>
    <row r="263" ht="25.5" customHeight="1">
      <c r="A263" t="inlineStr">
        <is>
          <t>JD-20260809-032</t>
        </is>
      </c>
      <c r="B263" t="inlineStr">
        <is>
          <t>竞品产品体验反馈</t>
        </is>
      </c>
      <c r="C263" t="inlineStr">
        <is>
          <t>PRJ001</t>
        </is>
      </c>
      <c r="D263" t="inlineStr">
        <is>
          <t>RIO锐澳｜微醺268ml*6罐随机口味</t>
        </is>
      </c>
      <c r="E263" t="inlineStr">
        <is>
          <t>小瓶感觉瓶子的包装颜色不太对，但是味道还可以</t>
        </is>
      </c>
      <c r="F263" t="inlineStr">
        <is>
          <t>品牌：RIO锐澳｜商品/规格：微醺268ml*6罐随机口味｜SKU：10112125621688</t>
        </is>
      </c>
      <c r="G263" t="inlineStr">
        <is>
          <t>京东</t>
        </is>
      </c>
      <c r="H263" s="2" t="str">
        <f>=HYPERLINK("https://item.jd.com/10112125621688.html", "https://item.jd.com/10112125621688.html")</f>
        <v>https://item.jd.com/10112125621688.html</v>
      </c>
      <c r="I263" s="3">
        <v>46167</v>
      </c>
      <c r="J263" s="4">
        <v>46243</v>
      </c>
      <c r="K263" t="inlineStr">
        <is>
          <t>RIO 锐澳 鸡尾酒 商品评价</t>
        </is>
      </c>
      <c r="L263"/>
      <c r="M263" t="inlineStr">
        <is>
          <t>JD-U-20260809-032</t>
        </is>
      </c>
      <c r="N263" t="inlineStr">
        <is>
          <t>公开评论</t>
        </is>
      </c>
      <c r="O263"/>
      <c r="P263" t="inlineStr">
        <is>
          <t>情绪粗标：中性；主题粗标：包装颜色；味道；京东中评弹层核验；已排除商家回复与用户名；评价页未展示评论点赞/有用数，点赞数留空</t>
        </is>
      </c>
      <c r="Q263" t="inlineStr">
        <is>
          <t>竞品</t>
        </is>
      </c>
      <c r="R263"/>
      <c r="S263"/>
    </row>
    <row r="264" ht="25.5" customHeight="1">
      <c r="A264" t="inlineStr">
        <is>
          <t>JD-20260809-042</t>
        </is>
      </c>
      <c r="B264" t="inlineStr">
        <is>
          <t>竞品产品体验反馈</t>
        </is>
      </c>
      <c r="C264" t="inlineStr">
        <is>
          <t>PRJ001</t>
        </is>
      </c>
      <c r="D264" t="inlineStr">
        <is>
          <t>昆竹牌｜青梅酒白金版 375ml*6瓶</t>
        </is>
      </c>
      <c r="E264" t="inlineStr">
        <is>
          <t>这款青梅酒，之前喝过普通版本的，口感还不错，这次买了白金版回来试试，说是本格梅酒级别的
美中不足的是，收到货箱子是受潮发霉的，一股浓浓的霉味，原本想朋友送礼的，看来只能打开自己喝了，不能送人用了，平台应该加强包装吧，如果有包装受损或瑕疵，应该提前告知</t>
        </is>
      </c>
      <c r="F264" t="inlineStr">
        <is>
          <t>品牌：昆竹牌｜商品/规格：青梅酒白金版 375ml*6瓶｜SKU：100348071270</t>
        </is>
      </c>
      <c r="G264" t="inlineStr">
        <is>
          <t>京东</t>
        </is>
      </c>
      <c r="H264" s="2" t="str">
        <f>=HYPERLINK("https://item.jd.com/100348071270.html", "https://item.jd.com/100348071270.html")</f>
        <v>https://item.jd.com/100348071270.html</v>
      </c>
      <c r="I264" s="3">
        <v>46137</v>
      </c>
      <c r="J264" s="4">
        <v>46243</v>
      </c>
      <c r="K264" t="inlineStr">
        <is>
          <t>昆竹 青梅酒 商品评价</t>
        </is>
      </c>
      <c r="L264"/>
      <c r="M264" t="inlineStr">
        <is>
          <t>JD-U-20260809-042</t>
        </is>
      </c>
      <c r="N264" t="inlineStr">
        <is>
          <t>公开评论</t>
        </is>
      </c>
      <c r="O264"/>
      <c r="P264" t="inlineStr">
        <is>
          <t>情绪粗标：负面；主题粗标：版本比较；包装受潮发霉；礼赠失败；告知不足；京东商品评价弹层核验；已排除商家回复与用户名；评价页未展示评论点赞/有用数，点赞数留空</t>
        </is>
      </c>
      <c r="Q264" t="inlineStr">
        <is>
          <t>竞品</t>
        </is>
      </c>
      <c r="R264"/>
      <c r="S264"/>
    </row>
    <row r="265" ht="25.5" customHeight="1">
      <c r="A265" t="inlineStr">
        <is>
          <t>JD-20260809-045</t>
        </is>
      </c>
      <c r="B265" t="inlineStr">
        <is>
          <t>竞品产品体验反馈</t>
        </is>
      </c>
      <c r="C265" t="inlineStr">
        <is>
          <t>PRJ001</t>
        </is>
      </c>
      <c r="D265" t="inlineStr">
        <is>
          <t>RIO锐澳｜强爽500ml0糖多口味组合12罐装</t>
        </is>
      </c>
      <c r="E265" t="inlineStr">
        <is>
          <t>.RI0锐澳鸡尾酒，买的整箱混合口味的，本来打算送人的，但是只用泡沫箱装的，没有外包装箱，就自己喝了，0糖无负担，口感清爽易入口，微醺感恰到好处，适合健康控糖人群，是聚会小酌的不二之选</t>
        </is>
      </c>
      <c r="F265" t="inlineStr">
        <is>
          <t>品牌：RIO锐澳｜商品/规格：强爽500ml0糖多口味组合12罐装｜SKU：10115466070314</t>
        </is>
      </c>
      <c r="G265" t="inlineStr">
        <is>
          <t>京东</t>
        </is>
      </c>
      <c r="H265" s="2" t="str">
        <f>=HYPERLINK("https://item.jd.com/10115466070314.html", "https://item.jd.com/10115466070314.html")</f>
        <v>https://item.jd.com/10115466070314.html</v>
      </c>
      <c r="I265" s="3">
        <v>46058</v>
      </c>
      <c r="J265" s="4">
        <v>46243</v>
      </c>
      <c r="K265" t="inlineStr">
        <is>
          <t>RIO 锐澳 鸡尾酒 商品评价</t>
        </is>
      </c>
      <c r="L265"/>
      <c r="M265" t="inlineStr">
        <is>
          <t>JD-U-20260809-045</t>
        </is>
      </c>
      <c r="N265" t="inlineStr">
        <is>
          <t>公开评论</t>
        </is>
      </c>
      <c r="O265"/>
      <c r="P265" t="inlineStr">
        <is>
          <t>情绪粗标：中性；主题粗标：礼赠失败；无外箱；0糖；身体负担；入口感；微醺；聚会；京东商品评价弹层核验；已排除商家回复与用户名；评价页未展示评论点赞/有用数，点赞数留空；疑似模板化表达，仅作为原始语料导入，表2需人工复核</t>
        </is>
      </c>
      <c r="Q265" t="inlineStr">
        <is>
          <t>竞品</t>
        </is>
      </c>
      <c r="R265"/>
      <c r="S265"/>
    </row>
    <row r="266" ht="25.5" customHeight="1">
      <c r="A266" t="inlineStr">
        <is>
          <t>JD-20260809-050</t>
        </is>
      </c>
      <c r="B266" t="inlineStr">
        <is>
          <t>竞品产品体验反馈</t>
        </is>
      </c>
      <c r="C266" t="inlineStr">
        <is>
          <t>PRJ001</t>
        </is>
      </c>
      <c r="D266" t="inlineStr">
        <is>
          <t>RIO锐澳｜强爽500*6罐 青提茉莉</t>
        </is>
      </c>
      <c r="E266" t="inlineStr">
        <is>
          <t>算都被压瘪过样，瓶身到处都是纹路，6瓶无一幸免。</t>
        </is>
      </c>
      <c r="F266" t="inlineStr">
        <is>
          <t>品牌：RIO锐澳｜商品/规格：强爽500*6罐 青提茉莉｜SKU：10115466070314</t>
        </is>
      </c>
      <c r="G266" t="inlineStr">
        <is>
          <t>京东</t>
        </is>
      </c>
      <c r="H266" s="2" t="str">
        <f>=HYPERLINK("https://item.jd.com/10115466070314.html", "https://item.jd.com/10115466070314.html")</f>
        <v>https://item.jd.com/10115466070314.html</v>
      </c>
      <c r="I266" s="3">
        <v>46057</v>
      </c>
      <c r="J266" s="4">
        <v>46243</v>
      </c>
      <c r="K266" t="inlineStr">
        <is>
          <t>RIO 锐澳 鸡尾酒 商品评价</t>
        </is>
      </c>
      <c r="L266"/>
      <c r="M266" t="inlineStr">
        <is>
          <t>JD-U-20260809-050</t>
        </is>
      </c>
      <c r="N266" t="inlineStr">
        <is>
          <t>公开评论</t>
        </is>
      </c>
      <c r="O266"/>
      <c r="P266" t="inlineStr">
        <is>
          <t>情绪粗标：负面；主题粗标：包装破损；罐体压瘪；京东商品评价弹层核验；已排除商家回复与用户名；评价页未展示评论点赞/有用数，点赞数留空</t>
        </is>
      </c>
      <c r="Q266" t="inlineStr">
        <is>
          <t>竞品</t>
        </is>
      </c>
      <c r="R266"/>
      <c r="S266"/>
    </row>
    <row r="267" ht="25.5" customHeight="1">
      <c r="A267" t="inlineStr">
        <is>
          <t>TB-20260809-005</t>
        </is>
      </c>
      <c r="B267" t="inlineStr">
        <is>
          <t>竞品产品体验反馈</t>
        </is>
      </c>
      <c r="C267" t="inlineStr">
        <is>
          <t>PRJ001</t>
        </is>
      </c>
      <c r="D267" t="inlineStr">
        <is>
          <t>CHOYA俏雅｜带梅子梅酒430ml+赠梅酒杯</t>
        </is>
      </c>
      <c r="E267" t="inlineStr">
        <is>
          <t>很好喝的梅子酒，送的杯子也很漂亮，继续回购</t>
        </is>
      </c>
      <c r="F267" t="inlineStr">
        <is>
          <t>品牌：CHOYA俏雅｜商品/规格：带梅子梅酒430ml+赠梅酒杯｜SKU：873823229086</t>
        </is>
      </c>
      <c r="G267" t="inlineStr">
        <is>
          <t>淘宝</t>
        </is>
      </c>
      <c r="H267" s="2" t="str">
        <f>=HYPERLINK("https://detail.tmall.com/item.htm?id=873823229086", "https://detail.tmall.com/item.htm?id=873823229086")</f>
        <v>https://detail.tmall.com/item.htm?id=873823229086</v>
      </c>
      <c r="I267" s="3">
        <v>46239</v>
      </c>
      <c r="J267" s="4">
        <v>46243</v>
      </c>
      <c r="K267" t="inlineStr">
        <is>
          <t>CHOYA 俏雅 梅酒 商品评价</t>
        </is>
      </c>
      <c r="L267"/>
      <c r="M267" t="inlineStr">
        <is>
          <t>TB-U-20260809-005</t>
        </is>
      </c>
      <c r="N267" t="inlineStr">
        <is>
          <t>公开评论</t>
        </is>
      </c>
      <c r="O267"/>
      <c r="P267" t="inlineStr">
        <is>
          <t>情绪粗标：正面；主题粗标：赠品酒杯；回购；天猫CHOYA旗舰店商品评价；未记录用户名；评价页未展示评论点赞/有用数，点赞数留空</t>
        </is>
      </c>
      <c r="Q267" t="inlineStr">
        <is>
          <t>竞品</t>
        </is>
      </c>
      <c r="R267"/>
      <c r="S267"/>
    </row>
    <row r="268" ht="25.5" customHeight="1">
      <c r="A268" t="inlineStr">
        <is>
          <t>XHS-SOC-0017</t>
        </is>
      </c>
      <c r="B268" t="inlineStr">
        <is>
          <t>竞品选择与替代理由</t>
        </is>
      </c>
      <c r="C268" t="inlineStr">
        <is>
          <t>PRJ001</t>
        </is>
      </c>
      <c r="D268" t="inlineStr">
        <is>
          <t>昆竹</t>
        </is>
      </c>
      <c r="E268" t="inlineStr">
        <is>
          <t>昆竹牌！广东龙门这边生产的真的很好喝，冰一下喝绝了，我觉得比梅见好喝</t>
        </is>
      </c>
      <c r="F268" t="inlineStr">
        <is>
          <t>除了梅见还有其他梅子酒推荐吗｜2025-07-04｜小红书</t>
        </is>
      </c>
      <c r="G268" t="inlineStr">
        <is>
          <t>小红书</t>
        </is>
      </c>
      <c r="H268" s="2" t="str">
        <f>=HYPERLINK("https://www.xiaohongshu.com/explore/6a48b570000000001603dc9b", "https://www.xiaohongshu.com/explore/6a48b570000000001603dc9b")</f>
        <v>https://www.xiaohongshu.com/explore/6a48b570000000001603dc9b</v>
      </c>
      <c r="I268" s="3">
        <v>46208</v>
      </c>
      <c r="J268" s="4">
        <v>46243</v>
      </c>
      <c r="K268" t="inlineStr">
        <is>
          <t>青梅酒推荐</t>
        </is>
      </c>
      <c r="L268">
        <v>5</v>
      </c>
      <c r="M268" t="inlineStr">
        <is>
          <t>XHS-U0185</t>
        </is>
      </c>
      <c r="N268" t="inlineStr">
        <is>
          <t>公开评论</t>
        </is>
      </c>
      <c r="O268"/>
      <c r="P268" t="inlineStr">
        <is>
          <t>原始:07-05;年份推定·广东</t>
        </is>
      </c>
      <c r="Q268" t="inlineStr">
        <is>
          <t>目标品牌</t>
        </is>
      </c>
      <c r="R268"/>
      <c r="S268"/>
    </row>
    <row r="269" ht="25.5" customHeight="1">
      <c r="A269" t="inlineStr">
        <is>
          <t>XHS-SOC-0046</t>
        </is>
      </c>
      <c r="B269" t="inlineStr">
        <is>
          <t>竞品选择与替代理由</t>
        </is>
      </c>
      <c r="C269" t="inlineStr">
        <is>
          <t>PRJ001</t>
        </is>
      </c>
      <c r="D269" t="inlineStr">
        <is>
          <t>昆竹</t>
        </is>
      </c>
      <c r="E269" t="inlineStr">
        <is>
          <t>昆竹白金版，或者进口俏雅。但是，都太甜，必须加冰喝。和自己泡的还是差太远。</t>
        </is>
      </c>
      <c r="F269" t="inlineStr">
        <is>
          <t>除了梅见还有其他梅子酒推荐吗｜2025-07-04｜小红书</t>
        </is>
      </c>
      <c r="G269" t="inlineStr">
        <is>
          <t>小红书</t>
        </is>
      </c>
      <c r="H269" s="2" t="str">
        <f>=HYPERLINK("https://www.xiaohongshu.com/explore/6a48b570000000001603dc9b", "https://www.xiaohongshu.com/explore/6a48b570000000001603dc9b")</f>
        <v>https://www.xiaohongshu.com/explore/6a48b570000000001603dc9b</v>
      </c>
      <c r="I269" s="3">
        <v>46212</v>
      </c>
      <c r="J269" s="4">
        <v>46243</v>
      </c>
      <c r="K269" t="inlineStr">
        <is>
          <t>青梅酒推荐</t>
        </is>
      </c>
      <c r="L269">
        <v>0</v>
      </c>
      <c r="M269" t="inlineStr">
        <is>
          <t>XHS-U0191</t>
        </is>
      </c>
      <c r="N269" t="inlineStr">
        <is>
          <t>公开评论</t>
        </is>
      </c>
      <c r="O269"/>
      <c r="P269" t="inlineStr">
        <is>
          <t>原始:07-09;年份推定·贵州</t>
        </is>
      </c>
      <c r="Q269" t="inlineStr">
        <is>
          <t>目标品牌</t>
        </is>
      </c>
      <c r="R269"/>
      <c r="S269"/>
    </row>
    <row r="270" ht="25.5" customHeight="1">
      <c r="A270" t="inlineStr">
        <is>
          <t>XHS-SOC-0229</t>
        </is>
      </c>
      <c r="B270" t="inlineStr">
        <is>
          <t>竞品选择与替代理由</t>
        </is>
      </c>
      <c r="C270" t="inlineStr">
        <is>
          <t>PRJ001</t>
        </is>
      </c>
      <c r="D270" t="inlineStr">
        <is>
          <t>昆竹</t>
        </is>
      </c>
      <c r="E270" t="inlineStr">
        <is>
          <t>梅见推荐哪一款啊</t>
        </is>
      </c>
      <c r="F270" t="inlineStr">
        <is>
          <t>最近喜欢喝酒-RIO和梅见-求推荐女性酒｜2025-06-10｜小红书</t>
        </is>
      </c>
      <c r="G270" t="inlineStr">
        <is>
          <t>小红书</t>
        </is>
      </c>
      <c r="H270" s="2" t="str">
        <f>=HYPERLINK("https://www.xiaohongshu.com/search_result/梅见和rio", "https://www.xiaohongshu.com/search_result/梅见和rio")</f>
        <v>https://www.xiaohongshu.com/search_result/梅见和rio</v>
      </c>
      <c r="I270" s="3">
        <v>46189</v>
      </c>
      <c r="J270" s="4">
        <v>46243</v>
      </c>
      <c r="K270" t="inlineStr">
        <is>
          <t>梅见和RIO</t>
        </is>
      </c>
      <c r="L270">
        <v>0</v>
      </c>
      <c r="M270" t="inlineStr">
        <is>
          <t>XHS-U0233</t>
        </is>
      </c>
      <c r="N270" t="inlineStr">
        <is>
          <t>公开评论</t>
        </is>
      </c>
      <c r="O270"/>
      <c r="P270" t="inlineStr">
        <is>
          <t>原始:06-16;年份推定·湖北；当前为搜索结果页链接，正式入库前需补原笔记链接</t>
        </is>
      </c>
      <c r="Q270" t="inlineStr">
        <is>
          <t>目标品牌</t>
        </is>
      </c>
      <c r="R270"/>
      <c r="S270"/>
    </row>
    <row r="271" ht="25.5" customHeight="1">
      <c r="A271" t="inlineStr">
        <is>
          <t>XHS-SOC-0230</t>
        </is>
      </c>
      <c r="B271" t="inlineStr">
        <is>
          <t>竞品选择与替代理由</t>
        </is>
      </c>
      <c r="C271" t="inlineStr">
        <is>
          <t>PRJ001</t>
        </is>
      </c>
      <c r="D271" t="inlineStr">
        <is>
          <t>蝶矢</t>
        </is>
      </c>
      <c r="E271" t="inlineStr">
        <is>
          <t>我穷苦人家只喝得起蝶矢</t>
        </is>
      </c>
      <c r="F271" t="inlineStr">
        <is>
          <t>给梅见道歉-会回购｜2025-07-03｜小红书</t>
        </is>
      </c>
      <c r="G271" t="inlineStr">
        <is>
          <t>小红书</t>
        </is>
      </c>
      <c r="H271" s="2" t="str">
        <f>=HYPERLINK("https://www.xiaohongshu.com/search_result/梅见回购", "https://www.xiaohongshu.com/search_result/梅见回购")</f>
        <v>https://www.xiaohongshu.com/search_result/梅见回购</v>
      </c>
      <c r="I271" s="3">
        <v>46117</v>
      </c>
      <c r="J271" s="4">
        <v>46243</v>
      </c>
      <c r="K271" t="inlineStr">
        <is>
          <t>梅见回购</t>
        </is>
      </c>
      <c r="L271">
        <v>0</v>
      </c>
      <c r="M271" t="inlineStr">
        <is>
          <t>XHS-U0339</t>
        </is>
      </c>
      <c r="N271" t="inlineStr">
        <is>
          <t>公开评论</t>
        </is>
      </c>
      <c r="O271"/>
      <c r="P271" t="inlineStr">
        <is>
          <t>原始:04-05;年份推定·中国台湾；当前为搜索结果页链接，正式入库前需补原笔记链接</t>
        </is>
      </c>
      <c r="Q271" t="inlineStr">
        <is>
          <t>目标品牌</t>
        </is>
      </c>
      <c r="R271"/>
      <c r="S271"/>
    </row>
    <row r="272" ht="25.5" customHeight="1">
      <c r="A272" t="inlineStr">
        <is>
          <t>JD-20260809-041</t>
        </is>
      </c>
      <c r="B272" t="inlineStr">
        <is>
          <t>竞品选择与替代理由</t>
        </is>
      </c>
      <c r="C272" t="inlineStr">
        <is>
          <t>PRJ001</t>
        </is>
      </c>
      <c r="D272" t="inlineStr">
        <is>
          <t>昆竹牌｜青梅酒450ml*6瓶</t>
        </is>
      </c>
      <c r="E272" t="inlineStr">
        <is>
          <t>还行有点小辣酒的味道兑饮料还不错
比梅见酒味淡一点，不过好像更甜一点
好喝不上头，推荐推荐多次回购了 家里老人挺喜欢的 也很上档次</t>
        </is>
      </c>
      <c r="F272" t="inlineStr">
        <is>
          <t>品牌：昆竹牌｜商品/规格：青梅酒450ml*6瓶｜SKU：100348071270</t>
        </is>
      </c>
      <c r="G272" t="inlineStr">
        <is>
          <t>京东</t>
        </is>
      </c>
      <c r="H272" s="2" t="str">
        <f>=HYPERLINK("https://item.jd.com/100348071270.html", "https://item.jd.com/100348071270.html")</f>
        <v>https://item.jd.com/100348071270.html</v>
      </c>
      <c r="I272" s="3">
        <v>46080</v>
      </c>
      <c r="J272" s="4">
        <v>46243</v>
      </c>
      <c r="K272" t="inlineStr">
        <is>
          <t>昆竹 青梅酒 商品评价</t>
        </is>
      </c>
      <c r="L272"/>
      <c r="M272" t="inlineStr">
        <is>
          <t>JD-U-20260809-041</t>
        </is>
      </c>
      <c r="N272" t="inlineStr">
        <is>
          <t>公开评论</t>
        </is>
      </c>
      <c r="O272"/>
      <c r="P272" t="inlineStr">
        <is>
          <t>情绪粗标：中性；主题粗标：轻微辣口；兑饮料；与梅见比较；甜度；不上头；回购；品牌档次；京东商品评价弹层核验；已排除商家回复与用户名；评价页未展示评论点赞/有用数，点赞数留空</t>
        </is>
      </c>
      <c r="Q272" t="inlineStr">
        <is>
          <t>竞品</t>
        </is>
      </c>
      <c r="R272"/>
      <c r="S272"/>
    </row>
    <row r="273" ht="25.5" customHeight="1">
      <c r="A273" t="inlineStr">
        <is>
          <t>TB-20260809-007</t>
        </is>
      </c>
      <c r="B273" t="inlineStr">
        <is>
          <t>竞品选择与替代理由</t>
        </is>
      </c>
      <c r="C273" t="inlineStr">
        <is>
          <t>PRJ001</t>
        </is>
      </c>
      <c r="D273" t="inlineStr">
        <is>
          <t>CHOYA俏雅｜带梅子本格梅酒700ml*2+赠梅酒杯</t>
        </is>
      </c>
      <c r="E273" t="inlineStr">
        <is>
          <t>喝过日本原装进口的版本，试试国产版，包装完好无损，物流也很快</t>
        </is>
      </c>
      <c r="F273" t="inlineStr">
        <is>
          <t>品牌：CHOYA俏雅｜商品/规格：带梅子本格梅酒700ml*2+赠梅酒杯｜SKU：873823229086</t>
        </is>
      </c>
      <c r="G273" t="inlineStr">
        <is>
          <t>淘宝</t>
        </is>
      </c>
      <c r="H273" s="2" t="str">
        <f>=HYPERLINK("https://detail.tmall.com/item.htm?id=873823229086", "https://detail.tmall.com/item.htm?id=873823229086")</f>
        <v>https://detail.tmall.com/item.htm?id=873823229086</v>
      </c>
      <c r="I273" s="3">
        <v>46209</v>
      </c>
      <c r="J273" s="4">
        <v>46243</v>
      </c>
      <c r="K273" t="inlineStr">
        <is>
          <t>CHOYA 俏雅 梅酒 商品评价</t>
        </is>
      </c>
      <c r="L273"/>
      <c r="M273" t="inlineStr">
        <is>
          <t>TB-U-20260809-007</t>
        </is>
      </c>
      <c r="N273" t="inlineStr">
        <is>
          <t>公开评论</t>
        </is>
      </c>
      <c r="O273"/>
      <c r="P273" t="inlineStr">
        <is>
          <t>情绪粗标：中性；主题粗标：日本进口与国产比较；尝试理由；包装；天猫CHOYA旗舰店商品评价；未记录用户名；评价页未展示评论点赞/有用数，点赞数留空</t>
        </is>
      </c>
      <c r="Q273" t="inlineStr">
        <is>
          <t>竞品</t>
        </is>
      </c>
      <c r="R273"/>
      <c r="S273"/>
    </row>
    <row r="274" ht="25.5" customHeight="1">
      <c r="A274" t="inlineStr">
        <is>
          <t>XHS-SOC-0001</t>
        </is>
      </c>
      <c r="B274" t="inlineStr">
        <is>
          <t>低度酒品类态度</t>
        </is>
      </c>
      <c r="C274" t="inlineStr">
        <is>
          <t>PRJ001</t>
        </is>
      </c>
      <c r="D274" t="inlineStr">
        <is>
          <t>梅见</t>
        </is>
      </c>
      <c r="E274" t="inlineStr">
        <is>
          <t>自己泡了以后外面买的梅子酒都看不上了</t>
        </is>
      </c>
      <c r="F274" t="inlineStr">
        <is>
          <t>除了梅见还有其他梅子酒推荐吗｜2025-07-04｜小红书</t>
        </is>
      </c>
      <c r="G274" t="inlineStr">
        <is>
          <t>小红书</t>
        </is>
      </c>
      <c r="H274" s="2" t="str">
        <f>=HYPERLINK("https://www.xiaohongshu.com/explore/6a48b570000000001603dc9b", "https://www.xiaohongshu.com/explore/6a48b570000000001603dc9b")</f>
        <v>https://www.xiaohongshu.com/explore/6a48b570000000001603dc9b</v>
      </c>
      <c r="I274" s="3">
        <v>46207</v>
      </c>
      <c r="J274" s="4">
        <v>46243</v>
      </c>
      <c r="K274" t="inlineStr">
        <is>
          <t>青梅酒推荐</t>
        </is>
      </c>
      <c r="L274">
        <v>13</v>
      </c>
      <c r="M274" t="inlineStr">
        <is>
          <t>XHS-U0186</t>
        </is>
      </c>
      <c r="N274" t="inlineStr">
        <is>
          <t>公开评论</t>
        </is>
      </c>
      <c r="O274"/>
      <c r="P274" t="inlineStr">
        <is>
          <t>原始:07-04;年份推定·广东</t>
        </is>
      </c>
      <c r="Q274" t="inlineStr">
        <is>
          <t>目标品牌</t>
        </is>
      </c>
      <c r="R274"/>
      <c r="S274"/>
    </row>
    <row r="275" ht="25.5" customHeight="1">
      <c r="A275" t="inlineStr">
        <is>
          <t>XHS-SOC-0002</t>
        </is>
      </c>
      <c r="B275" t="inlineStr">
        <is>
          <t>低度酒品类态度</t>
        </is>
      </c>
      <c r="C275" t="inlineStr">
        <is>
          <t>PRJ001</t>
        </is>
      </c>
      <c r="D275" t="inlineStr">
        <is>
          <t>低度酒</t>
        </is>
      </c>
      <c r="E275" t="inlineStr">
        <is>
          <t>酒对身体没一丁点好处，不过对情绪有很大好处</t>
        </is>
      </c>
      <c r="F275" t="inlineStr">
        <is>
          <t>喝酒对人体没有一点好处｜2025-12-29｜小红书</t>
        </is>
      </c>
      <c r="G275" t="inlineStr">
        <is>
          <t>小红书</t>
        </is>
      </c>
      <c r="H275" s="2" t="str">
        <f>=HYPERLINK("https://www.xiaohongshu.com/search_result/低度酒智商税", "https://www.xiaohongshu.com/search_result/低度酒智商税")</f>
        <v>https://www.xiaohongshu.com/search_result/低度酒智商税</v>
      </c>
      <c r="I275" s="3">
        <v>46025</v>
      </c>
      <c r="J275" s="4">
        <v>46243</v>
      </c>
      <c r="K275" t="inlineStr">
        <is>
          <t>低度酒智商税</t>
        </is>
      </c>
      <c r="L275">
        <v>730</v>
      </c>
      <c r="M275" t="inlineStr">
        <is>
          <t>XHS-U0234</t>
        </is>
      </c>
      <c r="N275" t="inlineStr">
        <is>
          <t>公开评论</t>
        </is>
      </c>
      <c r="O275"/>
      <c r="P275" t="inlineStr">
        <is>
          <t>原始:01-03;年份推定·江苏；当前为搜索结果页链接，正式入库前需补原笔记链接</t>
        </is>
      </c>
      <c r="Q275" t="inlineStr">
        <is>
          <t>低度酒品类</t>
        </is>
      </c>
      <c r="R275"/>
      <c r="S275"/>
    </row>
    <row r="276" ht="25.5" customHeight="1">
      <c r="A276" t="inlineStr">
        <is>
          <t>XHS-SOC-0003</t>
        </is>
      </c>
      <c r="B276" t="inlineStr">
        <is>
          <t>低度酒品类态度</t>
        </is>
      </c>
      <c r="C276" t="inlineStr">
        <is>
          <t>PRJ001</t>
        </is>
      </c>
      <c r="D276" t="inlineStr">
        <is>
          <t>低度酒</t>
        </is>
      </c>
      <c r="E276" t="inlineStr">
        <is>
          <t>一级致癌的应该是情绪病，常年心情不好的人癌症更多找上门。喝点酒能让心情好就喝点</t>
        </is>
      </c>
      <c r="F276" t="inlineStr">
        <is>
          <t>喝酒对人体没有一点好处｜2025-12-29｜小红书</t>
        </is>
      </c>
      <c r="G276" t="inlineStr">
        <is>
          <t>小红书</t>
        </is>
      </c>
      <c r="H276" s="2" t="str">
        <f>=HYPERLINK("https://www.xiaohongshu.com/search_result/低度酒智商税", "https://www.xiaohongshu.com/search_result/低度酒智商税")</f>
        <v>https://www.xiaohongshu.com/search_result/低度酒智商税</v>
      </c>
      <c r="I276" s="3">
        <v>46026</v>
      </c>
      <c r="J276" s="4">
        <v>46243</v>
      </c>
      <c r="K276" t="inlineStr">
        <is>
          <t>低度酒智商税</t>
        </is>
      </c>
      <c r="L276">
        <v>659</v>
      </c>
      <c r="M276" t="inlineStr">
        <is>
          <t>XHS-U0235</t>
        </is>
      </c>
      <c r="N276" t="inlineStr">
        <is>
          <t>公开评论</t>
        </is>
      </c>
      <c r="O276"/>
      <c r="P276" t="inlineStr">
        <is>
          <t>原始:01-04;年份推定·江苏；当前为搜索结果页链接，正式入库前需补原笔记链接</t>
        </is>
      </c>
      <c r="Q276" t="inlineStr">
        <is>
          <t>低度酒品类</t>
        </is>
      </c>
      <c r="R276"/>
      <c r="S276"/>
    </row>
    <row r="277" ht="25.5" customHeight="1">
      <c r="A277" t="inlineStr">
        <is>
          <t>XHS-SOC-0004</t>
        </is>
      </c>
      <c r="B277" t="inlineStr">
        <is>
          <t>低度酒品类态度</t>
        </is>
      </c>
      <c r="C277" t="inlineStr">
        <is>
          <t>PRJ001</t>
        </is>
      </c>
      <c r="D277" t="inlineStr">
        <is>
          <t>低度酒</t>
        </is>
      </c>
      <c r="E277" t="inlineStr">
        <is>
          <t>是的，我总觉得惺惺作态。陌生人或者工作场合还好，自己亲戚自己家人之间还要搞这套我尤其厌恶</t>
        </is>
      </c>
      <c r="F277" t="inlineStr">
        <is>
          <t>我为什么厌恶敬酒这个行为｜2025-02-14｜小红书</t>
        </is>
      </c>
      <c r="G277" t="inlineStr">
        <is>
          <t>小红书</t>
        </is>
      </c>
      <c r="H277" s="2" t="str">
        <f>=HYPERLINK("https://www.xiaohongshu.com/search_result/拒绝酒桌文化", "https://www.xiaohongshu.com/search_result/拒绝酒桌文化")</f>
        <v>https://www.xiaohongshu.com/search_result/拒绝酒桌文化</v>
      </c>
      <c r="I277" s="3">
        <v>46067</v>
      </c>
      <c r="J277" s="4">
        <v>46243</v>
      </c>
      <c r="K277" t="inlineStr">
        <is>
          <t>不想被劝酒</t>
        </is>
      </c>
      <c r="L277">
        <v>423</v>
      </c>
      <c r="M277" t="inlineStr">
        <is>
          <t>XHS-U0252</t>
        </is>
      </c>
      <c r="N277" t="inlineStr">
        <is>
          <t>公开评论</t>
        </is>
      </c>
      <c r="O277"/>
      <c r="P277" t="inlineStr">
        <is>
          <t>原始:02-14;年份推定·安徽；当前为搜索结果页链接，正式入库前需补原笔记链接</t>
        </is>
      </c>
      <c r="Q277" t="inlineStr">
        <is>
          <t>低度酒品类</t>
        </is>
      </c>
      <c r="R277"/>
      <c r="S277"/>
    </row>
    <row r="278" ht="25.5" customHeight="1">
      <c r="A278" t="inlineStr">
        <is>
          <t>XHS-SOC-0005</t>
        </is>
      </c>
      <c r="B278" t="inlineStr">
        <is>
          <t>低度酒品类态度</t>
        </is>
      </c>
      <c r="C278" t="inlineStr">
        <is>
          <t>PRJ001</t>
        </is>
      </c>
      <c r="D278" t="inlineStr">
        <is>
          <t>低度酒</t>
        </is>
      </c>
      <c r="E278" t="inlineStr">
        <is>
          <t>只有过一次 感觉头重重的 脚下晃晃的 世界是光怪陆离的 好快乐 嘴角会不由自主上翘</t>
        </is>
      </c>
      <c r="F278" t="inlineStr">
        <is>
          <t>微醺就是把自己还给自己｜2025-08-28｜小红书</t>
        </is>
      </c>
      <c r="G278" t="inlineStr">
        <is>
          <t>小红书</t>
        </is>
      </c>
      <c r="H278" s="2" t="str">
        <f>=HYPERLINK("https://www.xiaohongshu.com/search_result/微醺放松", "https://www.xiaohongshu.com/search_result/微醺放松")</f>
        <v>https://www.xiaohongshu.com/search_result/微醺放松</v>
      </c>
      <c r="I278" s="3">
        <v>45901</v>
      </c>
      <c r="J278" s="4">
        <v>46243</v>
      </c>
      <c r="K278" t="inlineStr">
        <is>
          <t>微醺放松</t>
        </is>
      </c>
      <c r="L278">
        <v>1278</v>
      </c>
      <c r="M278" t="inlineStr">
        <is>
          <t>XHS-U0283</t>
        </is>
      </c>
      <c r="N278" t="inlineStr">
        <is>
          <t>公开评论</t>
        </is>
      </c>
      <c r="O278"/>
      <c r="P278" t="inlineStr">
        <is>
          <t>原始:2025-09-01·浙江；当前为搜索结果页链接，正式入库前需补原笔记链接</t>
        </is>
      </c>
      <c r="Q278" t="inlineStr">
        <is>
          <t>低度酒品类</t>
        </is>
      </c>
      <c r="R278"/>
      <c r="S278"/>
    </row>
    <row r="279" ht="25.5" customHeight="1">
      <c r="A279" t="inlineStr">
        <is>
          <t>XHS-SOC-0006</t>
        </is>
      </c>
      <c r="B279" t="inlineStr">
        <is>
          <t>低度酒品类态度</t>
        </is>
      </c>
      <c r="C279" t="inlineStr">
        <is>
          <t>PRJ001</t>
        </is>
      </c>
      <c r="D279" t="inlineStr">
        <is>
          <t>低度酒</t>
        </is>
      </c>
      <c r="E279" t="inlineStr">
        <is>
          <t>我可太懂了，这个阶段持续的时间太短了，不继续喝就会逐渐清醒，再往下喝就要出洋相了</t>
        </is>
      </c>
      <c r="F279" t="inlineStr">
        <is>
          <t>微醺就是把自己还给自己｜2025-08-28｜小红书</t>
        </is>
      </c>
      <c r="G279" t="inlineStr">
        <is>
          <t>小红书</t>
        </is>
      </c>
      <c r="H279" s="2" t="str">
        <f>=HYPERLINK("https://www.xiaohongshu.com/search_result/微醺放松", "https://www.xiaohongshu.com/search_result/微醺放松")</f>
        <v>https://www.xiaohongshu.com/search_result/微醺放松</v>
      </c>
      <c r="I279" s="3">
        <v>45897</v>
      </c>
      <c r="J279" s="4">
        <v>46243</v>
      </c>
      <c r="K279" t="inlineStr">
        <is>
          <t>微醺放松</t>
        </is>
      </c>
      <c r="L279">
        <v>2553</v>
      </c>
      <c r="M279" t="inlineStr">
        <is>
          <t>XHS-U0284</t>
        </is>
      </c>
      <c r="N279" t="inlineStr">
        <is>
          <t>公开评论</t>
        </is>
      </c>
      <c r="O279"/>
      <c r="P279" t="inlineStr">
        <is>
          <t>原始:2025-08-28·江苏；当前为搜索结果页链接，正式入库前需补原笔记链接</t>
        </is>
      </c>
      <c r="Q279" t="inlineStr">
        <is>
          <t>低度酒品类</t>
        </is>
      </c>
      <c r="R279"/>
      <c r="S279"/>
    </row>
    <row r="280" ht="25.5" customHeight="1">
      <c r="A280" t="inlineStr">
        <is>
          <t>XHS-SOC-0007</t>
        </is>
      </c>
      <c r="B280" t="inlineStr">
        <is>
          <t>低度酒品类态度</t>
        </is>
      </c>
      <c r="C280" t="inlineStr">
        <is>
          <t>PRJ001</t>
        </is>
      </c>
      <c r="D280" t="inlineStr">
        <is>
          <t>低度酒</t>
        </is>
      </c>
      <c r="E280" t="inlineStr">
        <is>
          <t>我喜欢在这个阶段想事儿，感觉浑浊的无关紧要的东西都在下坠</t>
        </is>
      </c>
      <c r="F280" t="inlineStr">
        <is>
          <t>微醺就是把自己还给自己｜2025-08-28｜小红书</t>
        </is>
      </c>
      <c r="G280" t="inlineStr">
        <is>
          <t>小红书</t>
        </is>
      </c>
      <c r="H280" s="2" t="str">
        <f>=HYPERLINK("https://www.xiaohongshu.com/search_result/微醺放松", "https://www.xiaohongshu.com/search_result/微醺放松")</f>
        <v>https://www.xiaohongshu.com/search_result/微醺放松</v>
      </c>
      <c r="I280" s="3">
        <v>45904</v>
      </c>
      <c r="J280" s="4">
        <v>46243</v>
      </c>
      <c r="K280" t="inlineStr">
        <is>
          <t>微醺放松</t>
        </is>
      </c>
      <c r="L280">
        <v>294</v>
      </c>
      <c r="M280" t="inlineStr">
        <is>
          <t>XHS-U0286</t>
        </is>
      </c>
      <c r="N280" t="inlineStr">
        <is>
          <t>公开评论</t>
        </is>
      </c>
      <c r="O280"/>
      <c r="P280" t="inlineStr">
        <is>
          <t>原始:2025-09-04·广东；当前为搜索结果页链接，正式入库前需补原笔记链接</t>
        </is>
      </c>
      <c r="Q280" t="inlineStr">
        <is>
          <t>低度酒品类</t>
        </is>
      </c>
      <c r="R280"/>
      <c r="S280"/>
    </row>
    <row r="281" ht="25.5" customHeight="1">
      <c r="A281" t="inlineStr">
        <is>
          <t>XHS-SOC-0008</t>
        </is>
      </c>
      <c r="B281" t="inlineStr">
        <is>
          <t>低度酒品类态度</t>
        </is>
      </c>
      <c r="C281" t="inlineStr">
        <is>
          <t>PRJ001</t>
        </is>
      </c>
      <c r="D281" t="inlineStr">
        <is>
          <t>低度酒</t>
        </is>
      </c>
      <c r="E281" t="inlineStr">
        <is>
          <t>开始莫名其妙想笑，干什么都想笑，看见谁都想笑</t>
        </is>
      </c>
      <c r="F281" t="inlineStr">
        <is>
          <t>如何能醺而不挂｜2025-07-05｜小红书</t>
        </is>
      </c>
      <c r="G281" t="inlineStr">
        <is>
          <t>小红书</t>
        </is>
      </c>
      <c r="H281" s="2" t="str">
        <f>=HYPERLINK("https://www.xiaohongshu.com/search_result/不想喝醉", "https://www.xiaohongshu.com/search_result/不想喝醉")</f>
        <v>https://www.xiaohongshu.com/search_result/不想喝醉</v>
      </c>
      <c r="I281" s="3">
        <v>46213</v>
      </c>
      <c r="J281" s="4">
        <v>46243</v>
      </c>
      <c r="K281" t="inlineStr">
        <is>
          <t>不想喝醉</t>
        </is>
      </c>
      <c r="L281">
        <v>764</v>
      </c>
      <c r="M281" t="inlineStr">
        <is>
          <t>XHS-U0291</t>
        </is>
      </c>
      <c r="N281" t="inlineStr">
        <is>
          <t>公开评论</t>
        </is>
      </c>
      <c r="O281"/>
      <c r="P281" t="inlineStr">
        <is>
          <t>原始:07-10;年份推定·湖北；当前为搜索结果页链接，正式入库前需补原笔记链接</t>
        </is>
      </c>
      <c r="Q281" t="inlineStr">
        <is>
          <t>低度酒品类</t>
        </is>
      </c>
      <c r="R281"/>
      <c r="S281"/>
    </row>
    <row r="282" ht="25.5" customHeight="1">
      <c r="A282" t="inlineStr">
        <is>
          <t>XHS-SOC-0015</t>
        </is>
      </c>
      <c r="B282" t="inlineStr">
        <is>
          <t>低度酒品类态度</t>
        </is>
      </c>
      <c r="C282" t="inlineStr">
        <is>
          <t>PRJ001</t>
        </is>
      </c>
      <c r="D282" t="inlineStr">
        <is>
          <t>低度酒</t>
        </is>
      </c>
      <c r="E282" t="inlineStr">
        <is>
          <t>高敏人平时脑子真的想很多，喝了之后能明显感觉到停止了思考，幸福了起来</t>
        </is>
      </c>
      <c r="F282" t="inlineStr">
        <is>
          <t>微醺就是把自己还给自己｜2025-08-28｜小红书</t>
        </is>
      </c>
      <c r="G282" t="inlineStr">
        <is>
          <t>小红书</t>
        </is>
      </c>
      <c r="H282" s="2" t="str">
        <f>=HYPERLINK("https://www.xiaohongshu.com/search_result/微醺放松", "https://www.xiaohongshu.com/search_result/微醺放松")</f>
        <v>https://www.xiaohongshu.com/search_result/微醺放松</v>
      </c>
      <c r="I282" s="3">
        <v>45905</v>
      </c>
      <c r="J282" s="4">
        <v>46243</v>
      </c>
      <c r="K282" t="inlineStr">
        <is>
          <t>微醺放松</t>
        </is>
      </c>
      <c r="L282">
        <v>135</v>
      </c>
      <c r="M282" t="inlineStr">
        <is>
          <t>XHS-U0285</t>
        </is>
      </c>
      <c r="N282" t="inlineStr">
        <is>
          <t>公开评论</t>
        </is>
      </c>
      <c r="O282"/>
      <c r="P282" t="inlineStr">
        <is>
          <t>原始:2025-09-05·重庆；当前为搜索结果页链接，正式入库前需补原笔记链接</t>
        </is>
      </c>
      <c r="Q282" t="inlineStr">
        <is>
          <t>低度酒品类</t>
        </is>
      </c>
      <c r="R282"/>
      <c r="S282"/>
    </row>
    <row r="283" ht="25.5" customHeight="1">
      <c r="A283" t="inlineStr">
        <is>
          <t>XHS-SOC-0022</t>
        </is>
      </c>
      <c r="B283" t="inlineStr">
        <is>
          <t>低度酒品类态度</t>
        </is>
      </c>
      <c r="C283" t="inlineStr">
        <is>
          <t>PRJ001</t>
        </is>
      </c>
      <c r="D283" t="inlineStr">
        <is>
          <t>低度酒</t>
        </is>
      </c>
      <c r="E283" t="inlineStr">
        <is>
          <t>我喝酒是为了养生吗难道哈哈哈</t>
        </is>
      </c>
      <c r="F283" t="inlineStr">
        <is>
          <t>喝酒对人体没有一点好处｜2025-12-29｜小红书</t>
        </is>
      </c>
      <c r="G283" t="inlineStr">
        <is>
          <t>小红书</t>
        </is>
      </c>
      <c r="H283" s="2" t="str">
        <f>=HYPERLINK("https://www.xiaohongshu.com/search_result/低度酒智商税", "https://www.xiaohongshu.com/search_result/低度酒智商税")</f>
        <v>https://www.xiaohongshu.com/search_result/低度酒智商税</v>
      </c>
      <c r="I283" s="3">
        <v>46028</v>
      </c>
      <c r="J283" s="4">
        <v>46243</v>
      </c>
      <c r="K283" t="inlineStr">
        <is>
          <t>低度酒智商税</t>
        </is>
      </c>
      <c r="L283">
        <v>46</v>
      </c>
      <c r="M283" t="inlineStr">
        <is>
          <t>XHS-U0242</t>
        </is>
      </c>
      <c r="N283" t="inlineStr">
        <is>
          <t>公开评论</t>
        </is>
      </c>
      <c r="O283"/>
      <c r="P283" t="inlineStr">
        <is>
          <t>原始:01-06;年份推定·北京；当前为搜索结果页链接，正式入库前需补原笔记链接</t>
        </is>
      </c>
      <c r="Q283" t="inlineStr">
        <is>
          <t>低度酒品类</t>
        </is>
      </c>
      <c r="R283"/>
      <c r="S283"/>
    </row>
    <row r="284" ht="25.5" customHeight="1">
      <c r="A284" t="inlineStr">
        <is>
          <t>XHS-SOC-0023</t>
        </is>
      </c>
      <c r="B284" t="inlineStr">
        <is>
          <t>低度酒品类态度</t>
        </is>
      </c>
      <c r="C284" t="inlineStr">
        <is>
          <t>PRJ001</t>
        </is>
      </c>
      <c r="D284" t="inlineStr">
        <is>
          <t>低度酒</t>
        </is>
      </c>
      <c r="E284" t="inlineStr">
        <is>
          <t>其实我单纯不理解危害健康的酒为什么会被推到如此崇高的地位</t>
        </is>
      </c>
      <c r="F284" t="inlineStr">
        <is>
          <t>我为什么厌恶敬酒这个行为｜2025-02-14｜小红书</t>
        </is>
      </c>
      <c r="G284" t="inlineStr">
        <is>
          <t>小红书</t>
        </is>
      </c>
      <c r="H284" s="2" t="str">
        <f>=HYPERLINK("https://www.xiaohongshu.com/search_result/拒绝酒桌文化", "https://www.xiaohongshu.com/search_result/拒绝酒桌文化")</f>
        <v>https://www.xiaohongshu.com/search_result/拒绝酒桌文化</v>
      </c>
      <c r="I284" s="3">
        <v>46067</v>
      </c>
      <c r="J284" s="4">
        <v>46243</v>
      </c>
      <c r="K284" t="inlineStr">
        <is>
          <t>不想被劝酒</t>
        </is>
      </c>
      <c r="L284">
        <v>42</v>
      </c>
      <c r="M284" t="inlineStr">
        <is>
          <t>XHS-U0263</t>
        </is>
      </c>
      <c r="N284" t="inlineStr">
        <is>
          <t>公开评论</t>
        </is>
      </c>
      <c r="O284"/>
      <c r="P284" t="inlineStr">
        <is>
          <t>原始:02-14;年份推定·海南；当前为搜索结果页链接，正式入库前需补原笔记链接</t>
        </is>
      </c>
      <c r="Q284" t="inlineStr">
        <is>
          <t>低度酒品类</t>
        </is>
      </c>
      <c r="R284"/>
      <c r="S284"/>
    </row>
    <row r="285" ht="25.5" customHeight="1">
      <c r="A285" t="inlineStr">
        <is>
          <t>XHS-SOC-0028</t>
        </is>
      </c>
      <c r="B285" t="inlineStr">
        <is>
          <t>低度酒品类态度</t>
        </is>
      </c>
      <c r="C285" t="inlineStr">
        <is>
          <t>PRJ001</t>
        </is>
      </c>
      <c r="D285" t="inlineStr">
        <is>
          <t>梅见</t>
        </is>
      </c>
      <c r="E285" t="inlineStr">
        <is>
          <t>喝过自己泡的梅子酒后，梅见感觉就是工业酒</t>
        </is>
      </c>
      <c r="F285" t="inlineStr">
        <is>
          <t>除了梅见还有其他梅子酒推荐吗｜2025-07-04｜小红书</t>
        </is>
      </c>
      <c r="G285" t="inlineStr">
        <is>
          <t>小红书</t>
        </is>
      </c>
      <c r="H285" s="2" t="str">
        <f>=HYPERLINK("https://www.xiaohongshu.com/explore/6a48b570000000001603dc9b", "https://www.xiaohongshu.com/explore/6a48b570000000001603dc9b")</f>
        <v>https://www.xiaohongshu.com/explore/6a48b570000000001603dc9b</v>
      </c>
      <c r="I285" s="3">
        <v>46210</v>
      </c>
      <c r="J285" s="4">
        <v>46243</v>
      </c>
      <c r="K285" t="inlineStr">
        <is>
          <t>青梅酒推荐</t>
        </is>
      </c>
      <c r="L285">
        <v>1</v>
      </c>
      <c r="M285" t="inlineStr">
        <is>
          <t>XHS-U0189</t>
        </is>
      </c>
      <c r="N285" t="inlineStr">
        <is>
          <t>公开评论</t>
        </is>
      </c>
      <c r="O285"/>
      <c r="P285" t="inlineStr">
        <is>
          <t>原始:07-07;年份推定·广东</t>
        </is>
      </c>
      <c r="Q285" t="inlineStr">
        <is>
          <t>目标品牌</t>
        </is>
      </c>
      <c r="R285"/>
      <c r="S285"/>
    </row>
    <row r="286" ht="25.5" customHeight="1">
      <c r="A286" t="inlineStr">
        <is>
          <t>XHS-SOC-0031</t>
        </is>
      </c>
      <c r="B286" t="inlineStr">
        <is>
          <t>低度酒品类态度</t>
        </is>
      </c>
      <c r="C286" t="inlineStr">
        <is>
          <t>PRJ001</t>
        </is>
      </c>
      <c r="D286" t="inlineStr">
        <is>
          <t>低度酒</t>
        </is>
      </c>
      <c r="E286" t="inlineStr">
        <is>
          <t>喝晕就想哭的有没有</t>
        </is>
      </c>
      <c r="F286" t="inlineStr">
        <is>
          <t>如何能醺而不挂｜2025-07-05｜小红书</t>
        </is>
      </c>
      <c r="G286" t="inlineStr">
        <is>
          <t>小红书</t>
        </is>
      </c>
      <c r="H286" s="2" t="str">
        <f>=HYPERLINK("https://www.xiaohongshu.com/search_result/不想喝醉", "https://www.xiaohongshu.com/search_result/不想喝醉")</f>
        <v>https://www.xiaohongshu.com/search_result/不想喝醉</v>
      </c>
      <c r="I286" s="3">
        <v>46213</v>
      </c>
      <c r="J286" s="4">
        <v>46243</v>
      </c>
      <c r="K286" t="inlineStr">
        <is>
          <t>不想喝醉</t>
        </is>
      </c>
      <c r="L286">
        <v>33</v>
      </c>
      <c r="M286" t="inlineStr">
        <is>
          <t>XHS-U0292</t>
        </is>
      </c>
      <c r="N286" t="inlineStr">
        <is>
          <t>公开评论</t>
        </is>
      </c>
      <c r="O286"/>
      <c r="P286" t="inlineStr">
        <is>
          <t>原始:07-10;年份推定·河南；当前为搜索结果页链接，正式入库前需补原笔记链接</t>
        </is>
      </c>
      <c r="Q286" t="inlineStr">
        <is>
          <t>低度酒品类</t>
        </is>
      </c>
      <c r="R286"/>
      <c r="S286"/>
    </row>
    <row r="287" ht="25.5" customHeight="1">
      <c r="A287" t="inlineStr">
        <is>
          <t>XHS-SOC-0032</t>
        </is>
      </c>
      <c r="B287" t="inlineStr">
        <is>
          <t>低度酒品类态度</t>
        </is>
      </c>
      <c r="C287" t="inlineStr">
        <is>
          <t>PRJ001</t>
        </is>
      </c>
      <c r="D287" t="inlineStr">
        <is>
          <t>低度酒</t>
        </is>
      </c>
      <c r="E287" t="inlineStr">
        <is>
          <t>总不能一辈子不喝酒吧</t>
        </is>
      </c>
      <c r="F287" t="inlineStr">
        <is>
          <t>喝酒对人体没有一点好处｜2025-12-29｜小红书</t>
        </is>
      </c>
      <c r="G287" t="inlineStr">
        <is>
          <t>小红书</t>
        </is>
      </c>
      <c r="H287" s="2" t="str">
        <f>=HYPERLINK("https://www.xiaohongshu.com/search_result/低度酒智商税", "https://www.xiaohongshu.com/search_result/低度酒智商税")</f>
        <v>https://www.xiaohongshu.com/search_result/低度酒智商税</v>
      </c>
      <c r="I287" s="3">
        <v>46027</v>
      </c>
      <c r="J287" s="4">
        <v>46243</v>
      </c>
      <c r="K287" t="inlineStr">
        <is>
          <t>低度酒智商税</t>
        </is>
      </c>
      <c r="L287">
        <v>24</v>
      </c>
      <c r="M287" t="inlineStr">
        <is>
          <t>XHS-U0236</t>
        </is>
      </c>
      <c r="N287" t="inlineStr">
        <is>
          <t>公开评论</t>
        </is>
      </c>
      <c r="O287"/>
      <c r="P287" t="inlineStr">
        <is>
          <t>原始:01-05;年份推定·广东；当前为搜索结果页链接，正式入库前需补原笔记链接</t>
        </is>
      </c>
      <c r="Q287" t="inlineStr">
        <is>
          <t>低度酒品类</t>
        </is>
      </c>
      <c r="R287"/>
      <c r="S287"/>
    </row>
    <row r="288" ht="25.5" customHeight="1">
      <c r="A288" t="inlineStr">
        <is>
          <t>XHS-SOC-0033</t>
        </is>
      </c>
      <c r="B288" t="inlineStr">
        <is>
          <t>低度酒品类态度</t>
        </is>
      </c>
      <c r="C288" t="inlineStr">
        <is>
          <t>PRJ001</t>
        </is>
      </c>
      <c r="D288" t="inlineStr">
        <is>
          <t>低度酒</t>
        </is>
      </c>
      <c r="E288" t="inlineStr">
        <is>
          <t>现在喝酒后第二天一整天都很不舒服</t>
        </is>
      </c>
      <c r="F288" t="inlineStr">
        <is>
          <t>真不能喝酒-急诊一堆喝酒来的｜2025-03-21｜小红书</t>
        </is>
      </c>
      <c r="G288" t="inlineStr">
        <is>
          <t>小红书</t>
        </is>
      </c>
      <c r="H288" s="2" t="str">
        <f>=HYPERLINK("https://www.xiaohongshu.com/search_result/喝酒胃不舒服", "https://www.xiaohongshu.com/search_result/喝酒胃不舒服")</f>
        <v>https://www.xiaohongshu.com/search_result/喝酒胃不舒服</v>
      </c>
      <c r="I288" s="3">
        <v>46102</v>
      </c>
      <c r="J288" s="4">
        <v>46243</v>
      </c>
      <c r="K288" t="inlineStr">
        <is>
          <t>喝酒胃不舒服</t>
        </is>
      </c>
      <c r="L288">
        <v>24</v>
      </c>
      <c r="M288" t="inlineStr">
        <is>
          <t>XHS-U0346</t>
        </is>
      </c>
      <c r="N288" t="inlineStr">
        <is>
          <t>公开评论</t>
        </is>
      </c>
      <c r="O288"/>
      <c r="P288" t="inlineStr">
        <is>
          <t>原始:03-21;年份推定·广东；当前为搜索结果页链接，正式入库前需补原笔记链接</t>
        </is>
      </c>
      <c r="Q288" t="inlineStr">
        <is>
          <t>低度酒品类</t>
        </is>
      </c>
      <c r="R288"/>
      <c r="S288"/>
    </row>
    <row r="289" ht="25.5" customHeight="1">
      <c r="A289" t="inlineStr">
        <is>
          <t>XHS-SOC-0035</t>
        </is>
      </c>
      <c r="B289" t="inlineStr">
        <is>
          <t>低度酒品类态度</t>
        </is>
      </c>
      <c r="C289" t="inlineStr">
        <is>
          <t>PRJ001</t>
        </is>
      </c>
      <c r="D289" t="inlineStr">
        <is>
          <t>低度酒</t>
        </is>
      </c>
      <c r="E289" t="inlineStr">
        <is>
          <t>高度酒精可以杀细菌好的坏的都杀 酒精的好处还有就是促进血液循环</t>
        </is>
      </c>
      <c r="F289" t="inlineStr">
        <is>
          <t>喝酒对人体没有一点好处｜2025-12-29｜小红书</t>
        </is>
      </c>
      <c r="G289" t="inlineStr">
        <is>
          <t>小红书</t>
        </is>
      </c>
      <c r="H289" s="2" t="str">
        <f>=HYPERLINK("https://www.xiaohongshu.com/search_result/低度酒智商税", "https://www.xiaohongshu.com/search_result/低度酒智商税")</f>
        <v>https://www.xiaohongshu.com/search_result/低度酒智商税</v>
      </c>
      <c r="I289" s="3">
        <v>46020</v>
      </c>
      <c r="J289" s="4">
        <v>46243</v>
      </c>
      <c r="K289" t="inlineStr">
        <is>
          <t>低度酒智商税</t>
        </is>
      </c>
      <c r="L289">
        <v>21</v>
      </c>
      <c r="M289" t="inlineStr">
        <is>
          <t>XHS-U0237</t>
        </is>
      </c>
      <c r="N289" t="inlineStr">
        <is>
          <t>公开评论</t>
        </is>
      </c>
      <c r="O289"/>
      <c r="P289" t="inlineStr">
        <is>
          <t>原始:2025-12-29·云南；当前为搜索结果页链接，正式入库前需补原笔记链接</t>
        </is>
      </c>
      <c r="Q289" t="inlineStr">
        <is>
          <t>低度酒品类</t>
        </is>
      </c>
      <c r="R289"/>
      <c r="S289"/>
    </row>
    <row r="290" ht="25.5" customHeight="1">
      <c r="A290" t="inlineStr">
        <is>
          <t>DY-SOC-0090</t>
        </is>
      </c>
      <c r="B290" t="inlineStr">
        <is>
          <t>低度酒品类态度</t>
        </is>
      </c>
      <c r="C290" t="inlineStr">
        <is>
          <t>PRJ001</t>
        </is>
      </c>
      <c r="D290" t="inlineStr">
        <is>
          <t>梅见</t>
        </is>
      </c>
      <c r="E290" t="inlineStr">
        <is>
          <t>还没有喝过梅子酒</t>
        </is>
      </c>
      <c r="F290" t="inlineStr">
        <is>
          <t>俏雅梅酒居家特调｜2024-08-16｜抖音</t>
        </is>
      </c>
      <c r="G290" t="inlineStr">
        <is>
          <t>抖音</t>
        </is>
      </c>
      <c r="H290" s="2" t="str">
        <f>=HYPERLINK("https://www.douyin.com/video/7447475027085200650", "https://www.douyin.com/video/7447475027085200650")</f>
        <v>https://www.douyin.com/video/7447475027085200650</v>
      </c>
      <c r="I290" s="3">
        <v>45520</v>
      </c>
      <c r="J290" s="4">
        <v>46243</v>
      </c>
      <c r="K290" t="inlineStr">
        <is>
          <t>梅见和CHOYA</t>
        </is>
      </c>
      <c r="L290"/>
      <c r="M290" t="inlineStr">
        <is>
          <t>DY-U0267</t>
        </is>
      </c>
      <c r="N290" t="inlineStr">
        <is>
          <t>公开评论</t>
        </is>
      </c>
      <c r="O290"/>
      <c r="P290" t="inlineStr">
        <is>
          <t>点赞数未成功识别，暂置空，禁止随机补值；原始:1年前;无法解析;原始时间未精确提取,根据页面公示时间范围估算;评论点赞数未精确提取,填写为0待人工复核</t>
        </is>
      </c>
      <c r="Q290" t="inlineStr">
        <is>
          <t>目标品牌</t>
        </is>
      </c>
      <c r="R290"/>
      <c r="S290"/>
    </row>
    <row r="291" ht="25.5" customHeight="1">
      <c r="A291" t="inlineStr">
        <is>
          <t>DY-SOC-0091</t>
        </is>
      </c>
      <c r="B291" t="inlineStr">
        <is>
          <t>低度酒品类态度</t>
        </is>
      </c>
      <c r="C291" t="inlineStr">
        <is>
          <t>PRJ001</t>
        </is>
      </c>
      <c r="D291" t="inlineStr">
        <is>
          <t>低度酒</t>
        </is>
      </c>
      <c r="E291" t="inlineStr">
        <is>
          <t>推荐一款开车适合喝的酒</t>
        </is>
      </c>
      <c r="F291" t="inlineStr">
        <is>
          <t>喝完这三瓶谁是你心中的白月光｜2025-08-08｜抖音</t>
        </is>
      </c>
      <c r="G291" t="inlineStr">
        <is>
          <t>抖音</t>
        </is>
      </c>
      <c r="H291" s="2" t="str">
        <f>=HYPERLINK("https://www.douyin.com/video/7625642082769669382", "https://www.douyin.com/video/7625642082769669382")</f>
        <v>https://www.douyin.com/video/7625642082769669382</v>
      </c>
      <c r="I291" s="3">
        <v>45877</v>
      </c>
      <c r="J291" s="4">
        <v>46243</v>
      </c>
      <c r="K291" t="inlineStr">
        <is>
          <t>青梅酒推荐①</t>
        </is>
      </c>
      <c r="L291"/>
      <c r="M291" t="inlineStr">
        <is>
          <t>DY-U0270</t>
        </is>
      </c>
      <c r="N291" t="inlineStr">
        <is>
          <t>公开评论</t>
        </is>
      </c>
      <c r="O291"/>
      <c r="P291" t="inlineStr">
        <is>
          <t>点赞数未成功识别，暂置空，禁止随机补值；当前日期来自视频发布时间，评论发布时间未识别</t>
        </is>
      </c>
      <c r="Q291" t="inlineStr">
        <is>
          <t>低度酒品类</t>
        </is>
      </c>
      <c r="R291"/>
      <c r="S291"/>
    </row>
    <row r="292" ht="25.5" customHeight="1">
      <c r="A292" t="inlineStr">
        <is>
          <t>DY-SOC-0092</t>
        </is>
      </c>
      <c r="B292" t="inlineStr">
        <is>
          <t>低度酒品类态度</t>
        </is>
      </c>
      <c r="C292" t="inlineStr">
        <is>
          <t>PRJ001</t>
        </is>
      </c>
      <c r="D292" t="inlineStr">
        <is>
          <t>低度酒</t>
        </is>
      </c>
      <c r="E292" t="inlineStr">
        <is>
          <t>开车不喝酒开酒不喝车</t>
        </is>
      </c>
      <c r="F292" t="inlineStr">
        <is>
          <t>喝完这三瓶谁是你心中的白月光｜2025-08-08｜抖音</t>
        </is>
      </c>
      <c r="G292" t="inlineStr">
        <is>
          <t>抖音</t>
        </is>
      </c>
      <c r="H292" s="2" t="str">
        <f>=HYPERLINK("https://www.douyin.com/video/7625642082769669382", "https://www.douyin.com/video/7625642082769669382")</f>
        <v>https://www.douyin.com/video/7625642082769669382</v>
      </c>
      <c r="I292" s="3">
        <v>45877</v>
      </c>
      <c r="J292" s="4">
        <v>46243</v>
      </c>
      <c r="K292" t="inlineStr">
        <is>
          <t>青梅酒推荐①</t>
        </is>
      </c>
      <c r="L292"/>
      <c r="M292" t="inlineStr">
        <is>
          <t>DY-U0271</t>
        </is>
      </c>
      <c r="N292" t="inlineStr">
        <is>
          <t>公开评论</t>
        </is>
      </c>
      <c r="O292"/>
      <c r="P292" t="inlineStr">
        <is>
          <t>点赞数未成功识别，暂置空，禁止随机补值；当前日期来自视频发布时间，评论发布时间未识别</t>
        </is>
      </c>
      <c r="Q292" t="inlineStr">
        <is>
          <t>低度酒品类</t>
        </is>
      </c>
      <c r="R292"/>
      <c r="S292"/>
    </row>
    <row r="293" ht="25.5" customHeight="1">
      <c r="A293" t="inlineStr">
        <is>
          <t>DY-SOC-0093</t>
        </is>
      </c>
      <c r="B293" t="inlineStr">
        <is>
          <t>低度酒品类态度</t>
        </is>
      </c>
      <c r="C293" t="inlineStr">
        <is>
          <t>PRJ001</t>
        </is>
      </c>
      <c r="D293" t="inlineStr">
        <is>
          <t>低度酒</t>
        </is>
      </c>
      <c r="E293" t="inlineStr">
        <is>
          <t>你不知道青梅酒可以自己浸泡吗我去年就酿了十斤青梅酒打算放个六七年</t>
        </is>
      </c>
      <c r="F293" t="inlineStr">
        <is>
          <t>喝完这三瓶谁是你心中的白月光｜2025-08-08｜抖音</t>
        </is>
      </c>
      <c r="G293" t="inlineStr">
        <is>
          <t>抖音</t>
        </is>
      </c>
      <c r="H293" s="2" t="str">
        <f>=HYPERLINK("https://www.douyin.com/video/7625642082769669382", "https://www.douyin.com/video/7625642082769669382")</f>
        <v>https://www.douyin.com/video/7625642082769669382</v>
      </c>
      <c r="I293" s="3">
        <v>45877</v>
      </c>
      <c r="J293" s="4">
        <v>46243</v>
      </c>
      <c r="K293" t="inlineStr">
        <is>
          <t>青梅酒推荐①</t>
        </is>
      </c>
      <c r="L293"/>
      <c r="M293" t="inlineStr">
        <is>
          <t>DY-U0273</t>
        </is>
      </c>
      <c r="N293" t="inlineStr">
        <is>
          <t>公开评论</t>
        </is>
      </c>
      <c r="O293"/>
      <c r="P293" t="inlineStr">
        <is>
          <t>点赞数未成功识别，暂置空，禁止随机补值；当前日期来自视频发布时间，评论发布时间未识别</t>
        </is>
      </c>
      <c r="Q293" t="inlineStr">
        <is>
          <t>低度酒品类</t>
        </is>
      </c>
      <c r="R293"/>
      <c r="S293"/>
    </row>
    <row r="294" ht="25.5" customHeight="1">
      <c r="A294" t="inlineStr">
        <is>
          <t>DY-SOC-0094</t>
        </is>
      </c>
      <c r="B294" t="inlineStr">
        <is>
          <t>低度酒品类态度</t>
        </is>
      </c>
      <c r="C294" t="inlineStr">
        <is>
          <t>PRJ001</t>
        </is>
      </c>
      <c r="D294" t="inlineStr">
        <is>
          <t>低度酒</t>
        </is>
      </c>
      <c r="E294" t="inlineStr">
        <is>
          <t>我还是喜欢馒头[看][看]</t>
        </is>
      </c>
      <c r="F294" t="inlineStr">
        <is>
          <t>喝完这三瓶谁是你心中的白月光｜2025-08-08｜抖音</t>
        </is>
      </c>
      <c r="G294" t="inlineStr">
        <is>
          <t>抖音</t>
        </is>
      </c>
      <c r="H294" s="2" t="str">
        <f>=HYPERLINK("https://www.douyin.com/video/7625642082769669382", "https://www.douyin.com/video/7625642082769669382")</f>
        <v>https://www.douyin.com/video/7625642082769669382</v>
      </c>
      <c r="I294" s="3">
        <v>45877</v>
      </c>
      <c r="J294" s="4">
        <v>46243</v>
      </c>
      <c r="K294" t="inlineStr">
        <is>
          <t>青梅酒推荐①</t>
        </is>
      </c>
      <c r="L294"/>
      <c r="M294" t="inlineStr">
        <is>
          <t>DY-U0274</t>
        </is>
      </c>
      <c r="N294" t="inlineStr">
        <is>
          <t>公开评论</t>
        </is>
      </c>
      <c r="O294"/>
      <c r="P294" t="inlineStr">
        <is>
          <t>点赞数未成功识别，暂置空，禁止随机补值；当前日期来自视频发布时间，评论发布时间未识别</t>
        </is>
      </c>
      <c r="Q294" t="inlineStr">
        <is>
          <t>低度酒品类</t>
        </is>
      </c>
      <c r="R294"/>
      <c r="S294"/>
    </row>
    <row r="295" ht="25.5" customHeight="1">
      <c r="A295" t="inlineStr">
        <is>
          <t>DY-SOC-0095</t>
        </is>
      </c>
      <c r="B295" t="inlineStr">
        <is>
          <t>低度酒品类态度</t>
        </is>
      </c>
      <c r="C295" t="inlineStr">
        <is>
          <t>PRJ001</t>
        </is>
      </c>
      <c r="D295" t="inlineStr">
        <is>
          <t>低度酒</t>
        </is>
      </c>
      <c r="E295" t="inlineStr">
        <is>
          <t>已经到了对零食毫无欲望看到酒就走不动的年纪了[憨笑]</t>
        </is>
      </c>
      <c r="F295" t="inlineStr">
        <is>
          <t>青梅酒全测评｜2025-07-29｜抖音</t>
        </is>
      </c>
      <c r="G295" t="inlineStr">
        <is>
          <t>抖音</t>
        </is>
      </c>
      <c r="H295" s="2" t="str">
        <f>=HYPERLINK("https://www.douyin.com/video/7261209144718282042", "https://www.douyin.com/video/7261209144718282042")</f>
        <v>https://www.douyin.com/video/7261209144718282042</v>
      </c>
      <c r="I295" s="3">
        <v>45867</v>
      </c>
      <c r="J295" s="4">
        <v>46243</v>
      </c>
      <c r="K295" t="inlineStr">
        <is>
          <t>青梅酒推荐②</t>
        </is>
      </c>
      <c r="L295"/>
      <c r="M295" t="inlineStr">
        <is>
          <t>DY-U0278</t>
        </is>
      </c>
      <c r="N295" t="inlineStr">
        <is>
          <t>公开评论</t>
        </is>
      </c>
      <c r="O295"/>
      <c r="P295" t="inlineStr">
        <is>
          <t>点赞数未成功识别，暂置空，禁止随机补值；当前日期来自视频发布时间，评论发布时间未识别</t>
        </is>
      </c>
      <c r="Q295" t="inlineStr">
        <is>
          <t>低度酒品类</t>
        </is>
      </c>
      <c r="R295"/>
      <c r="S295"/>
    </row>
    <row r="296" ht="25.5" customHeight="1">
      <c r="A296" t="inlineStr">
        <is>
          <t>DY-SOC-0096</t>
        </is>
      </c>
      <c r="B296" t="inlineStr">
        <is>
          <t>低度酒品类态度</t>
        </is>
      </c>
      <c r="C296" t="inlineStr">
        <is>
          <t>PRJ001</t>
        </is>
      </c>
      <c r="D296" t="inlineStr">
        <is>
          <t>低度酒</t>
        </is>
      </c>
      <c r="E296" t="inlineStr">
        <is>
          <t>眼神渐渐迷离[捂脸][捂脸][捂脸]</t>
        </is>
      </c>
      <c r="F296" t="inlineStr">
        <is>
          <t>青梅酒全测评｜2025-07-29｜抖音</t>
        </is>
      </c>
      <c r="G296" t="inlineStr">
        <is>
          <t>抖音</t>
        </is>
      </c>
      <c r="H296" s="2" t="str">
        <f>=HYPERLINK("https://www.douyin.com/video/7261209144718282042", "https://www.douyin.com/video/7261209144718282042")</f>
        <v>https://www.douyin.com/video/7261209144718282042</v>
      </c>
      <c r="I296" s="3">
        <v>45867</v>
      </c>
      <c r="J296" s="4">
        <v>46243</v>
      </c>
      <c r="K296" t="inlineStr">
        <is>
          <t>青梅酒推荐②</t>
        </is>
      </c>
      <c r="L296"/>
      <c r="M296" t="inlineStr">
        <is>
          <t>DY-U0279</t>
        </is>
      </c>
      <c r="N296" t="inlineStr">
        <is>
          <t>公开评论</t>
        </is>
      </c>
      <c r="O296"/>
      <c r="P296" t="inlineStr">
        <is>
          <t>点赞数未成功识别，暂置空，禁止随机补值；当前日期来自视频发布时间，评论发布时间未识别</t>
        </is>
      </c>
      <c r="Q296" t="inlineStr">
        <is>
          <t>低度酒品类</t>
        </is>
      </c>
      <c r="R296"/>
      <c r="S296"/>
    </row>
    <row r="297" ht="25.5" customHeight="1">
      <c r="A297" t="inlineStr">
        <is>
          <t>DY-SOC-0097</t>
        </is>
      </c>
      <c r="B297" t="inlineStr">
        <is>
          <t>低度酒品类态度</t>
        </is>
      </c>
      <c r="C297" t="inlineStr">
        <is>
          <t>PRJ001</t>
        </is>
      </c>
      <c r="D297" t="inlineStr">
        <is>
          <t>低度酒</t>
        </is>
      </c>
      <c r="E297" t="inlineStr">
        <is>
          <t>没啥比加苏打水更快的了</t>
        </is>
      </c>
      <c r="F297" t="inlineStr">
        <is>
          <t>青梅酒全测评｜2025-07-29｜抖音</t>
        </is>
      </c>
      <c r="G297" t="inlineStr">
        <is>
          <t>抖音</t>
        </is>
      </c>
      <c r="H297" s="2" t="str">
        <f>=HYPERLINK("https://www.douyin.com/video/7261209144718282042", "https://www.douyin.com/video/7261209144718282042")</f>
        <v>https://www.douyin.com/video/7261209144718282042</v>
      </c>
      <c r="I297" s="3">
        <v>45867</v>
      </c>
      <c r="J297" s="4">
        <v>46243</v>
      </c>
      <c r="K297" t="inlineStr">
        <is>
          <t>青梅酒推荐②</t>
        </is>
      </c>
      <c r="L297"/>
      <c r="M297" t="inlineStr">
        <is>
          <t>DY-U0281</t>
        </is>
      </c>
      <c r="N297" t="inlineStr">
        <is>
          <t>公开评论</t>
        </is>
      </c>
      <c r="O297"/>
      <c r="P297" t="inlineStr">
        <is>
          <t>点赞数未成功识别，暂置空，禁止随机补值；当前日期来自视频发布时间，评论发布时间未识别</t>
        </is>
      </c>
      <c r="Q297" t="inlineStr">
        <is>
          <t>低度酒品类</t>
        </is>
      </c>
      <c r="R297"/>
      <c r="S297"/>
    </row>
    <row r="298" ht="25.5" customHeight="1">
      <c r="A298" t="inlineStr">
        <is>
          <t>DY-SOC-0098</t>
        </is>
      </c>
      <c r="B298" t="inlineStr">
        <is>
          <t>低度酒品类态度</t>
        </is>
      </c>
      <c r="C298" t="inlineStr">
        <is>
          <t>PRJ001</t>
        </is>
      </c>
      <c r="D298" t="inlineStr">
        <is>
          <t>低度酒</t>
        </is>
      </c>
      <c r="E298" t="inlineStr">
        <is>
          <t>喜野梅子酒+汤力水</t>
        </is>
      </c>
      <c r="F298" t="inlineStr">
        <is>
          <t>青梅酒全测评｜2025-07-29｜抖音</t>
        </is>
      </c>
      <c r="G298" t="inlineStr">
        <is>
          <t>抖音</t>
        </is>
      </c>
      <c r="H298" s="2" t="str">
        <f>=HYPERLINK("https://www.douyin.com/video/7261209144718282042", "https://www.douyin.com/video/7261209144718282042")</f>
        <v>https://www.douyin.com/video/7261209144718282042</v>
      </c>
      <c r="I298" s="3">
        <v>45867</v>
      </c>
      <c r="J298" s="4">
        <v>46243</v>
      </c>
      <c r="K298" t="inlineStr">
        <is>
          <t>青梅酒推荐②</t>
        </is>
      </c>
      <c r="L298"/>
      <c r="M298" t="inlineStr">
        <is>
          <t>DY-U0282</t>
        </is>
      </c>
      <c r="N298" t="inlineStr">
        <is>
          <t>公开评论</t>
        </is>
      </c>
      <c r="O298"/>
      <c r="P298" t="inlineStr">
        <is>
          <t>点赞数未成功识别，暂置空，禁止随机补值；当前日期来自视频发布时间，评论发布时间未识别</t>
        </is>
      </c>
      <c r="Q298" t="inlineStr">
        <is>
          <t>低度酒品类</t>
        </is>
      </c>
      <c r="R298"/>
      <c r="S298"/>
    </row>
    <row r="299" ht="25.5" customHeight="1">
      <c r="A299" t="inlineStr">
        <is>
          <t>DY-SOC-0099</t>
        </is>
      </c>
      <c r="B299" t="inlineStr">
        <is>
          <t>低度酒品类态度</t>
        </is>
      </c>
      <c r="C299" t="inlineStr">
        <is>
          <t>PRJ001</t>
        </is>
      </c>
      <c r="D299" t="inlineStr">
        <is>
          <t>低度酒</t>
        </is>
      </c>
      <c r="E299" t="inlineStr">
        <is>
          <t>我喜欢喝那个马天尼阿蒂斯起泡酒</t>
        </is>
      </c>
      <c r="F299" t="inlineStr">
        <is>
          <t>青梅酒全测评｜2025-07-29｜抖音</t>
        </is>
      </c>
      <c r="G299" t="inlineStr">
        <is>
          <t>抖音</t>
        </is>
      </c>
      <c r="H299" s="2" t="str">
        <f>=HYPERLINK("https://www.douyin.com/video/7261209144718282042", "https://www.douyin.com/video/7261209144718282042")</f>
        <v>https://www.douyin.com/video/7261209144718282042</v>
      </c>
      <c r="I299" s="3">
        <v>45867</v>
      </c>
      <c r="J299" s="4">
        <v>46243</v>
      </c>
      <c r="K299" t="inlineStr">
        <is>
          <t>青梅酒推荐②</t>
        </is>
      </c>
      <c r="L299"/>
      <c r="M299" t="inlineStr">
        <is>
          <t>DY-U0283</t>
        </is>
      </c>
      <c r="N299" t="inlineStr">
        <is>
          <t>公开评论</t>
        </is>
      </c>
      <c r="O299"/>
      <c r="P299" t="inlineStr">
        <is>
          <t>点赞数未成功识别，暂置空，禁止随机补值；当前日期来自视频发布时间，评论发布时间未识别</t>
        </is>
      </c>
      <c r="Q299" t="inlineStr">
        <is>
          <t>低度酒品类</t>
        </is>
      </c>
      <c r="R299"/>
      <c r="S299"/>
    </row>
    <row r="300" ht="25.5" customHeight="1">
      <c r="A300" t="inlineStr">
        <is>
          <t>DY-SOC-0100</t>
        </is>
      </c>
      <c r="B300" t="inlineStr">
        <is>
          <t>低度酒品类态度</t>
        </is>
      </c>
      <c r="C300" t="inlineStr">
        <is>
          <t>PRJ001</t>
        </is>
      </c>
      <c r="D300" t="inlineStr">
        <is>
          <t>低度酒</t>
        </is>
      </c>
      <c r="E300" t="inlineStr">
        <is>
          <t>第一[流泪][流泪][流泪]</t>
        </is>
      </c>
      <c r="F300" t="inlineStr">
        <is>
          <t>青梅酒全测评｜2025-07-29｜抖音</t>
        </is>
      </c>
      <c r="G300" t="inlineStr">
        <is>
          <t>抖音</t>
        </is>
      </c>
      <c r="H300" s="2" t="str">
        <f>=HYPERLINK("https://www.douyin.com/video/7261209144718282042", "https://www.douyin.com/video/7261209144718282042")</f>
        <v>https://www.douyin.com/video/7261209144718282042</v>
      </c>
      <c r="I300" s="3">
        <v>45867</v>
      </c>
      <c r="J300" s="4">
        <v>46243</v>
      </c>
      <c r="K300" t="inlineStr">
        <is>
          <t>青梅酒推荐②</t>
        </is>
      </c>
      <c r="L300"/>
      <c r="M300" t="inlineStr">
        <is>
          <t>DY-U0285</t>
        </is>
      </c>
      <c r="N300" t="inlineStr">
        <is>
          <t>公开评论</t>
        </is>
      </c>
      <c r="O300"/>
      <c r="P300" t="inlineStr">
        <is>
          <t>点赞数未成功识别，暂置空，禁止随机补值；当前日期来自视频发布时间，评论发布时间未识别</t>
        </is>
      </c>
      <c r="Q300" t="inlineStr">
        <is>
          <t>低度酒品类</t>
        </is>
      </c>
      <c r="R300"/>
      <c r="S300"/>
    </row>
    <row r="301" ht="25.5" customHeight="1">
      <c r="A301" t="inlineStr">
        <is>
          <t>DY-SOC-0101</t>
        </is>
      </c>
      <c r="B301" t="inlineStr">
        <is>
          <t>低度酒品类态度</t>
        </is>
      </c>
      <c r="C301" t="inlineStr">
        <is>
          <t>PRJ001</t>
        </is>
      </c>
      <c r="D301" t="inlineStr">
        <is>
          <t>低度酒</t>
        </is>
      </c>
      <c r="E301" t="inlineStr">
        <is>
          <t>蹲酒蒙子寄玫瑰汾酒</t>
        </is>
      </c>
      <c r="F301" t="inlineStr">
        <is>
          <t>平价年度好酒Top10｜2025-01-03｜抖音</t>
        </is>
      </c>
      <c r="G301" t="inlineStr">
        <is>
          <t>抖音</t>
        </is>
      </c>
      <c r="H301" s="2" t="str">
        <f>=HYPERLINK("https://www.douyin.com/video/7592552745405085545", "https://www.douyin.com/video/7592552745405085545")</f>
        <v>https://www.douyin.com/video/7592552745405085545</v>
      </c>
      <c r="I301" s="3">
        <v>45660</v>
      </c>
      <c r="J301" s="4">
        <v>46243</v>
      </c>
      <c r="K301" t="inlineStr">
        <is>
          <t>低度酒推荐①</t>
        </is>
      </c>
      <c r="L301"/>
      <c r="M301" t="inlineStr">
        <is>
          <t>DY-U0288</t>
        </is>
      </c>
      <c r="N301" t="inlineStr">
        <is>
          <t>公开评论</t>
        </is>
      </c>
      <c r="O301"/>
      <c r="P301" t="inlineStr">
        <is>
          <t>点赞数未成功识别，暂置空，禁止随机补值；当前日期来自视频发布时间，评论发布时间未识别</t>
        </is>
      </c>
      <c r="Q301" t="inlineStr">
        <is>
          <t>低度酒品类</t>
        </is>
      </c>
      <c r="R301"/>
      <c r="S301"/>
    </row>
    <row r="302" ht="25.5" customHeight="1">
      <c r="A302" t="inlineStr">
        <is>
          <t>XHS-SOC-0177</t>
        </is>
      </c>
      <c r="B302" t="inlineStr">
        <is>
          <t>低度酒品类态度</t>
        </is>
      </c>
      <c r="C302" t="inlineStr">
        <is>
          <t>PRJ001</t>
        </is>
      </c>
      <c r="D302" t="inlineStr">
        <is>
          <t>低度酒</t>
        </is>
      </c>
      <c r="E302" t="inlineStr">
        <is>
          <t>我自从发现喝了酒之后第二天会加重抑郁就再也没有想喝的欲望了</t>
        </is>
      </c>
      <c r="F302" t="inlineStr">
        <is>
          <t>真不能喝酒-急诊一堆喝酒来的｜2025-03-21｜小红书</t>
        </is>
      </c>
      <c r="G302" t="inlineStr">
        <is>
          <t>小红书</t>
        </is>
      </c>
      <c r="H302" s="2" t="str">
        <f>=HYPERLINK("https://www.xiaohongshu.com/search_result/喝酒胃不舒服", "https://www.xiaohongshu.com/search_result/喝酒胃不舒服")</f>
        <v>https://www.xiaohongshu.com/search_result/喝酒胃不舒服</v>
      </c>
      <c r="I302" s="3">
        <v>46114</v>
      </c>
      <c r="J302" s="4">
        <v>46243</v>
      </c>
      <c r="K302" t="inlineStr">
        <is>
          <t>喝酒胃不舒服</t>
        </is>
      </c>
      <c r="L302">
        <v>18</v>
      </c>
      <c r="M302" t="inlineStr">
        <is>
          <t>XHS-U0347</t>
        </is>
      </c>
      <c r="N302" t="inlineStr">
        <is>
          <t>公开评论</t>
        </is>
      </c>
      <c r="O302"/>
      <c r="P302" t="inlineStr">
        <is>
          <t>原始:04-02;年份推定·四川；当前为搜索结果页链接，正式入库前需补原笔记链接</t>
        </is>
      </c>
      <c r="Q302" t="inlineStr">
        <is>
          <t>低度酒品类</t>
        </is>
      </c>
      <c r="R302"/>
      <c r="S302"/>
    </row>
    <row r="303" ht="25.5" customHeight="1">
      <c r="A303" t="inlineStr">
        <is>
          <t>XHS-SOC-0180</t>
        </is>
      </c>
      <c r="B303" t="inlineStr">
        <is>
          <t>低度酒品类态度</t>
        </is>
      </c>
      <c r="C303" t="inlineStr">
        <is>
          <t>PRJ001</t>
        </is>
      </c>
      <c r="D303" t="inlineStr">
        <is>
          <t>低度酒</t>
        </is>
      </c>
      <c r="E303" t="inlineStr">
        <is>
          <t>对生理没好处 但是对心理有好处 而且比烟的危害小</t>
        </is>
      </c>
      <c r="F303" t="inlineStr">
        <is>
          <t>喝酒对人体没有一点好处｜2025-12-29｜小红书</t>
        </is>
      </c>
      <c r="G303" t="inlineStr">
        <is>
          <t>小红书</t>
        </is>
      </c>
      <c r="H303" s="2" t="str">
        <f>=HYPERLINK("https://www.xiaohongshu.com/search_result/低度酒智商税", "https://www.xiaohongshu.com/search_result/低度酒智商税")</f>
        <v>https://www.xiaohongshu.com/search_result/低度酒智商税</v>
      </c>
      <c r="I303" s="3">
        <v>46021</v>
      </c>
      <c r="J303" s="4">
        <v>46243</v>
      </c>
      <c r="K303" t="inlineStr">
        <is>
          <t>低度酒智商税</t>
        </is>
      </c>
      <c r="L303">
        <v>14</v>
      </c>
      <c r="M303" t="inlineStr">
        <is>
          <t>XHS-U0239</t>
        </is>
      </c>
      <c r="N303" t="inlineStr">
        <is>
          <t>公开评论</t>
        </is>
      </c>
      <c r="O303"/>
      <c r="P303" t="inlineStr">
        <is>
          <t>原始:2025-12-30·重庆；当前为搜索结果页链接，正式入库前需补原笔记链接</t>
        </is>
      </c>
      <c r="Q303" t="inlineStr">
        <is>
          <t>低度酒品类</t>
        </is>
      </c>
      <c r="R303"/>
      <c r="S303"/>
    </row>
    <row r="304" ht="25.5" customHeight="1">
      <c r="A304" t="inlineStr">
        <is>
          <t>XHS-SOC-0181</t>
        </is>
      </c>
      <c r="B304" t="inlineStr">
        <is>
          <t>低度酒品类态度</t>
        </is>
      </c>
      <c r="C304" t="inlineStr">
        <is>
          <t>PRJ001</t>
        </is>
      </c>
      <c r="D304" t="inlineStr">
        <is>
          <t>梅见</t>
        </is>
      </c>
      <c r="E304" t="inlineStr">
        <is>
          <t>好特卖梅见仅售18元</t>
        </is>
      </c>
      <c r="F304" t="inlineStr">
        <is>
          <t>梅见青梅酒调酒搭配｜2025-08-27｜小红书</t>
        </is>
      </c>
      <c r="G304" t="inlineStr">
        <is>
          <t>小红书</t>
        </is>
      </c>
      <c r="H304" s="2" t="str">
        <f>=HYPERLINK("https://www.xiaohongshu.com/search_result/梅见配什么", "https://www.xiaohongshu.com/search_result/梅见配什么")</f>
        <v>https://www.xiaohongshu.com/search_result/梅见配什么</v>
      </c>
      <c r="I304" s="3">
        <v>45955</v>
      </c>
      <c r="J304" s="4">
        <v>46243</v>
      </c>
      <c r="K304" t="inlineStr">
        <is>
          <t>梅见配什么</t>
        </is>
      </c>
      <c r="L304">
        <v>14</v>
      </c>
      <c r="M304" t="inlineStr">
        <is>
          <t>XHS-U0341</t>
        </is>
      </c>
      <c r="N304" t="inlineStr">
        <is>
          <t>公开评论</t>
        </is>
      </c>
      <c r="O304"/>
      <c r="P304" t="inlineStr">
        <is>
          <t>原始:2025-10-25·上海；当前为搜索结果页链接，正式入库前需补原笔记链接</t>
        </is>
      </c>
      <c r="Q304" t="inlineStr">
        <is>
          <t>目标品牌</t>
        </is>
      </c>
      <c r="R304"/>
      <c r="S304"/>
    </row>
    <row r="305" ht="25.5" customHeight="1">
      <c r="A305" t="inlineStr">
        <is>
          <t>XHS-SOC-0182</t>
        </is>
      </c>
      <c r="B305" t="inlineStr">
        <is>
          <t>低度酒品类态度</t>
        </is>
      </c>
      <c r="C305" t="inlineStr">
        <is>
          <t>PRJ001</t>
        </is>
      </c>
      <c r="D305" t="inlineStr">
        <is>
          <t>低度酒</t>
        </is>
      </c>
      <c r="E305" t="inlineStr">
        <is>
          <t>脑子清醒，但是眼睛眨眼频率高，去上个厕所，如果需要刻意才能走直线那就是喝多了</t>
        </is>
      </c>
      <c r="F305" t="inlineStr">
        <is>
          <t>如何能醺而不挂｜2025-07-05｜小红书</t>
        </is>
      </c>
      <c r="G305" t="inlineStr">
        <is>
          <t>小红书</t>
        </is>
      </c>
      <c r="H305" s="2" t="str">
        <f>=HYPERLINK("https://www.xiaohongshu.com/search_result/不想喝醉", "https://www.xiaohongshu.com/search_result/不想喝醉")</f>
        <v>https://www.xiaohongshu.com/search_result/不想喝醉</v>
      </c>
      <c r="I305" s="3">
        <v>46211</v>
      </c>
      <c r="J305" s="4">
        <v>46243</v>
      </c>
      <c r="K305" t="inlineStr">
        <is>
          <t>不想喝醉</t>
        </is>
      </c>
      <c r="L305">
        <v>13</v>
      </c>
      <c r="M305" t="inlineStr">
        <is>
          <t>XHS-U0295</t>
        </is>
      </c>
      <c r="N305" t="inlineStr">
        <is>
          <t>公开评论</t>
        </is>
      </c>
      <c r="O305"/>
      <c r="P305" t="inlineStr">
        <is>
          <t>原始:07-08;年份推定·广东；当前为搜索结果页链接，正式入库前需补原笔记链接</t>
        </is>
      </c>
      <c r="Q305" t="inlineStr">
        <is>
          <t>低度酒品类</t>
        </is>
      </c>
      <c r="R305"/>
      <c r="S305"/>
    </row>
    <row r="306" ht="25.5" customHeight="1">
      <c r="A306" t="inlineStr">
        <is>
          <t>XHS-SOC-0183</t>
        </is>
      </c>
      <c r="B306" t="inlineStr">
        <is>
          <t>低度酒品类态度</t>
        </is>
      </c>
      <c r="C306" t="inlineStr">
        <is>
          <t>PRJ001</t>
        </is>
      </c>
      <c r="D306" t="inlineStr">
        <is>
          <t>低度酒</t>
        </is>
      </c>
      <c r="E306" t="inlineStr">
        <is>
          <t>感觉自己话太多了，从i人变e人了</t>
        </is>
      </c>
      <c r="F306" t="inlineStr">
        <is>
          <t>如何能醺而不挂｜2025-07-05｜小红书</t>
        </is>
      </c>
      <c r="G306" t="inlineStr">
        <is>
          <t>小红书</t>
        </is>
      </c>
      <c r="H306" s="2" t="str">
        <f>=HYPERLINK("https://www.xiaohongshu.com/search_result/不想喝醉", "https://www.xiaohongshu.com/search_result/不想喝醉")</f>
        <v>https://www.xiaohongshu.com/search_result/不想喝醉</v>
      </c>
      <c r="I306" s="3">
        <v>46212</v>
      </c>
      <c r="J306" s="4">
        <v>46243</v>
      </c>
      <c r="K306" t="inlineStr">
        <is>
          <t>不想喝醉</t>
        </is>
      </c>
      <c r="L306">
        <v>11</v>
      </c>
      <c r="M306" t="inlineStr">
        <is>
          <t>XHS-U0298</t>
        </is>
      </c>
      <c r="N306" t="inlineStr">
        <is>
          <t>公开评论</t>
        </is>
      </c>
      <c r="O306"/>
      <c r="P306" t="inlineStr">
        <is>
          <t>原始:07-09;年份推定·新加坡；当前为搜索结果页链接，正式入库前需补原笔记链接</t>
        </is>
      </c>
      <c r="Q306" t="inlineStr">
        <is>
          <t>低度酒品类</t>
        </is>
      </c>
      <c r="R306"/>
      <c r="S306"/>
    </row>
    <row r="307" ht="25.5" customHeight="1">
      <c r="A307" t="inlineStr">
        <is>
          <t>XHS-SOC-0187</t>
        </is>
      </c>
      <c r="B307" t="inlineStr">
        <is>
          <t>低度酒品类态度</t>
        </is>
      </c>
      <c r="C307" t="inlineStr">
        <is>
          <t>PRJ001</t>
        </is>
      </c>
      <c r="D307" t="inlineStr">
        <is>
          <t>低度酒</t>
        </is>
      </c>
      <c r="E307" t="inlineStr">
        <is>
          <t>对人体有害的全是让人开心的</t>
        </is>
      </c>
      <c r="F307" t="inlineStr">
        <is>
          <t>喝酒对人体没有一点好处｜2025-12-29｜小红书</t>
        </is>
      </c>
      <c r="G307" t="inlineStr">
        <is>
          <t>小红书</t>
        </is>
      </c>
      <c r="H307" s="2" t="str">
        <f>=HYPERLINK("https://www.xiaohongshu.com/search_result/低度酒智商税", "https://www.xiaohongshu.com/search_result/低度酒智商税")</f>
        <v>https://www.xiaohongshu.com/search_result/低度酒智商税</v>
      </c>
      <c r="I307" s="3">
        <v>46028</v>
      </c>
      <c r="J307" s="4">
        <v>46243</v>
      </c>
      <c r="K307" t="inlineStr">
        <is>
          <t>低度酒智商税</t>
        </is>
      </c>
      <c r="L307">
        <v>7</v>
      </c>
      <c r="M307" t="inlineStr">
        <is>
          <t>XHS-U0240</t>
        </is>
      </c>
      <c r="N307" t="inlineStr">
        <is>
          <t>公开评论</t>
        </is>
      </c>
      <c r="O307"/>
      <c r="P307" t="inlineStr">
        <is>
          <t>原始:01-06;年份推定·重庆；当前为搜索结果页链接，正式入库前需补原笔记链接</t>
        </is>
      </c>
      <c r="Q307" t="inlineStr">
        <is>
          <t>低度酒品类</t>
        </is>
      </c>
      <c r="R307"/>
      <c r="S307"/>
    </row>
    <row r="308" ht="25.5" customHeight="1">
      <c r="A308" t="inlineStr">
        <is>
          <t>XHS-SOC-0188</t>
        </is>
      </c>
      <c r="B308" t="inlineStr">
        <is>
          <t>低度酒品类态度</t>
        </is>
      </c>
      <c r="C308" t="inlineStr">
        <is>
          <t>PRJ001</t>
        </is>
      </c>
      <c r="D308" t="inlineStr">
        <is>
          <t>低度酒</t>
        </is>
      </c>
      <c r="E308" t="inlineStr">
        <is>
          <t>喝多一点就容易醒睡不着</t>
        </is>
      </c>
      <c r="F308" t="inlineStr">
        <is>
          <t>真不能喝酒-急诊一堆喝酒来的｜2025-03-21｜小红书</t>
        </is>
      </c>
      <c r="G308" t="inlineStr">
        <is>
          <t>小红书</t>
        </is>
      </c>
      <c r="H308" s="2" t="str">
        <f>=HYPERLINK("https://www.xiaohongshu.com/search_result/喝酒胃不舒服", "https://www.xiaohongshu.com/search_result/喝酒胃不舒服")</f>
        <v>https://www.xiaohongshu.com/search_result/喝酒胃不舒服</v>
      </c>
      <c r="I308" s="3">
        <v>46108</v>
      </c>
      <c r="J308" s="4">
        <v>46243</v>
      </c>
      <c r="K308" t="inlineStr">
        <is>
          <t>喝酒胃不舒服</t>
        </is>
      </c>
      <c r="L308">
        <v>7</v>
      </c>
      <c r="M308" t="inlineStr">
        <is>
          <t>XHS-U0348</t>
        </is>
      </c>
      <c r="N308" t="inlineStr">
        <is>
          <t>公开评论</t>
        </is>
      </c>
      <c r="O308"/>
      <c r="P308" t="inlineStr">
        <is>
          <t>原始:03-27;年份推定·河南；当前为搜索结果页链接，正式入库前需补原笔记链接</t>
        </is>
      </c>
      <c r="Q308" t="inlineStr">
        <is>
          <t>低度酒品类</t>
        </is>
      </c>
      <c r="R308"/>
      <c r="S308"/>
    </row>
    <row r="309" ht="25.5" customHeight="1">
      <c r="A309" t="inlineStr">
        <is>
          <t>XHS-SOC-0189</t>
        </is>
      </c>
      <c r="B309" t="inlineStr">
        <is>
          <t>低度酒品类态度</t>
        </is>
      </c>
      <c r="C309" t="inlineStr">
        <is>
          <t>PRJ001</t>
        </is>
      </c>
      <c r="D309" t="inlineStr">
        <is>
          <t>低度酒</t>
        </is>
      </c>
      <c r="E309" t="inlineStr">
        <is>
          <t>说自己没喝多，然后去卫生间对着镜子说：xxx你别晕，精神点！</t>
        </is>
      </c>
      <c r="F309" t="inlineStr">
        <is>
          <t>如何能醺而不挂｜2025-07-05｜小红书</t>
        </is>
      </c>
      <c r="G309" t="inlineStr">
        <is>
          <t>小红书</t>
        </is>
      </c>
      <c r="H309" s="2" t="str">
        <f>=HYPERLINK("https://www.xiaohongshu.com/search_result/不想喝醉", "https://www.xiaohongshu.com/search_result/不想喝醉")</f>
        <v>https://www.xiaohongshu.com/search_result/不想喝醉</v>
      </c>
      <c r="I309" s="3">
        <v>46213</v>
      </c>
      <c r="J309" s="4">
        <v>46243</v>
      </c>
      <c r="K309" t="inlineStr">
        <is>
          <t>不想喝醉</t>
        </is>
      </c>
      <c r="L309">
        <v>6</v>
      </c>
      <c r="M309" t="inlineStr">
        <is>
          <t>XHS-U0299</t>
        </is>
      </c>
      <c r="N309" t="inlineStr">
        <is>
          <t>公开评论</t>
        </is>
      </c>
      <c r="O309"/>
      <c r="P309" t="inlineStr">
        <is>
          <t>原始:07-10;年份推定·四川；当前为搜索结果页链接，正式入库前需补原笔记链接</t>
        </is>
      </c>
      <c r="Q309" t="inlineStr">
        <is>
          <t>低度酒品类</t>
        </is>
      </c>
      <c r="R309"/>
      <c r="S309"/>
    </row>
    <row r="310" ht="25.5" customHeight="1">
      <c r="A310" t="inlineStr">
        <is>
          <t>XHS-SOC-0190</t>
        </is>
      </c>
      <c r="B310" t="inlineStr">
        <is>
          <t>低度酒品类态度</t>
        </is>
      </c>
      <c r="C310" t="inlineStr">
        <is>
          <t>PRJ001</t>
        </is>
      </c>
      <c r="D310" t="inlineStr">
        <is>
          <t>低度酒</t>
        </is>
      </c>
      <c r="E310" t="inlineStr">
        <is>
          <t>我今年73岁了，喝了一辈子的高度白酒，我觉得酒不是什么好东西，非必要最好都不要喝</t>
        </is>
      </c>
      <c r="F310" t="inlineStr">
        <is>
          <t>真不能喝酒-急诊一堆喝酒来的｜2025-03-21｜小红书</t>
        </is>
      </c>
      <c r="G310" t="inlineStr">
        <is>
          <t>小红书</t>
        </is>
      </c>
      <c r="H310" s="2" t="str">
        <f>=HYPERLINK("https://www.xiaohongshu.com/search_result/喝酒胃不舒服", "https://www.xiaohongshu.com/search_result/喝酒胃不舒服")</f>
        <v>https://www.xiaohongshu.com/search_result/喝酒胃不舒服</v>
      </c>
      <c r="I310" s="3">
        <v>46106</v>
      </c>
      <c r="J310" s="4">
        <v>46243</v>
      </c>
      <c r="K310" t="inlineStr">
        <is>
          <t>喝酒胃不舒服</t>
        </is>
      </c>
      <c r="L310">
        <v>5</v>
      </c>
      <c r="M310" t="inlineStr">
        <is>
          <t>XHS-U0351</t>
        </is>
      </c>
      <c r="N310" t="inlineStr">
        <is>
          <t>公开评论</t>
        </is>
      </c>
      <c r="O310"/>
      <c r="P310" t="inlineStr">
        <is>
          <t>原始:03-25;年份推定·湖南；当前为搜索结果页链接，正式入库前需补原笔记链接</t>
        </is>
      </c>
      <c r="Q310" t="inlineStr">
        <is>
          <t>低度酒品类</t>
        </is>
      </c>
      <c r="R310"/>
      <c r="S310"/>
    </row>
    <row r="311" ht="25.5" customHeight="1">
      <c r="A311" t="inlineStr">
        <is>
          <t>XHS-SOC-0203</t>
        </is>
      </c>
      <c r="B311" t="inlineStr">
        <is>
          <t>低度酒品类态度</t>
        </is>
      </c>
      <c r="C311" t="inlineStr">
        <is>
          <t>PRJ001</t>
        </is>
      </c>
      <c r="D311" t="inlineStr">
        <is>
          <t>低度酒</t>
        </is>
      </c>
      <c r="E311" t="inlineStr">
        <is>
          <t>以前我还喝两口，自从看到它是二级致癌物之后就不喝了</t>
        </is>
      </c>
      <c r="F311" t="inlineStr">
        <is>
          <t>喝酒对人体没有一点好处｜2025-12-29｜小红书</t>
        </is>
      </c>
      <c r="G311" t="inlineStr">
        <is>
          <t>小红书</t>
        </is>
      </c>
      <c r="H311" s="2" t="str">
        <f>=HYPERLINK("https://www.xiaohongshu.com/search_result/低度酒智商税", "https://www.xiaohongshu.com/search_result/低度酒智商税")</f>
        <v>https://www.xiaohongshu.com/search_result/低度酒智商税</v>
      </c>
      <c r="I311" s="3">
        <v>46027</v>
      </c>
      <c r="J311" s="4">
        <v>46243</v>
      </c>
      <c r="K311" t="inlineStr">
        <is>
          <t>低度酒智商税</t>
        </is>
      </c>
      <c r="L311">
        <v>2</v>
      </c>
      <c r="M311" t="inlineStr">
        <is>
          <t>XHS-U0241</t>
        </is>
      </c>
      <c r="N311" t="inlineStr">
        <is>
          <t>公开评论</t>
        </is>
      </c>
      <c r="O311"/>
      <c r="P311" t="inlineStr">
        <is>
          <t>原始:01-05;年份推定·江西；当前为搜索结果页链接，正式入库前需补原笔记链接</t>
        </is>
      </c>
      <c r="Q311" t="inlineStr">
        <is>
          <t>低度酒品类</t>
        </is>
      </c>
      <c r="R311"/>
      <c r="S311"/>
    </row>
    <row r="312" ht="25.5" customHeight="1">
      <c r="A312" t="inlineStr">
        <is>
          <t>XHS-SOC-0204</t>
        </is>
      </c>
      <c r="B312" t="inlineStr">
        <is>
          <t>低度酒品类态度</t>
        </is>
      </c>
      <c r="C312" t="inlineStr">
        <is>
          <t>PRJ001</t>
        </is>
      </c>
      <c r="D312" t="inlineStr">
        <is>
          <t>低度酒</t>
        </is>
      </c>
      <c r="E312" t="inlineStr">
        <is>
          <t>咬一下手指感觉不痛的时候或者突然变得特别有社交欲的时候就是多了</t>
        </is>
      </c>
      <c r="F312" t="inlineStr">
        <is>
          <t>如何能醺而不挂｜2025-07-05｜小红书</t>
        </is>
      </c>
      <c r="G312" t="inlineStr">
        <is>
          <t>小红书</t>
        </is>
      </c>
      <c r="H312" s="2" t="str">
        <f>=HYPERLINK("https://www.xiaohongshu.com/search_result/不想喝醉", "https://www.xiaohongshu.com/search_result/不想喝醉")</f>
        <v>https://www.xiaohongshu.com/search_result/不想喝醉</v>
      </c>
      <c r="I312" s="3">
        <v>46210</v>
      </c>
      <c r="J312" s="4">
        <v>46243</v>
      </c>
      <c r="K312" t="inlineStr">
        <is>
          <t>不想喝醉</t>
        </is>
      </c>
      <c r="L312">
        <v>2</v>
      </c>
      <c r="M312" t="inlineStr">
        <is>
          <t>XHS-U0297</t>
        </is>
      </c>
      <c r="N312" t="inlineStr">
        <is>
          <t>公开评论</t>
        </is>
      </c>
      <c r="O312"/>
      <c r="P312" t="inlineStr">
        <is>
          <t>原始:07-07;年份推定·江苏；当前为搜索结果页链接，正式入库前需补原笔记链接</t>
        </is>
      </c>
      <c r="Q312" t="inlineStr">
        <is>
          <t>低度酒品类</t>
        </is>
      </c>
      <c r="R312"/>
      <c r="S312"/>
    </row>
    <row r="313" ht="25.5" customHeight="1">
      <c r="A313" t="inlineStr">
        <is>
          <t>XHS-SOC-0218</t>
        </is>
      </c>
      <c r="B313" t="inlineStr">
        <is>
          <t>低度酒品类态度</t>
        </is>
      </c>
      <c r="C313" t="inlineStr">
        <is>
          <t>PRJ001</t>
        </is>
      </c>
      <c r="D313" t="inlineStr">
        <is>
          <t>梅见</t>
        </is>
      </c>
      <c r="E313" t="inlineStr">
        <is>
          <t>每晚没它不行了</t>
        </is>
      </c>
      <c r="F313" t="inlineStr">
        <is>
          <t>怎么会有这么好喝的梅子酒-时光梅见｜2025-03-21｜小红书</t>
        </is>
      </c>
      <c r="G313" t="inlineStr">
        <is>
          <t>小红书</t>
        </is>
      </c>
      <c r="H313" s="2" t="str">
        <f>=HYPERLINK("https://www.xiaohongshu.com/search_result/果酒哪个牌子好", "https://www.xiaohongshu.com/search_result/果酒哪个牌子好")</f>
        <v>https://www.xiaohongshu.com/search_result/果酒哪个牌子好</v>
      </c>
      <c r="I313" s="3">
        <v>45894</v>
      </c>
      <c r="J313" s="4">
        <v>46243</v>
      </c>
      <c r="K313" t="inlineStr">
        <is>
          <t>果酒哪个牌子好</t>
        </is>
      </c>
      <c r="L313">
        <v>12</v>
      </c>
      <c r="M313" t="inlineStr">
        <is>
          <t>XHS-U0324</t>
        </is>
      </c>
      <c r="N313" t="inlineStr">
        <is>
          <t>公开评论</t>
        </is>
      </c>
      <c r="O313"/>
      <c r="P313" t="inlineStr">
        <is>
          <t>原始:2025-08-25·广东；当前为搜索结果页链接，正式入库前需补原笔记链接</t>
        </is>
      </c>
      <c r="Q313" t="inlineStr">
        <is>
          <t>目标品牌</t>
        </is>
      </c>
      <c r="R313"/>
      <c r="S313"/>
    </row>
    <row r="314" ht="25.5" customHeight="1">
      <c r="A314" t="inlineStr">
        <is>
          <t>XHS-SOC-0248</t>
        </is>
      </c>
      <c r="B314" t="inlineStr">
        <is>
          <t>低度酒品类态度</t>
        </is>
      </c>
      <c r="C314" t="inlineStr">
        <is>
          <t>PRJ001</t>
        </is>
      </c>
      <c r="D314" t="inlineStr">
        <is>
          <t>低度酒</t>
        </is>
      </c>
      <c r="E314" t="inlineStr">
        <is>
          <t>喝酒太正常了，我平时都是心情不好就尝试一些没喝过的酒</t>
        </is>
      </c>
      <c r="F314" t="inlineStr">
        <is>
          <t>大学生靠喝酒释放压力正常吗｜2025-05-29｜小红书</t>
        </is>
      </c>
      <c r="G314" t="inlineStr">
        <is>
          <t>小红书</t>
        </is>
      </c>
      <c r="H314" s="2" t="str">
        <f>=HYPERLINK("https://www.xiaohongshu.com/search_result/年轻人为什么喝低度酒", "https://www.xiaohongshu.com/search_result/年轻人为什么喝低度酒")</f>
        <v>https://www.xiaohongshu.com/search_result/年轻人为什么喝低度酒</v>
      </c>
      <c r="I314" s="3">
        <v>45914</v>
      </c>
      <c r="J314" s="4">
        <v>46243</v>
      </c>
      <c r="K314" t="inlineStr">
        <is>
          <t>年轻人为什么喝低度酒</t>
        </is>
      </c>
      <c r="L314">
        <v>0</v>
      </c>
      <c r="M314" t="inlineStr">
        <is>
          <t>XHS-U0302</t>
        </is>
      </c>
      <c r="N314" t="inlineStr">
        <is>
          <t>公开评论</t>
        </is>
      </c>
      <c r="O314"/>
      <c r="P314" t="inlineStr">
        <is>
          <t>原始:2025-09-14·河南；当前为搜索结果页链接，正式入库前需补原笔记链接</t>
        </is>
      </c>
      <c r="Q314" t="inlineStr">
        <is>
          <t>低度酒品类</t>
        </is>
      </c>
      <c r="R314"/>
      <c r="S314"/>
    </row>
    <row r="315" ht="25.5" customHeight="1">
      <c r="A315" t="inlineStr">
        <is>
          <t>XHS-SOC-0251</t>
        </is>
      </c>
      <c r="B315" t="inlineStr">
        <is>
          <t>低度酒品类态度</t>
        </is>
      </c>
      <c r="C315" t="inlineStr">
        <is>
          <t>PRJ001</t>
        </is>
      </c>
      <c r="D315" t="inlineStr">
        <is>
          <t>低度酒</t>
        </is>
      </c>
      <c r="E315" t="inlineStr">
        <is>
          <t>喝了十多年 去年底突然就戒掉了 现在一个月最多喝一次</t>
        </is>
      </c>
      <c r="F315" t="inlineStr">
        <is>
          <t>真不能喝酒-急诊一堆喝酒来的｜2025-03-21｜小红书</t>
        </is>
      </c>
      <c r="G315" t="inlineStr">
        <is>
          <t>小红书</t>
        </is>
      </c>
      <c r="H315" s="2" t="str">
        <f>=HYPERLINK("https://www.xiaohongshu.com/search_result/喝酒胃不舒服", "https://www.xiaohongshu.com/search_result/喝酒胃不舒服")</f>
        <v>https://www.xiaohongshu.com/search_result/喝酒胃不舒服</v>
      </c>
      <c r="I315" s="3">
        <v>46105</v>
      </c>
      <c r="J315" s="4">
        <v>46243</v>
      </c>
      <c r="K315" t="inlineStr">
        <is>
          <t>喝酒胃不舒服</t>
        </is>
      </c>
      <c r="L315">
        <v>0</v>
      </c>
      <c r="M315" t="inlineStr">
        <is>
          <t>XHS-U0349</t>
        </is>
      </c>
      <c r="N315" t="inlineStr">
        <is>
          <t>公开评论</t>
        </is>
      </c>
      <c r="O315"/>
      <c r="P315" t="inlineStr">
        <is>
          <t>原始:03-24;年份推定·湖北；当前为搜索结果页链接，正式入库前需补原笔记链接</t>
        </is>
      </c>
      <c r="Q315" t="inlineStr">
        <is>
          <t>低度酒品类</t>
        </is>
      </c>
      <c r="R315"/>
      <c r="S315"/>
    </row>
    <row r="316" ht="25.5" customHeight="1">
      <c r="A316" t="inlineStr">
        <is>
          <t>XHS-SOC-0252</t>
        </is>
      </c>
      <c r="B316" t="inlineStr">
        <is>
          <t>低度酒品类态度</t>
        </is>
      </c>
      <c r="C316" t="inlineStr">
        <is>
          <t>PRJ001</t>
        </is>
      </c>
      <c r="D316" t="inlineStr">
        <is>
          <t>低度酒</t>
        </is>
      </c>
      <c r="E316" t="inlineStr">
        <is>
          <t>逼人喝酒就应该负法律责任</t>
        </is>
      </c>
      <c r="F316" t="inlineStr">
        <is>
          <t>真不能喝酒-急诊一堆喝酒来的｜2025-03-21｜小红书</t>
        </is>
      </c>
      <c r="G316" t="inlineStr">
        <is>
          <t>小红书</t>
        </is>
      </c>
      <c r="H316" s="2" t="str">
        <f>=HYPERLINK("https://www.xiaohongshu.com/search_result/喝酒胃不舒服", "https://www.xiaohongshu.com/search_result/喝酒胃不舒服")</f>
        <v>https://www.xiaohongshu.com/search_result/喝酒胃不舒服</v>
      </c>
      <c r="I316" s="3">
        <v>46110</v>
      </c>
      <c r="J316" s="4">
        <v>46243</v>
      </c>
      <c r="K316" t="inlineStr">
        <is>
          <t>喝酒胃不舒服</t>
        </is>
      </c>
      <c r="L316">
        <v>0</v>
      </c>
      <c r="M316" t="inlineStr">
        <is>
          <t>XHS-U0352</t>
        </is>
      </c>
      <c r="N316" t="inlineStr">
        <is>
          <t>公开评论</t>
        </is>
      </c>
      <c r="O316"/>
      <c r="P316" t="inlineStr">
        <is>
          <t>原始:03-29;年份推定·浙江；当前为搜索结果页链接，正式入库前需补原笔记链接</t>
        </is>
      </c>
      <c r="Q316" t="inlineStr">
        <is>
          <t>低度酒品类</t>
        </is>
      </c>
      <c r="R316"/>
      <c r="S316"/>
    </row>
    <row r="317" ht="25.5" customHeight="1">
      <c r="A317" t="inlineStr">
        <is>
          <t>XHS-SOC-0253</t>
        </is>
      </c>
      <c r="B317" t="inlineStr">
        <is>
          <t>低度酒品类态度</t>
        </is>
      </c>
      <c r="C317" t="inlineStr">
        <is>
          <t>PRJ001</t>
        </is>
      </c>
      <c r="D317" t="inlineStr">
        <is>
          <t>低度酒</t>
        </is>
      </c>
      <c r="E317" t="inlineStr">
        <is>
          <t>小酌怡情 熏酒伤身</t>
        </is>
      </c>
      <c r="F317" t="inlineStr">
        <is>
          <t>真不能喝酒-急诊一堆喝酒来的｜2025-03-21｜小红书</t>
        </is>
      </c>
      <c r="G317" t="inlineStr">
        <is>
          <t>小红书</t>
        </is>
      </c>
      <c r="H317" s="2" t="str">
        <f>=HYPERLINK("https://www.xiaohongshu.com/search_result/喝酒胃不舒服", "https://www.xiaohongshu.com/search_result/喝酒胃不舒服")</f>
        <v>https://www.xiaohongshu.com/search_result/喝酒胃不舒服</v>
      </c>
      <c r="I317" s="3">
        <v>46110</v>
      </c>
      <c r="J317" s="4">
        <v>46243</v>
      </c>
      <c r="K317" t="inlineStr">
        <is>
          <t>喝酒胃不舒服</t>
        </is>
      </c>
      <c r="L317">
        <v>0</v>
      </c>
      <c r="M317" t="inlineStr">
        <is>
          <t>XHS-U0353</t>
        </is>
      </c>
      <c r="N317" t="inlineStr">
        <is>
          <t>公开评论</t>
        </is>
      </c>
      <c r="O317"/>
      <c r="P317" t="inlineStr">
        <is>
          <t>原始:03-29;年份推定·广东；当前为搜索结果页链接，正式入库前需补原笔记链接</t>
        </is>
      </c>
      <c r="Q317" t="inlineStr">
        <is>
          <t>低度酒品类</t>
        </is>
      </c>
      <c r="R317"/>
      <c r="S317"/>
    </row>
    <row r="318" ht="25.5" customHeight="1">
      <c r="A318" t="inlineStr">
        <is>
          <t>XHS-SOC-0254</t>
        </is>
      </c>
      <c r="B318" t="inlineStr">
        <is>
          <t>低度酒品类态度</t>
        </is>
      </c>
      <c r="C318" t="inlineStr">
        <is>
          <t>PRJ001</t>
        </is>
      </c>
      <c r="D318" t="inlineStr">
        <is>
          <t>低度酒</t>
        </is>
      </c>
      <c r="E318" t="inlineStr">
        <is>
          <t>想亲嘴 和哭</t>
        </is>
      </c>
      <c r="F318" t="inlineStr">
        <is>
          <t>如何能醺而不挂｜2025-07-05｜小红书</t>
        </is>
      </c>
      <c r="G318" t="inlineStr">
        <is>
          <t>小红书</t>
        </is>
      </c>
      <c r="H318" s="2" t="str">
        <f>=HYPERLINK("https://www.xiaohongshu.com/search_result/不想喝醉", "https://www.xiaohongshu.com/search_result/不想喝醉")</f>
        <v>https://www.xiaohongshu.com/search_result/不想喝醉</v>
      </c>
      <c r="I318" s="3">
        <v>46214</v>
      </c>
      <c r="J318" s="4">
        <v>46243</v>
      </c>
      <c r="K318" t="inlineStr">
        <is>
          <t>不想喝醉</t>
        </is>
      </c>
      <c r="L318">
        <v>4</v>
      </c>
      <c r="M318" t="inlineStr">
        <is>
          <t>XHS-U0296</t>
        </is>
      </c>
      <c r="N318" t="inlineStr">
        <is>
          <t>公开评论</t>
        </is>
      </c>
      <c r="O318"/>
      <c r="P318" t="inlineStr">
        <is>
          <t>原始:07-11;年份推定·新疆；当前为搜索结果页链接，正式入库前需补原笔记链接</t>
        </is>
      </c>
      <c r="Q318" t="inlineStr">
        <is>
          <t>低度酒品类</t>
        </is>
      </c>
      <c r="R318"/>
      <c r="S318"/>
    </row>
    <row r="319" ht="25.5" customHeight="1">
      <c r="A319" t="inlineStr">
        <is>
          <t>DY-SOC-0266</t>
        </is>
      </c>
      <c r="B319" t="inlineStr">
        <is>
          <t>低度酒品类态度</t>
        </is>
      </c>
      <c r="C319" t="inlineStr">
        <is>
          <t>PRJ001</t>
        </is>
      </c>
      <c r="D319" t="inlineStr">
        <is>
          <t>低度酒</t>
        </is>
      </c>
      <c r="E319" t="inlineStr">
        <is>
          <t>我喝汾酒那个玫瑰汾还可以[看]</t>
        </is>
      </c>
      <c r="F319" t="inlineStr">
        <is>
          <t>平价年度好酒Top10｜2025-01-03｜抖音</t>
        </is>
      </c>
      <c r="G319" t="inlineStr">
        <is>
          <t>抖音</t>
        </is>
      </c>
      <c r="H319" s="2" t="str">
        <f>=HYPERLINK("https://www.douyin.com/video/7592552745405085545", "https://www.douyin.com/video/7592552745405085545")</f>
        <v>https://www.douyin.com/video/7592552745405085545</v>
      </c>
      <c r="I319" s="3">
        <v>45660</v>
      </c>
      <c r="J319" s="4">
        <v>46243</v>
      </c>
      <c r="K319" t="inlineStr">
        <is>
          <t>低度酒推荐①</t>
        </is>
      </c>
      <c r="L319"/>
      <c r="M319" t="inlineStr">
        <is>
          <t>DY-U0289</t>
        </is>
      </c>
      <c r="N319" t="inlineStr">
        <is>
          <t>公开评论</t>
        </is>
      </c>
      <c r="O319"/>
      <c r="P319" t="inlineStr">
        <is>
          <t>点赞数未成功识别，暂置空，禁止随机补值；当前日期来自视频发布时间，评论发布时间未识别</t>
        </is>
      </c>
      <c r="Q319" t="inlineStr">
        <is>
          <t>低度酒品类</t>
        </is>
      </c>
      <c r="R319"/>
      <c r="S319"/>
    </row>
    <row r="320" ht="25.5" customHeight="1">
      <c r="A320" t="inlineStr">
        <is>
          <t>DY-SOC-0267</t>
        </is>
      </c>
      <c r="B320" t="inlineStr">
        <is>
          <t>低度酒品类态度</t>
        </is>
      </c>
      <c r="C320" t="inlineStr">
        <is>
          <t>PRJ001</t>
        </is>
      </c>
      <c r="D320" t="inlineStr">
        <is>
          <t>低度酒</t>
        </is>
      </c>
      <c r="E320" t="inlineStr">
        <is>
          <t>诱惑七号到底哪里可以买到</t>
        </is>
      </c>
      <c r="F320" t="inlineStr">
        <is>
          <t>年度好酒Top10平价版｜2025-01-03｜抖音</t>
        </is>
      </c>
      <c r="G320" t="inlineStr">
        <is>
          <t>抖音</t>
        </is>
      </c>
      <c r="H320" s="2" t="str">
        <f>=HYPERLINK("https://www.douyin.com/video/7521311524146367784", "https://www.douyin.com/video/7521311524146367784")</f>
        <v>https://www.douyin.com/video/7521311524146367784</v>
      </c>
      <c r="I320" s="3">
        <v>45660</v>
      </c>
      <c r="J320" s="4">
        <v>46243</v>
      </c>
      <c r="K320" t="inlineStr">
        <is>
          <t>低度酒推荐②</t>
        </is>
      </c>
      <c r="L320"/>
      <c r="M320" t="inlineStr">
        <is>
          <t>DY-U0299</t>
        </is>
      </c>
      <c r="N320" t="inlineStr">
        <is>
          <t>公开评论</t>
        </is>
      </c>
      <c r="O320"/>
      <c r="P320" t="inlineStr">
        <is>
          <t>点赞数未成功识别，暂置空，禁止随机补值；当前日期来自视频发布时间，评论发布时间未识别</t>
        </is>
      </c>
      <c r="Q320" t="inlineStr">
        <is>
          <t>低度酒品类</t>
        </is>
      </c>
      <c r="R320"/>
      <c r="S320"/>
    </row>
    <row r="321" ht="25.5" customHeight="1">
      <c r="A321" t="inlineStr">
        <is>
          <t>DY-SOC-0268</t>
        </is>
      </c>
      <c r="B321" t="inlineStr">
        <is>
          <t>低度酒品类态度</t>
        </is>
      </c>
      <c r="C321" t="inlineStr">
        <is>
          <t>PRJ001</t>
        </is>
      </c>
      <c r="D321" t="inlineStr">
        <is>
          <t>低度酒</t>
        </is>
      </c>
      <c r="E321" t="inlineStr">
        <is>
          <t>测评那个草莓芭乐的酒</t>
        </is>
      </c>
      <c r="F321" t="inlineStr">
        <is>
          <t>年度好酒Top10平价版｜2025-01-03｜抖音</t>
        </is>
      </c>
      <c r="G321" t="inlineStr">
        <is>
          <t>抖音</t>
        </is>
      </c>
      <c r="H321" s="2" t="str">
        <f>=HYPERLINK("https://www.douyin.com/video/7521311524146367784", "https://www.douyin.com/video/7521311524146367784")</f>
        <v>https://www.douyin.com/video/7521311524146367784</v>
      </c>
      <c r="I321" s="3">
        <v>45660</v>
      </c>
      <c r="J321" s="4">
        <v>46243</v>
      </c>
      <c r="K321" t="inlineStr">
        <is>
          <t>低度酒推荐②</t>
        </is>
      </c>
      <c r="L321"/>
      <c r="M321" t="inlineStr">
        <is>
          <t>DY-U0300</t>
        </is>
      </c>
      <c r="N321" t="inlineStr">
        <is>
          <t>公开评论</t>
        </is>
      </c>
      <c r="O321"/>
      <c r="P321" t="inlineStr">
        <is>
          <t>点赞数未成功识别，暂置空，禁止随机补值；当前日期来自视频发布时间，评论发布时间未识别</t>
        </is>
      </c>
      <c r="Q321" t="inlineStr">
        <is>
          <t>低度酒品类</t>
        </is>
      </c>
      <c r="R321"/>
      <c r="S321"/>
    </row>
    <row r="322" ht="25.5" customHeight="1">
      <c r="A322" t="inlineStr">
        <is>
          <t>DY-SOC-0269</t>
        </is>
      </c>
      <c r="B322" t="inlineStr">
        <is>
          <t>低度酒品类态度</t>
        </is>
      </c>
      <c r="C322" t="inlineStr">
        <is>
          <t>PRJ001</t>
        </is>
      </c>
      <c r="D322" t="inlineStr">
        <is>
          <t>低度酒</t>
        </is>
      </c>
      <c r="E322" t="inlineStr">
        <is>
          <t>其实博主打着推荐的名号把自己喜欢的酒全喝了一遍</t>
        </is>
      </c>
      <c r="F322" t="inlineStr">
        <is>
          <t>年度好酒Top10平价版｜2025-01-03｜抖音</t>
        </is>
      </c>
      <c r="G322" t="inlineStr">
        <is>
          <t>抖音</t>
        </is>
      </c>
      <c r="H322" s="2" t="str">
        <f>=HYPERLINK("https://www.douyin.com/video/7521311524146367784", "https://www.douyin.com/video/7521311524146367784")</f>
        <v>https://www.douyin.com/video/7521311524146367784</v>
      </c>
      <c r="I322" s="3">
        <v>45660</v>
      </c>
      <c r="J322" s="4">
        <v>46243</v>
      </c>
      <c r="K322" t="inlineStr">
        <is>
          <t>低度酒推荐②</t>
        </is>
      </c>
      <c r="L322"/>
      <c r="M322" t="inlineStr">
        <is>
          <t>DY-U0301</t>
        </is>
      </c>
      <c r="N322" t="inlineStr">
        <is>
          <t>公开评论</t>
        </is>
      </c>
      <c r="O322"/>
      <c r="P322" t="inlineStr">
        <is>
          <t>点赞数未成功识别，暂置空，禁止随机补值；当前日期来自视频发布时间，评论发布时间未识别</t>
        </is>
      </c>
      <c r="Q322" t="inlineStr">
        <is>
          <t>低度酒品类</t>
        </is>
      </c>
      <c r="R322"/>
      <c r="S322"/>
    </row>
    <row r="323" ht="25.5" customHeight="1">
      <c r="A323" t="inlineStr">
        <is>
          <t>DY-SOC-0270</t>
        </is>
      </c>
      <c r="B323" t="inlineStr">
        <is>
          <t>低度酒品类态度</t>
        </is>
      </c>
      <c r="C323" t="inlineStr">
        <is>
          <t>PRJ001</t>
        </is>
      </c>
      <c r="D323" t="inlineStr">
        <is>
          <t>低度酒</t>
        </is>
      </c>
      <c r="E323" t="inlineStr">
        <is>
          <t>大家平时干喝吗拿什么吃的什么剧下酒</t>
        </is>
      </c>
      <c r="F323" t="inlineStr">
        <is>
          <t>年度好酒Top10平价版｜2025-01-03｜抖音</t>
        </is>
      </c>
      <c r="G323" t="inlineStr">
        <is>
          <t>抖音</t>
        </is>
      </c>
      <c r="H323" s="2" t="str">
        <f>=HYPERLINK("https://www.douyin.com/video/7521311524146367784", "https://www.douyin.com/video/7521311524146367784")</f>
        <v>https://www.douyin.com/video/7521311524146367784</v>
      </c>
      <c r="I323" s="3">
        <v>45660</v>
      </c>
      <c r="J323" s="4">
        <v>46243</v>
      </c>
      <c r="K323" t="inlineStr">
        <is>
          <t>低度酒推荐②</t>
        </is>
      </c>
      <c r="L323"/>
      <c r="M323" t="inlineStr">
        <is>
          <t>DY-U0302</t>
        </is>
      </c>
      <c r="N323" t="inlineStr">
        <is>
          <t>公开评论</t>
        </is>
      </c>
      <c r="O323"/>
      <c r="P323" t="inlineStr">
        <is>
          <t>点赞数未成功识别，暂置空，禁止随机补值；当前日期来自视频发布时间，评论发布时间未识别</t>
        </is>
      </c>
      <c r="Q323" t="inlineStr">
        <is>
          <t>低度酒品类</t>
        </is>
      </c>
      <c r="R323"/>
      <c r="S323"/>
    </row>
    <row r="324" ht="25.5" customHeight="1">
      <c r="A324" t="inlineStr">
        <is>
          <t>DY-SOC-0271</t>
        </is>
      </c>
      <c r="B324" t="inlineStr">
        <is>
          <t>低度酒品类态度</t>
        </is>
      </c>
      <c r="C324" t="inlineStr">
        <is>
          <t>PRJ001</t>
        </is>
      </c>
      <c r="D324" t="inlineStr">
        <is>
          <t>低度酒</t>
        </is>
      </c>
      <c r="E324" t="inlineStr">
        <is>
          <t>第一个怎么搜不到呢</t>
        </is>
      </c>
      <c r="F324" t="inlineStr">
        <is>
          <t>年度好酒Top10平价版｜2025-01-03｜抖音</t>
        </is>
      </c>
      <c r="G324" t="inlineStr">
        <is>
          <t>抖音</t>
        </is>
      </c>
      <c r="H324" s="2" t="str">
        <f>=HYPERLINK("https://www.douyin.com/video/7521311524146367784", "https://www.douyin.com/video/7521311524146367784")</f>
        <v>https://www.douyin.com/video/7521311524146367784</v>
      </c>
      <c r="I324" s="3">
        <v>45660</v>
      </c>
      <c r="J324" s="4">
        <v>46243</v>
      </c>
      <c r="K324" t="inlineStr">
        <is>
          <t>低度酒推荐②</t>
        </is>
      </c>
      <c r="L324"/>
      <c r="M324" t="inlineStr">
        <is>
          <t>DY-U0303</t>
        </is>
      </c>
      <c r="N324" t="inlineStr">
        <is>
          <t>公开评论</t>
        </is>
      </c>
      <c r="O324"/>
      <c r="P324" t="inlineStr">
        <is>
          <t>点赞数未成功识别，暂置空，禁止随机补值；当前日期来自视频发布时间，评论发布时间未识别</t>
        </is>
      </c>
      <c r="Q324" t="inlineStr">
        <is>
          <t>低度酒品类</t>
        </is>
      </c>
      <c r="R324"/>
      <c r="S324"/>
    </row>
    <row r="325" ht="25.5" customHeight="1">
      <c r="A325" t="inlineStr">
        <is>
          <t>DY-SOC-0272</t>
        </is>
      </c>
      <c r="B325" t="inlineStr">
        <is>
          <t>低度酒品类态度</t>
        </is>
      </c>
      <c r="C325" t="inlineStr">
        <is>
          <t>PRJ001</t>
        </is>
      </c>
      <c r="D325" t="inlineStr">
        <is>
          <t>低度酒</t>
        </is>
      </c>
      <c r="E325" t="inlineStr">
        <is>
          <t>有没有度数高一点的我喝这些酒像喝水一样[捂脸]</t>
        </is>
      </c>
      <c r="F325" t="inlineStr">
        <is>
          <t>年度好酒Top10平价版｜2025-01-03｜抖音</t>
        </is>
      </c>
      <c r="G325" t="inlineStr">
        <is>
          <t>抖音</t>
        </is>
      </c>
      <c r="H325" s="2" t="str">
        <f>=HYPERLINK("https://www.douyin.com/video/7521311524146367784", "https://www.douyin.com/video/7521311524146367784")</f>
        <v>https://www.douyin.com/video/7521311524146367784</v>
      </c>
      <c r="I325" s="3">
        <v>45660</v>
      </c>
      <c r="J325" s="4">
        <v>46243</v>
      </c>
      <c r="K325" t="inlineStr">
        <is>
          <t>低度酒推荐②</t>
        </is>
      </c>
      <c r="L325"/>
      <c r="M325" t="inlineStr">
        <is>
          <t>DY-U0305</t>
        </is>
      </c>
      <c r="N325" t="inlineStr">
        <is>
          <t>公开评论</t>
        </is>
      </c>
      <c r="O325"/>
      <c r="P325" t="inlineStr">
        <is>
          <t>点赞数未成功识别，暂置空，禁止随机补值；当前日期来自视频发布时间，评论发布时间未识别</t>
        </is>
      </c>
      <c r="Q325" t="inlineStr">
        <is>
          <t>低度酒品类</t>
        </is>
      </c>
      <c r="R325"/>
      <c r="S325"/>
    </row>
    <row r="326" ht="25.5" customHeight="1">
      <c r="A326" t="inlineStr">
        <is>
          <t>DY-SOC-0273</t>
        </is>
      </c>
      <c r="B326" t="inlineStr">
        <is>
          <t>低度酒品类态度</t>
        </is>
      </c>
      <c r="C326" t="inlineStr">
        <is>
          <t>PRJ001</t>
        </is>
      </c>
      <c r="D326" t="inlineStr">
        <is>
          <t>低度酒</t>
        </is>
      </c>
      <c r="E326" t="inlineStr">
        <is>
          <t>强爽我觉得挺猛啊第一罐确实就是饮料第二罐就有点迷糊三罐我就趴了白酒我就五六两的量</t>
        </is>
      </c>
      <c r="F326" t="inlineStr">
        <is>
          <t>超市小甜水上头测评｜2025-03-14｜抖音</t>
        </is>
      </c>
      <c r="G326" t="inlineStr">
        <is>
          <t>抖音</t>
        </is>
      </c>
      <c r="H326" s="2" t="str">
        <f>=HYPERLINK("https://www.douyin.com/video/7591112215512917489", "https://www.douyin.com/video/7591112215512917489")</f>
        <v>https://www.douyin.com/video/7591112215512917489</v>
      </c>
      <c r="I326" s="3">
        <v>45730</v>
      </c>
      <c r="J326" s="4">
        <v>46243</v>
      </c>
      <c r="K326" t="inlineStr">
        <is>
          <t>低度酒推荐③</t>
        </is>
      </c>
      <c r="L326"/>
      <c r="M326" t="inlineStr">
        <is>
          <t>DY-U0307</t>
        </is>
      </c>
      <c r="N326" t="inlineStr">
        <is>
          <t>公开评论</t>
        </is>
      </c>
      <c r="O326"/>
      <c r="P326" t="inlineStr">
        <is>
          <t>点赞数未成功识别，暂置空，禁止随机补值；当前日期来自视频发布时间，评论发布时间未识别</t>
        </is>
      </c>
      <c r="Q326" t="inlineStr">
        <is>
          <t>低度酒品类</t>
        </is>
      </c>
      <c r="R326"/>
      <c r="S326"/>
    </row>
    <row r="327" ht="25.5" customHeight="1">
      <c r="A327" t="inlineStr">
        <is>
          <t>DY-SOC-0275</t>
        </is>
      </c>
      <c r="B327" t="inlineStr">
        <is>
          <t>低度酒品类态度</t>
        </is>
      </c>
      <c r="C327" t="inlineStr">
        <is>
          <t>PRJ001</t>
        </is>
      </c>
      <c r="D327" t="inlineStr">
        <is>
          <t>低度酒</t>
        </is>
      </c>
      <c r="E327" t="inlineStr">
        <is>
          <t>相对于白的我更喜欢鸡尾酒和强爽</t>
        </is>
      </c>
      <c r="F327" t="inlineStr">
        <is>
          <t>超市小甜水上头测评｜2025-03-14｜抖音</t>
        </is>
      </c>
      <c r="G327" t="inlineStr">
        <is>
          <t>抖音</t>
        </is>
      </c>
      <c r="H327" s="2" t="str">
        <f>=HYPERLINK("https://www.douyin.com/video/7591112215512917489", "https://www.douyin.com/video/7591112215512917489")</f>
        <v>https://www.douyin.com/video/7591112215512917489</v>
      </c>
      <c r="I327" s="3">
        <v>45730</v>
      </c>
      <c r="J327" s="4">
        <v>46243</v>
      </c>
      <c r="K327" t="inlineStr">
        <is>
          <t>低度酒推荐③</t>
        </is>
      </c>
      <c r="L327"/>
      <c r="M327" t="inlineStr">
        <is>
          <t>DY-U0309</t>
        </is>
      </c>
      <c r="N327" t="inlineStr">
        <is>
          <t>公开评论</t>
        </is>
      </c>
      <c r="O327"/>
      <c r="P327" t="inlineStr">
        <is>
          <t>点赞数未成功识别，暂置空，禁止随机补值；当前日期来自视频发布时间，评论发布时间未识别</t>
        </is>
      </c>
      <c r="Q327" t="inlineStr">
        <is>
          <t>低度酒品类</t>
        </is>
      </c>
      <c r="R327"/>
      <c r="S327"/>
    </row>
    <row r="328" ht="25.5" customHeight="1">
      <c r="A328" t="inlineStr">
        <is>
          <t>DY-SOC-0277</t>
        </is>
      </c>
      <c r="B328" t="inlineStr">
        <is>
          <t>低度酒品类态度</t>
        </is>
      </c>
      <c r="C328" t="inlineStr">
        <is>
          <t>PRJ001</t>
        </is>
      </c>
      <c r="D328" t="inlineStr">
        <is>
          <t>低度酒</t>
        </is>
      </c>
      <c r="E328" t="inlineStr">
        <is>
          <t>名字好长hahah</t>
        </is>
      </c>
      <c r="F328" t="inlineStr">
        <is>
          <t>年轻人为何偏爱低度轻饮｜2025-07-18｜抖音</t>
        </is>
      </c>
      <c r="G328" t="inlineStr">
        <is>
          <t>抖音</t>
        </is>
      </c>
      <c r="H328" s="2" t="str">
        <f>=HYPERLINK("https://www.douyin.com/video/7606215191063203107", "https://www.douyin.com/video/7606215191063203107")</f>
        <v>https://www.douyin.com/video/7606215191063203107</v>
      </c>
      <c r="I328" s="3">
        <v>45856</v>
      </c>
      <c r="J328" s="4">
        <v>46243</v>
      </c>
      <c r="K328" t="inlineStr">
        <is>
          <t>年轻人为什么喝低度酒①</t>
        </is>
      </c>
      <c r="L328"/>
      <c r="M328" t="inlineStr">
        <is>
          <t>DY-U0318</t>
        </is>
      </c>
      <c r="N328" t="inlineStr">
        <is>
          <t>公开评论</t>
        </is>
      </c>
      <c r="O328"/>
      <c r="P328" t="inlineStr">
        <is>
          <t>点赞数未成功识别，暂置空，禁止随机补值；当前日期来自视频发布时间，评论发布时间未识别</t>
        </is>
      </c>
      <c r="Q328" t="inlineStr">
        <is>
          <t>低度酒品类</t>
        </is>
      </c>
      <c r="R328"/>
      <c r="S328"/>
    </row>
    <row r="329" ht="25.5" customHeight="1">
      <c r="A329" t="inlineStr">
        <is>
          <t>DY-SOC-0278</t>
        </is>
      </c>
      <c r="B329" t="inlineStr">
        <is>
          <t>低度酒品类态度</t>
        </is>
      </c>
      <c r="C329" t="inlineStr">
        <is>
          <t>PRJ001</t>
        </is>
      </c>
      <c r="D329" t="inlineStr">
        <is>
          <t>低度酒</t>
        </is>
      </c>
      <c r="E329" t="inlineStr">
        <is>
          <t>这是有心事了啊麒麟啤酒还可以</t>
        </is>
      </c>
      <c r="F329" t="inlineStr">
        <is>
          <t>年轻人为何偏爱低度轻饮｜2025-07-18｜抖音</t>
        </is>
      </c>
      <c r="G329" t="inlineStr">
        <is>
          <t>抖音</t>
        </is>
      </c>
      <c r="H329" s="2" t="str">
        <f>=HYPERLINK("https://www.douyin.com/video/7606215191063203107", "https://www.douyin.com/video/7606215191063203107")</f>
        <v>https://www.douyin.com/video/7606215191063203107</v>
      </c>
      <c r="I329" s="3">
        <v>45856</v>
      </c>
      <c r="J329" s="4">
        <v>46243</v>
      </c>
      <c r="K329" t="inlineStr">
        <is>
          <t>年轻人为什么喝低度酒①</t>
        </is>
      </c>
      <c r="L329"/>
      <c r="M329" t="inlineStr">
        <is>
          <t>DY-U0319</t>
        </is>
      </c>
      <c r="N329" t="inlineStr">
        <is>
          <t>公开评论</t>
        </is>
      </c>
      <c r="O329"/>
      <c r="P329" t="inlineStr">
        <is>
          <t>点赞数未成功识别，暂置空，禁止随机补值；当前日期来自视频发布时间，评论发布时间未识别</t>
        </is>
      </c>
      <c r="Q329" t="inlineStr">
        <is>
          <t>低度酒品类</t>
        </is>
      </c>
      <c r="R329"/>
      <c r="S329"/>
    </row>
    <row r="330" ht="25.5" customHeight="1">
      <c r="A330" t="inlineStr">
        <is>
          <t>DY-SOC-0279</t>
        </is>
      </c>
      <c r="B330" t="inlineStr">
        <is>
          <t>低度酒品类态度</t>
        </is>
      </c>
      <c r="C330" t="inlineStr">
        <is>
          <t>PRJ001</t>
        </is>
      </c>
      <c r="D330" t="inlineStr">
        <is>
          <t>低度酒</t>
        </is>
      </c>
      <c r="E330" t="inlineStr">
        <is>
          <t>他们说每次听到这个前奏狗都有遗憾</t>
        </is>
      </c>
      <c r="F330" t="inlineStr">
        <is>
          <t>年轻人为何偏爱低度轻饮｜2025-07-18｜抖音</t>
        </is>
      </c>
      <c r="G330" t="inlineStr">
        <is>
          <t>抖音</t>
        </is>
      </c>
      <c r="H330" s="2" t="str">
        <f>=HYPERLINK("https://www.douyin.com/video/7606215191063203107", "https://www.douyin.com/video/7606215191063203107")</f>
        <v>https://www.douyin.com/video/7606215191063203107</v>
      </c>
      <c r="I330" s="3">
        <v>45856</v>
      </c>
      <c r="J330" s="4">
        <v>46243</v>
      </c>
      <c r="K330" t="inlineStr">
        <is>
          <t>年轻人为什么喝低度酒①</t>
        </is>
      </c>
      <c r="L330"/>
      <c r="M330" t="inlineStr">
        <is>
          <t>DY-U0321</t>
        </is>
      </c>
      <c r="N330" t="inlineStr">
        <is>
          <t>公开评论</t>
        </is>
      </c>
      <c r="O330"/>
      <c r="P330" t="inlineStr">
        <is>
          <t>点赞数未成功识别，暂置空，禁止随机补值；当前日期来自视频发布时间，评论发布时间未识别</t>
        </is>
      </c>
      <c r="Q330" t="inlineStr">
        <is>
          <t>低度酒品类</t>
        </is>
      </c>
      <c r="R330"/>
      <c r="S330"/>
    </row>
    <row r="331" ht="25.5" customHeight="1">
      <c r="A331" t="inlineStr">
        <is>
          <t>DY-SOC-0280</t>
        </is>
      </c>
      <c r="B331" t="inlineStr">
        <is>
          <t>低度酒品类态度</t>
        </is>
      </c>
      <c r="C331" t="inlineStr">
        <is>
          <t>PRJ001</t>
        </is>
      </c>
      <c r="D331" t="inlineStr">
        <is>
          <t>低度酒</t>
        </is>
      </c>
      <c r="E331" t="inlineStr">
        <is>
          <t>真的只要一番榨吗</t>
        </is>
      </c>
      <c r="F331" t="inlineStr">
        <is>
          <t>年轻人为何偏爱低度轻饮｜2025-07-18｜抖音</t>
        </is>
      </c>
      <c r="G331" t="inlineStr">
        <is>
          <t>抖音</t>
        </is>
      </c>
      <c r="H331" s="2" t="str">
        <f>=HYPERLINK("https://www.douyin.com/video/7606215191063203107", "https://www.douyin.com/video/7606215191063203107")</f>
        <v>https://www.douyin.com/video/7606215191063203107</v>
      </c>
      <c r="I331" s="3">
        <v>45856</v>
      </c>
      <c r="J331" s="4">
        <v>46243</v>
      </c>
      <c r="K331" t="inlineStr">
        <is>
          <t>年轻人为什么喝低度酒①</t>
        </is>
      </c>
      <c r="L331"/>
      <c r="M331" t="inlineStr">
        <is>
          <t>DY-U0323</t>
        </is>
      </c>
      <c r="N331" t="inlineStr">
        <is>
          <t>公开评论</t>
        </is>
      </c>
      <c r="O331"/>
      <c r="P331" t="inlineStr">
        <is>
          <t>点赞数未成功识别，暂置空，禁止随机补值；当前日期来自视频发布时间，评论发布时间未识别</t>
        </is>
      </c>
      <c r="Q331" t="inlineStr">
        <is>
          <t>低度酒品类</t>
        </is>
      </c>
      <c r="R331"/>
      <c r="S331"/>
    </row>
    <row r="332" ht="25.5" customHeight="1">
      <c r="A332" t="inlineStr">
        <is>
          <t>MJ-RAW-0220</t>
        </is>
      </c>
      <c r="B332" t="inlineStr">
        <is>
          <t>饮酒情绪与身体负担</t>
        </is>
      </c>
      <c r="C332" t="inlineStr">
        <is>
          <t>PRJ001</t>
        </is>
      </c>
      <c r="D332" t="inlineStr">
        <is>
          <t>RIO锐澳</t>
        </is>
      </c>
      <c r="E332" t="inlineStr">
        <is>
          <t>一瓶微微醺，两瓶微醺</t>
        </is>
      </c>
      <c r="F332" t="inlineStr">
        <is>
          <t>来源：小红书平台用户评论</t>
        </is>
      </c>
      <c r="G332" t="inlineStr">
        <is>
          <t>小红书</t>
        </is>
      </c>
      <c r="H332" s="2" t="str">
        <f>=HYPERLINK("http://数据未收集", "数据未收集")</f>
        <v>数据未收集</v>
      </c>
      <c r="I332" s="3"/>
      <c r="J332" s="4">
        <v>46243</v>
      </c>
      <c r="K332" t="inlineStr">
        <is>
          <t>低度酒 微醺 评价</t>
        </is>
      </c>
      <c r="L332"/>
      <c r="M332" t="inlineStr">
        <is>
          <t>MJ-XHS-U-020</t>
        </is>
      </c>
      <c r="N332" t="inlineStr">
        <is>
          <t>公开评论</t>
        </is>
      </c>
      <c r="O332"/>
      <c r="P332" t="inlineStr">
        <is>
          <t>【用户场景】下班独饮
【情绪关键词】可控, 微醺, 轻松
【表层需求】想喝一点点，有轻微放松感
【深层情绪】想进入放松状态，但不想真正失控
【身份需求】我能掌控自己的饮酒状态，不靠喝醉证明尽兴
【饮酒态度】接受低度
【品牌反馈】未指向具体品牌
【可转化品牌洞察】低度酒的核心不是拼酒，而是“喝到刚刚好”的可控放松</t>
        </is>
      </c>
      <c r="Q332" t="inlineStr">
        <is>
          <t>饮酒文化或社交话题</t>
        </is>
      </c>
      <c r="R332"/>
      <c r="S332"/>
    </row>
    <row r="333" ht="25.5" customHeight="1">
      <c r="A333" t="inlineStr">
        <is>
          <t>MJ-RAW-0221</t>
        </is>
      </c>
      <c r="B333" t="inlineStr">
        <is>
          <t>饮酒情绪与身体负担</t>
        </is>
      </c>
      <c r="C333" t="inlineStr">
        <is>
          <t>PRJ001</t>
        </is>
      </c>
      <c r="D333"/>
      <c r="E333" t="inlineStr">
        <is>
          <t>一点酒味都没有，像水果汽水</t>
        </is>
      </c>
      <c r="F333" t="inlineStr">
        <is>
          <t>来源：小红书平台用户评论</t>
        </is>
      </c>
      <c r="G333" t="inlineStr">
        <is>
          <t>小红书</t>
        </is>
      </c>
      <c r="H333" s="2" t="str">
        <f>=HYPERLINK("http://数据未收集", "数据未收集")</f>
        <v>数据未收集</v>
      </c>
      <c r="I333" s="3"/>
      <c r="J333" s="4">
        <v>46243</v>
      </c>
      <c r="K333" t="inlineStr">
        <is>
          <t>低度酒 微醺 评价</t>
        </is>
      </c>
      <c r="L333"/>
      <c r="M333" t="inlineStr">
        <is>
          <t>MJ-XHS-U-021</t>
        </is>
      </c>
      <c r="N333" t="inlineStr">
        <is>
          <t>公开评论</t>
        </is>
      </c>
      <c r="O333"/>
      <c r="P333" t="inlineStr">
        <is>
          <t>【用户场景】下班独饮
【情绪关键词】低门槛, 轻松, 审美
【表层需求】想喝像饮料一样轻松的酒
【深层情绪】害怕传统酒味带来的压力和不适
【身份需求】我可以尝试酒，但不想被酒味打扰
【饮酒态度】接受低度
【品牌反馈】低度酒像水果汽水更容易被接受
【可转化品牌洞察】梅见如果要打动这类用户，需要降低酒感理解门槛，强调好入口和轻松饮用方式</t>
        </is>
      </c>
      <c r="Q333" t="inlineStr">
        <is>
          <t>饮酒文化或社交话题</t>
        </is>
      </c>
      <c r="R333"/>
      <c r="S333"/>
    </row>
    <row r="334" ht="25.5" customHeight="1">
      <c r="A334" t="inlineStr">
        <is>
          <t>MJ-RAW-0222</t>
        </is>
      </c>
      <c r="B334" t="inlineStr">
        <is>
          <t>饮酒情绪与身体负担</t>
        </is>
      </c>
      <c r="C334" t="inlineStr">
        <is>
          <t>PRJ001</t>
        </is>
      </c>
      <c r="D334"/>
      <c r="E334" t="inlineStr">
        <is>
          <t>玫瑰荔枝！好喝到爆！</t>
        </is>
      </c>
      <c r="F334" t="inlineStr">
        <is>
          <t>来源：小红书平台用户评论</t>
        </is>
      </c>
      <c r="G334" t="inlineStr">
        <is>
          <t>小红书</t>
        </is>
      </c>
      <c r="H334" s="2" t="str">
        <f>=HYPERLINK("http://数据未收集", "数据未收集")</f>
        <v>数据未收集</v>
      </c>
      <c r="I334" s="3"/>
      <c r="J334" s="4">
        <v>46243</v>
      </c>
      <c r="K334" t="inlineStr">
        <is>
          <t>低度酒 微醺 评价</t>
        </is>
      </c>
      <c r="L334"/>
      <c r="M334" t="inlineStr">
        <is>
          <t>MJ-XHS-U-022</t>
        </is>
      </c>
      <c r="N334" t="inlineStr">
        <is>
          <t>公开评论</t>
        </is>
      </c>
      <c r="O334"/>
      <c r="P334" t="inlineStr">
        <is>
          <t>【用户场景】女生局
【情绪关键词】轻松, 审美
【表层需求】想买具体好喝的口味
【深层情绪】低度酒选择逻辑接近饮料，用户需要明确口味信号
【身份需求】我希望自己的选择简单直接，别人一听就懂
【饮酒态度】接受低度
【品牌反馈】果味口味名容易驱动种草
【可转化品牌洞察】梅见需要打造更容易被复述的口味记忆点，而不是只讲抽象风味</t>
        </is>
      </c>
      <c r="Q334" t="inlineStr">
        <is>
          <t>饮酒文化或社交话题</t>
        </is>
      </c>
      <c r="R334"/>
      <c r="S334"/>
    </row>
    <row r="335" ht="25.5" customHeight="1">
      <c r="A335" t="inlineStr">
        <is>
          <t>MJ-RAW-0223</t>
        </is>
      </c>
      <c r="B335" t="inlineStr">
        <is>
          <t>饮酒情绪与身体负担</t>
        </is>
      </c>
      <c r="C335" t="inlineStr">
        <is>
          <t>PRJ001</t>
        </is>
      </c>
      <c r="D335"/>
      <c r="E335" t="inlineStr">
        <is>
          <t>别喝 都是假酒 第二天喝完头疼</t>
        </is>
      </c>
      <c r="F335" t="inlineStr">
        <is>
          <t>来源：小红书平台用户评论</t>
        </is>
      </c>
      <c r="G335" t="inlineStr">
        <is>
          <t>小红书</t>
        </is>
      </c>
      <c r="H335" s="2" t="str">
        <f>=HYPERLINK("http://数据未收集", "数据未收集")</f>
        <v>数据未收集</v>
      </c>
      <c r="I335" s="3"/>
      <c r="J335" s="4">
        <v>46243</v>
      </c>
      <c r="K335" t="inlineStr">
        <is>
          <t>低度酒 微醺 评价</t>
        </is>
      </c>
      <c r="L335"/>
      <c r="M335" t="inlineStr">
        <is>
          <t>MJ-XHS-U-023</t>
        </is>
      </c>
      <c r="N335" t="inlineStr">
        <is>
          <t>公开评论</t>
        </is>
      </c>
      <c r="O335"/>
      <c r="P335" t="inlineStr">
        <is>
          <t>【用户场景】下班独饮
【情绪关键词】怕失控, 边界感
【表层需求】想避开上头、头疼、第二天难受
【深层情绪】用户不是不想喝，而是担心身体代价
【身份需求】我想放松，但不想第二天为这杯酒付出代价
【饮酒态度】担心失控
【品牌反馈】对部分低度酒有上头和头疼担忧
【可转化品牌洞察】梅见不能只说微醺，要强调适量、慢饮、加冰、佐餐等可控饮用方式</t>
        </is>
      </c>
      <c r="Q335" t="inlineStr">
        <is>
          <t>饮酒文化或社交话题</t>
        </is>
      </c>
      <c r="R335"/>
      <c r="S335"/>
    </row>
    <row r="336" ht="25.5" customHeight="1">
      <c r="A336" t="inlineStr">
        <is>
          <t>MJ-RAW-0224</t>
        </is>
      </c>
      <c r="B336" t="inlineStr">
        <is>
          <t>饮酒情绪与身体负担</t>
        </is>
      </c>
      <c r="C336" t="inlineStr">
        <is>
          <t>PRJ001</t>
        </is>
      </c>
      <c r="D336"/>
      <c r="E336" t="inlineStr">
        <is>
          <t>不想喝酒，非常害怕会经历劝酒</t>
        </is>
      </c>
      <c r="F336" t="inlineStr">
        <is>
          <t>来源：小红书平台用户评论</t>
        </is>
      </c>
      <c r="G336" t="inlineStr">
        <is>
          <t>小红书</t>
        </is>
      </c>
      <c r="H336" s="2" t="str">
        <f>=HYPERLINK("http://数据未收集", "数据未收集")</f>
        <v>数据未收集</v>
      </c>
      <c r="I336" s="3"/>
      <c r="J336" s="4">
        <v>46243</v>
      </c>
      <c r="K336" t="inlineStr">
        <is>
          <t>低度酒 微醺 评价</t>
        </is>
      </c>
      <c r="L336"/>
      <c r="M336" t="inlineStr">
        <is>
          <t>MJ-XHS-U-024</t>
        </is>
      </c>
      <c r="N336" t="inlineStr">
        <is>
          <t>公开评论</t>
        </is>
      </c>
      <c r="O336"/>
      <c r="P336" t="inlineStr">
        <is>
          <t>【用户场景】聚餐
【情绪关键词】怕失控, 边界感, 尴尬
【表层需求】想避免被劝酒和被迫喝
【深层情绪】想参与社交，但害怕一旦进入酒桌就失去拒绝权
【身份需求】我可以社交，但不接受被酒局绑架
【饮酒态度】不主动喝酒
【品牌反馈】未指向具体品牌
【可转化品牌洞察】梅见若讲共饮，必须强调“不劝酒、不拼酒、一杯也算参与”</t>
        </is>
      </c>
      <c r="Q336" t="inlineStr">
        <is>
          <t>饮酒文化或社交话题</t>
        </is>
      </c>
      <c r="R336"/>
      <c r="S336"/>
    </row>
    <row r="337" ht="25.5" customHeight="1">
      <c r="A337" t="inlineStr">
        <is>
          <t>MJ-RAW-0225</t>
        </is>
      </c>
      <c r="B337" t="inlineStr">
        <is>
          <t>饮酒情绪与身体负担</t>
        </is>
      </c>
      <c r="C337" t="inlineStr">
        <is>
          <t>PRJ001</t>
        </is>
      </c>
      <c r="D337"/>
      <c r="E337" t="inlineStr">
        <is>
          <t>一到晚上就想喝点</t>
        </is>
      </c>
      <c r="F337" t="inlineStr">
        <is>
          <t>来源：小红书平台用户评论</t>
        </is>
      </c>
      <c r="G337" t="inlineStr">
        <is>
          <t>小红书</t>
        </is>
      </c>
      <c r="H337" s="2" t="str">
        <f>=HYPERLINK("http://数据未收集", "数据未收集")</f>
        <v>数据未收集</v>
      </c>
      <c r="I337" s="3"/>
      <c r="J337" s="4">
        <v>46243</v>
      </c>
      <c r="K337" t="inlineStr">
        <is>
          <t>低度酒 微醺 评价</t>
        </is>
      </c>
      <c r="L337"/>
      <c r="M337" t="inlineStr">
        <is>
          <t>MJ-XHS-U-025</t>
        </is>
      </c>
      <c r="N337" t="inlineStr">
        <is>
          <t>公开评论</t>
        </is>
      </c>
      <c r="O337"/>
      <c r="P337" t="inlineStr">
        <is>
          <t>【用户场景】下班独饮
【情绪关键词】轻松, 边界感
【表层需求】晚上想喝一点缓解压力
【深层情绪】想从白天状态切换到自己的生活节奏
【身份需求】我需要一个轻微、可控、不打扰生活的放松仪式
【饮酒态度】偶尔小酌
【品牌反馈】未指向具体品牌
【可转化品牌洞察】梅见可以进入“下班后给自己收个尾”的独饮场景</t>
        </is>
      </c>
      <c r="Q337" t="inlineStr">
        <is>
          <t>饮酒文化或社交话题</t>
        </is>
      </c>
      <c r="R337"/>
      <c r="S337"/>
    </row>
    <row r="338" ht="25.5" customHeight="1">
      <c r="A338" t="inlineStr">
        <is>
          <t>MJ-RAW-0226</t>
        </is>
      </c>
      <c r="B338" t="inlineStr">
        <is>
          <t>饮酒情绪与身体负担</t>
        </is>
      </c>
      <c r="C338" t="inlineStr">
        <is>
          <t>PRJ001</t>
        </is>
      </c>
      <c r="D338"/>
      <c r="E338" t="inlineStr">
        <is>
          <t>微微上头真的很舒服很解压</t>
        </is>
      </c>
      <c r="F338" t="inlineStr">
        <is>
          <t>来源：抖音平台用户评论</t>
        </is>
      </c>
      <c r="G338" t="inlineStr">
        <is>
          <t>抖音</t>
        </is>
      </c>
      <c r="H338" s="2" t="str">
        <f>=HYPERLINK("http://数据未收集", "数据未收集")</f>
        <v>数据未收集</v>
      </c>
      <c r="I338" s="3"/>
      <c r="J338" s="4">
        <v>46243</v>
      </c>
      <c r="K338" t="inlineStr">
        <is>
          <t>低度酒 微醺 评价</t>
        </is>
      </c>
      <c r="L338"/>
      <c r="M338" t="inlineStr">
        <is>
          <t>MJ-DY-U-016</t>
        </is>
      </c>
      <c r="N338" t="inlineStr">
        <is>
          <t>公开评论</t>
        </is>
      </c>
      <c r="O338"/>
      <c r="P338" t="inlineStr">
        <is>
          <t>【用户场景】下班独饮
【情绪关键词】轻松, 想合群
【表层需求】想通过低度酒放松身体
【深层情绪】不是为了醉，而是想让紧绷状态松下来
【身份需求】我想照顾自己的情绪，但不想彻底失控
【饮酒态度】喜欢微醺
【品牌反馈】低度酒有解压价值
【可转化品牌洞察】梅见可以把“微醺”转译为“轻微松下来”，避免讲成放纵</t>
        </is>
      </c>
      <c r="Q338" t="inlineStr">
        <is>
          <t>饮酒文化或社交话题</t>
        </is>
      </c>
      <c r="R338"/>
      <c r="S338"/>
    </row>
    <row r="339" ht="25.5" customHeight="1">
      <c r="A339" t="inlineStr">
        <is>
          <t>MJ-RAW-0227</t>
        </is>
      </c>
      <c r="B339" t="inlineStr">
        <is>
          <t>饮酒情绪与身体负担</t>
        </is>
      </c>
      <c r="C339" t="inlineStr">
        <is>
          <t>PRJ001</t>
        </is>
      </c>
      <c r="D339"/>
      <c r="E339" t="inlineStr">
        <is>
          <t>酒量不好的人的福利来啦</t>
        </is>
      </c>
      <c r="F339" t="inlineStr">
        <is>
          <t>来源：抖音平台用户评论</t>
        </is>
      </c>
      <c r="G339" t="inlineStr">
        <is>
          <t>抖音</t>
        </is>
      </c>
      <c r="H339" s="2" t="str">
        <f>=HYPERLINK("http://数据未收集", "数据未收集")</f>
        <v>数据未收集</v>
      </c>
      <c r="I339" s="3"/>
      <c r="J339" s="4">
        <v>46243</v>
      </c>
      <c r="K339" t="inlineStr">
        <is>
          <t>低度酒 微醺 评价</t>
        </is>
      </c>
      <c r="L339"/>
      <c r="M339" t="inlineStr">
        <is>
          <t>MJ-DY-U-017</t>
        </is>
      </c>
      <c r="N339" t="inlineStr">
        <is>
          <t>公开评论</t>
        </is>
      </c>
      <c r="O339"/>
      <c r="P339" t="inlineStr">
        <is>
          <t>【用户场景】女生局
【情绪关键词】轻松, 想合群, 体面
【表层需求】酒量不好也想参与氛围
【深层情绪】害怕自己不能喝，但又不想被排除在聚会之外
【身份需求】我不是不能社交，只是需要更友好的饮酒方式
【饮酒态度】接受低度
【品牌反馈】低度酒对新手友好
【可转化品牌洞察】梅见可以成为低酒量用户进入共饮场景的友好选择</t>
        </is>
      </c>
      <c r="Q339" t="inlineStr">
        <is>
          <t>饮酒文化或社交话题</t>
        </is>
      </c>
      <c r="R339"/>
      <c r="S339"/>
    </row>
    <row r="340" ht="25.5" customHeight="1">
      <c r="A340" t="inlineStr">
        <is>
          <t>MJ-RAW-0228</t>
        </is>
      </c>
      <c r="B340" t="inlineStr">
        <is>
          <t>饮酒情绪与身体负担</t>
        </is>
      </c>
      <c r="C340" t="inlineStr">
        <is>
          <t>PRJ001</t>
        </is>
      </c>
      <c r="D340"/>
      <c r="E340" t="inlineStr">
        <is>
          <t>一瓶酒等那么久，喝起来肯定很珍贵</t>
        </is>
      </c>
      <c r="F340" t="inlineStr">
        <is>
          <t>来源：抖音平台用户评论</t>
        </is>
      </c>
      <c r="G340" t="inlineStr">
        <is>
          <t>抖音</t>
        </is>
      </c>
      <c r="H340" s="2" t="str">
        <f>=HYPERLINK("http://数据未收集", "数据未收集")</f>
        <v>数据未收集</v>
      </c>
      <c r="I340" s="3"/>
      <c r="J340" s="4">
        <v>46243</v>
      </c>
      <c r="K340" t="inlineStr">
        <is>
          <t>低度酒 微醺 评价</t>
        </is>
      </c>
      <c r="L340"/>
      <c r="M340" t="inlineStr">
        <is>
          <t>MJ-DY-U-018</t>
        </is>
      </c>
      <c r="N340" t="inlineStr">
        <is>
          <t>公开评论</t>
        </is>
      </c>
      <c r="O340"/>
      <c r="P340" t="inlineStr">
        <is>
          <t>【用户场景】下班独饮
【情绪关键词】审美, 边界感
【表层需求】想慢慢喝、有一点仪式感
【深层情绪】低度酒不只是刺激，也可以承载生活节奏和期待感
【身份需求】我愿意为慢一点、有过程感的饮酒体验买单
【饮酒态度】偶尔小酌
【品牌反馈】梅酒/低度酒有慢生活联想
【可转化品牌洞察】梅见可以从“快速种草”延展到“值得慢慢喝”的生活仪式</t>
        </is>
      </c>
      <c r="Q340" t="inlineStr">
        <is>
          <t>饮酒文化或社交话题</t>
        </is>
      </c>
      <c r="R340"/>
      <c r="S340"/>
    </row>
    <row r="341" ht="25.5" customHeight="1">
      <c r="A341" t="inlineStr">
        <is>
          <t>MJ-RAW-0229</t>
        </is>
      </c>
      <c r="B341" t="inlineStr">
        <is>
          <t>饮酒情绪与身体负担</t>
        </is>
      </c>
      <c r="C341" t="inlineStr">
        <is>
          <t>PRJ001</t>
        </is>
      </c>
      <c r="D341"/>
      <c r="E341" t="inlineStr">
        <is>
          <t>俺有个配方：梅子酒60ml……</t>
        </is>
      </c>
      <c r="F341" t="inlineStr">
        <is>
          <t>来源：抖音平台用户评论</t>
        </is>
      </c>
      <c r="G341" t="inlineStr">
        <is>
          <t>抖音</t>
        </is>
      </c>
      <c r="H341" s="2" t="str">
        <f>=HYPERLINK("http://数据未收集", "数据未收集")</f>
        <v>数据未收集</v>
      </c>
      <c r="I341" s="3"/>
      <c r="J341" s="4">
        <v>46243</v>
      </c>
      <c r="K341" t="inlineStr">
        <is>
          <t>低度酒 微醺 评价</t>
        </is>
      </c>
      <c r="L341"/>
      <c r="M341" t="inlineStr">
        <is>
          <t>MJ-DY-U-019</t>
        </is>
      </c>
      <c r="N341" t="inlineStr">
        <is>
          <t>公开评论</t>
        </is>
      </c>
      <c r="O341"/>
      <c r="P341" t="inlineStr">
        <is>
          <t>【用户场景】下班独饮
【情绪关键词】轻松, 审美, 想合群
【表层需求】想自己调出更好喝的低度酒
【深层情绪】用户不只是被动喝酒，也想参与创造和分享喝法
【身份需求】我懂一点喝法，也愿意把好喝的配方分享给别人
【饮酒态度】喜欢微醺
【品牌反馈】梅子酒适合调饮和配方传播
【可转化品牌洞察】梅见可以做“喝法生成器”或“调饮说明书”，降低入口门槛并增强分享性</t>
        </is>
      </c>
      <c r="Q341" t="inlineStr">
        <is>
          <t>饮酒文化或社交话题</t>
        </is>
      </c>
      <c r="R341"/>
      <c r="S341"/>
    </row>
    <row r="342" ht="25.5" customHeight="1">
      <c r="A342" t="inlineStr">
        <is>
          <t>XHS-SOC-0009</t>
        </is>
      </c>
      <c r="B342" t="inlineStr">
        <is>
          <t>饮酒情绪与身体负担</t>
        </is>
      </c>
      <c r="C342" t="inlineStr">
        <is>
          <t>PRJ001</t>
        </is>
      </c>
      <c r="D342" t="inlineStr">
        <is>
          <t>低度酒</t>
        </is>
      </c>
      <c r="E342" t="inlineStr">
        <is>
          <t>最可怕的是同龄人中间有人做得非常好的时候你的压力指数级增长</t>
        </is>
      </c>
      <c r="F342" t="inlineStr">
        <is>
          <t>我为什么厌恶敬酒这个行为｜2025-02-14｜小红书</t>
        </is>
      </c>
      <c r="G342" t="inlineStr">
        <is>
          <t>小红书</t>
        </is>
      </c>
      <c r="H342" s="2" t="str">
        <f>=HYPERLINK("https://www.xiaohongshu.com/search_result/拒绝酒桌文化", "https://www.xiaohongshu.com/search_result/拒绝酒桌文化")</f>
        <v>https://www.xiaohongshu.com/search_result/拒绝酒桌文化</v>
      </c>
      <c r="I342" s="3">
        <v>46067</v>
      </c>
      <c r="J342" s="4">
        <v>46243</v>
      </c>
      <c r="K342" t="inlineStr">
        <is>
          <t>不想被劝酒</t>
        </is>
      </c>
      <c r="L342">
        <v>1160</v>
      </c>
      <c r="M342" t="inlineStr">
        <is>
          <t>XHS-U0255</t>
        </is>
      </c>
      <c r="N342" t="inlineStr">
        <is>
          <t>公开评论</t>
        </is>
      </c>
      <c r="O342"/>
      <c r="P342" t="inlineStr">
        <is>
          <t>原始:02-14;年份推定·江西；当前为搜索结果页链接，正式入库前需补原笔记链接</t>
        </is>
      </c>
      <c r="Q342" t="inlineStr">
        <is>
          <t>低度酒品类</t>
        </is>
      </c>
      <c r="R342"/>
      <c r="S342"/>
    </row>
    <row r="343" ht="25.5" customHeight="1">
      <c r="A343" t="inlineStr">
        <is>
          <t>DY-SOC-0102</t>
        </is>
      </c>
      <c r="B343" t="inlineStr">
        <is>
          <t>饮酒情绪与身体负担</t>
        </is>
      </c>
      <c r="C343" t="inlineStr">
        <is>
          <t>PRJ001</t>
        </is>
      </c>
      <c r="D343" t="inlineStr">
        <is>
          <t>梅见</t>
        </is>
      </c>
      <c r="E343" t="inlineStr">
        <is>
          <t>自己一个人在家微醺有推荐的吗[泪奔]</t>
        </is>
      </c>
      <c r="F343" t="inlineStr">
        <is>
          <t>超市小甜水上头测评｜2025-03-14｜抖音</t>
        </is>
      </c>
      <c r="G343" t="inlineStr">
        <is>
          <t>抖音</t>
        </is>
      </c>
      <c r="H343" s="2" t="str">
        <f>=HYPERLINK("https://www.douyin.com/video/7633357452931807473", "https://www.douyin.com/video/7633357452931807473")</f>
        <v>https://www.douyin.com/video/7633357452931807473</v>
      </c>
      <c r="I343" s="3">
        <v>45730</v>
      </c>
      <c r="J343" s="4">
        <v>46243</v>
      </c>
      <c r="K343" t="inlineStr">
        <is>
          <t>梅见难喝</t>
        </is>
      </c>
      <c r="L343"/>
      <c r="M343" t="inlineStr">
        <is>
          <t>DY-U0093</t>
        </is>
      </c>
      <c r="N343" t="inlineStr">
        <is>
          <t>公开评论</t>
        </is>
      </c>
      <c r="O343"/>
      <c r="P343" t="inlineStr">
        <is>
          <t>点赞数未成功识别，暂置空，禁止随机补值；当前日期来自视频发布时间，评论发布时间未识别</t>
        </is>
      </c>
      <c r="Q343" t="inlineStr">
        <is>
          <t>目标品牌</t>
        </is>
      </c>
      <c r="R343"/>
      <c r="S343"/>
    </row>
    <row r="344" ht="25.5" customHeight="1">
      <c r="A344" t="inlineStr">
        <is>
          <t>DY-SOC-0103</t>
        </is>
      </c>
      <c r="B344" t="inlineStr">
        <is>
          <t>饮酒情绪与身体负担</t>
        </is>
      </c>
      <c r="C344" t="inlineStr">
        <is>
          <t>PRJ001</t>
        </is>
      </c>
      <c r="D344" t="inlineStr">
        <is>
          <t>梅见</t>
        </is>
      </c>
      <c r="E344" t="inlineStr">
        <is>
          <t>放松时刻就得来点小酒</t>
        </is>
      </c>
      <c r="F344" t="inlineStr">
        <is>
          <t>傍晚放松小酌微醺｜2025-04-27｜抖音</t>
        </is>
      </c>
      <c r="G344" t="inlineStr">
        <is>
          <t>抖音</t>
        </is>
      </c>
      <c r="H344" s="2" t="str">
        <f>=HYPERLINK("https://www.douyin.com/video/7671145363051594930", "https://www.douyin.com/video/7671145363051594930")</f>
        <v>https://www.douyin.com/video/7671145363051594930</v>
      </c>
      <c r="I344" s="3">
        <v>45774</v>
      </c>
      <c r="J344" s="4">
        <v>46243</v>
      </c>
      <c r="K344" t="inlineStr">
        <is>
          <t>梅见太甜</t>
        </is>
      </c>
      <c r="L344"/>
      <c r="M344" t="inlineStr">
        <is>
          <t>DY-U0105</t>
        </is>
      </c>
      <c r="N344" t="inlineStr">
        <is>
          <t>公开评论</t>
        </is>
      </c>
      <c r="O344"/>
      <c r="P344" t="inlineStr">
        <is>
          <t>点赞数未成功识别，暂置空，禁止随机补值</t>
        </is>
      </c>
      <c r="Q344" t="inlineStr">
        <is>
          <t>目标品牌</t>
        </is>
      </c>
      <c r="R344"/>
      <c r="S344"/>
    </row>
    <row r="345" ht="25.5" customHeight="1">
      <c r="A345" t="inlineStr">
        <is>
          <t>DY-SOC-0104</t>
        </is>
      </c>
      <c r="B345" t="inlineStr">
        <is>
          <t>饮酒情绪与身体负担</t>
        </is>
      </c>
      <c r="C345" t="inlineStr">
        <is>
          <t>PRJ001</t>
        </is>
      </c>
      <c r="D345" t="inlineStr">
        <is>
          <t>梅见</t>
        </is>
      </c>
      <c r="E345" t="inlineStr">
        <is>
          <t>微醺是成年人的快乐</t>
        </is>
      </c>
      <c r="F345" t="inlineStr">
        <is>
          <t>傍晚放松小酌微醺｜2025-04-27｜抖音</t>
        </is>
      </c>
      <c r="G345" t="inlineStr">
        <is>
          <t>抖音</t>
        </is>
      </c>
      <c r="H345" s="2" t="str">
        <f>=HYPERLINK("https://www.douyin.com/video/7671145363051594930", "https://www.douyin.com/video/7671145363051594930")</f>
        <v>https://www.douyin.com/video/7671145363051594930</v>
      </c>
      <c r="I345" s="3">
        <v>45774</v>
      </c>
      <c r="J345" s="4">
        <v>46243</v>
      </c>
      <c r="K345" t="inlineStr">
        <is>
          <t>梅见太甜</t>
        </is>
      </c>
      <c r="L345"/>
      <c r="M345" t="inlineStr">
        <is>
          <t>DY-U0106</t>
        </is>
      </c>
      <c r="N345" t="inlineStr">
        <is>
          <t>公开评论</t>
        </is>
      </c>
      <c r="O345"/>
      <c r="P345" t="inlineStr">
        <is>
          <t>点赞数未成功识别，暂置空，禁止随机补值</t>
        </is>
      </c>
      <c r="Q345" t="inlineStr">
        <is>
          <t>目标品牌</t>
        </is>
      </c>
      <c r="R345"/>
      <c r="S345"/>
    </row>
    <row r="346" ht="25.5" customHeight="1">
      <c r="A346" t="inlineStr">
        <is>
          <t>DY-SOC-0105</t>
        </is>
      </c>
      <c r="B346" t="inlineStr">
        <is>
          <t>饮酒情绪与身体负担</t>
        </is>
      </c>
      <c r="C346" t="inlineStr">
        <is>
          <t>PRJ001</t>
        </is>
      </c>
      <c r="D346" t="inlineStr">
        <is>
          <t>梅见</t>
        </is>
      </c>
      <c r="E346" t="inlineStr">
        <is>
          <t>傍晚小酌的微醺感真的太治愈了这氛围看着就放松</t>
        </is>
      </c>
      <c r="F346" t="inlineStr">
        <is>
          <t>傍晚放松小酌微醺｜2025-04-27｜抖音</t>
        </is>
      </c>
      <c r="G346" t="inlineStr">
        <is>
          <t>抖音</t>
        </is>
      </c>
      <c r="H346" s="2" t="str">
        <f>=HYPERLINK("https://www.douyin.com/video/7671145363051594930", "https://www.douyin.com/video/7671145363051594930")</f>
        <v>https://www.douyin.com/video/7671145363051594930</v>
      </c>
      <c r="I346" s="3">
        <v>45774</v>
      </c>
      <c r="J346" s="4">
        <v>46243</v>
      </c>
      <c r="K346" t="inlineStr">
        <is>
          <t>梅见太甜</t>
        </is>
      </c>
      <c r="L346"/>
      <c r="M346" t="inlineStr">
        <is>
          <t>DY-U0108</t>
        </is>
      </c>
      <c r="N346" t="inlineStr">
        <is>
          <t>公开评论</t>
        </is>
      </c>
      <c r="O346"/>
      <c r="P346" t="inlineStr">
        <is>
          <t>点赞数未成功识别，暂置空，禁止随机补值；当前日期来自视频发布时间，评论发布时间未识别</t>
        </is>
      </c>
      <c r="Q346" t="inlineStr">
        <is>
          <t>目标品牌</t>
        </is>
      </c>
      <c r="R346"/>
      <c r="S346"/>
    </row>
    <row r="347" ht="25.5" customHeight="1">
      <c r="A347" t="inlineStr">
        <is>
          <t>DY-SOC-0106</t>
        </is>
      </c>
      <c r="B347" t="inlineStr">
        <is>
          <t>饮酒情绪与身体负担</t>
        </is>
      </c>
      <c r="C347" t="inlineStr">
        <is>
          <t>PRJ001</t>
        </is>
      </c>
      <c r="D347" t="inlineStr">
        <is>
          <t>梅见</t>
        </is>
      </c>
      <c r="E347" t="inlineStr">
        <is>
          <t>刚刚喝完微醺了[捂脸]</t>
        </is>
      </c>
      <c r="F347" t="inlineStr">
        <is>
          <t>喝酒一时爽喝完悔断肠｜2025-08-22｜抖音</t>
        </is>
      </c>
      <c r="G347" t="inlineStr">
        <is>
          <t>抖音</t>
        </is>
      </c>
      <c r="H347" s="2" t="str">
        <f>=HYPERLINK("https://www.douyin.com/video/7615205755860422373", "https://www.douyin.com/video/7615205755860422373")</f>
        <v>https://www.douyin.com/video/7615205755860422373</v>
      </c>
      <c r="I347" s="3">
        <v>45891</v>
      </c>
      <c r="J347" s="4">
        <v>46243</v>
      </c>
      <c r="K347" t="inlineStr">
        <is>
          <t>梅见上头</t>
        </is>
      </c>
      <c r="L347"/>
      <c r="M347" t="inlineStr">
        <is>
          <t>DY-U0120</t>
        </is>
      </c>
      <c r="N347" t="inlineStr">
        <is>
          <t>公开评论</t>
        </is>
      </c>
      <c r="O347"/>
      <c r="P347" t="inlineStr">
        <is>
          <t>点赞数未成功识别，暂置空，禁止随机补值；当前日期来自视频发布时间，评论发布时间未识别</t>
        </is>
      </c>
      <c r="Q347" t="inlineStr">
        <is>
          <t>目标品牌</t>
        </is>
      </c>
      <c r="R347"/>
      <c r="S347"/>
    </row>
    <row r="348" ht="25.5" customHeight="1">
      <c r="A348" t="inlineStr">
        <is>
          <t>DY-SOC-0107</t>
        </is>
      </c>
      <c r="B348" t="inlineStr">
        <is>
          <t>饮酒情绪与身体负担</t>
        </is>
      </c>
      <c r="C348" t="inlineStr">
        <is>
          <t>PRJ001</t>
        </is>
      </c>
      <c r="D348" t="inlineStr">
        <is>
          <t>梅见</t>
        </is>
      </c>
      <c r="E348" t="inlineStr">
        <is>
          <t>微醺的快乐只有打工人懂</t>
        </is>
      </c>
      <c r="F348" t="inlineStr">
        <is>
          <t>下班微醺这一刻太惬意｜2025-08-02｜抖音</t>
        </is>
      </c>
      <c r="G348" t="inlineStr">
        <is>
          <t>抖音</t>
        </is>
      </c>
      <c r="H348" s="2" t="str">
        <f>=HYPERLINK("https://www.douyin.com/video/7641146960553096778", "https://www.douyin.com/video/7641146960553096778")</f>
        <v>https://www.douyin.com/video/7641146960553096778</v>
      </c>
      <c r="I348" s="3">
        <v>45871</v>
      </c>
      <c r="J348" s="4">
        <v>46243</v>
      </c>
      <c r="K348" t="inlineStr">
        <is>
          <t>梅见独饮②</t>
        </is>
      </c>
      <c r="L348"/>
      <c r="M348" t="inlineStr">
        <is>
          <t>DY-U0178</t>
        </is>
      </c>
      <c r="N348" t="inlineStr">
        <is>
          <t>公开评论</t>
        </is>
      </c>
      <c r="O348"/>
      <c r="P348" t="inlineStr">
        <is>
          <t>点赞数未成功识别，暂置空，禁止随机补值</t>
        </is>
      </c>
      <c r="Q348" t="inlineStr">
        <is>
          <t>目标品牌</t>
        </is>
      </c>
      <c r="R348"/>
      <c r="S348"/>
    </row>
    <row r="349" ht="25.5" customHeight="1">
      <c r="A349" t="inlineStr">
        <is>
          <t>DY-SOC-0108</t>
        </is>
      </c>
      <c r="B349" t="inlineStr">
        <is>
          <t>饮酒情绪与身体负担</t>
        </is>
      </c>
      <c r="C349" t="inlineStr">
        <is>
          <t>PRJ001</t>
        </is>
      </c>
      <c r="D349" t="inlineStr">
        <is>
          <t>梅见</t>
        </is>
      </c>
      <c r="E349" t="inlineStr">
        <is>
          <t>酒精度不高吧适合微醺</t>
        </is>
      </c>
      <c r="F349" t="inlineStr">
        <is>
          <t>下班微醺这一刻太惬意｜2025-08-02｜抖音</t>
        </is>
      </c>
      <c r="G349" t="inlineStr">
        <is>
          <t>抖音</t>
        </is>
      </c>
      <c r="H349" s="2" t="str">
        <f>=HYPERLINK("https://www.douyin.com/video/7641146960553096778", "https://www.douyin.com/video/7641146960553096778")</f>
        <v>https://www.douyin.com/video/7641146960553096778</v>
      </c>
      <c r="I349" s="3">
        <v>45871</v>
      </c>
      <c r="J349" s="4">
        <v>46243</v>
      </c>
      <c r="K349" t="inlineStr">
        <is>
          <t>梅见独饮②</t>
        </is>
      </c>
      <c r="L349"/>
      <c r="M349" t="inlineStr">
        <is>
          <t>DY-U0185</t>
        </is>
      </c>
      <c r="N349" t="inlineStr">
        <is>
          <t>公开评论</t>
        </is>
      </c>
      <c r="O349"/>
      <c r="P349" t="inlineStr">
        <is>
          <t>点赞数未成功识别，暂置空，禁止随机补值</t>
        </is>
      </c>
      <c r="Q349" t="inlineStr">
        <is>
          <t>目标品牌</t>
        </is>
      </c>
      <c r="R349"/>
      <c r="S349"/>
    </row>
    <row r="350" ht="25.5" customHeight="1">
      <c r="A350" t="inlineStr">
        <is>
          <t>DY-SOC-0109</t>
        </is>
      </c>
      <c r="B350" t="inlineStr">
        <is>
          <t>饮酒情绪与身体负担</t>
        </is>
      </c>
      <c r="C350" t="inlineStr">
        <is>
          <t>PRJ001</t>
        </is>
      </c>
      <c r="D350" t="inlineStr">
        <is>
          <t>梅见</t>
        </is>
      </c>
      <c r="E350" t="inlineStr">
        <is>
          <t>周末和闺蜜的微醺火锅局</t>
        </is>
      </c>
      <c r="F350" t="inlineStr">
        <is>
          <t>周末茉莉火锅梅见｜2025-07-26｜抖音</t>
        </is>
      </c>
      <c r="G350" t="inlineStr">
        <is>
          <t>抖音</t>
        </is>
      </c>
      <c r="H350" s="2" t="str">
        <f>=HYPERLINK("https://www.douyin.com/video/7596615466261436386", "https://www.douyin.com/video/7596615466261436386")</f>
        <v>https://www.douyin.com/video/7596615466261436386</v>
      </c>
      <c r="I350" s="3">
        <v>45864</v>
      </c>
      <c r="J350" s="4">
        <v>46243</v>
      </c>
      <c r="K350" t="inlineStr">
        <is>
          <t>梅见火锅②</t>
        </is>
      </c>
      <c r="L350"/>
      <c r="M350" t="inlineStr">
        <is>
          <t>DY-U0215</t>
        </is>
      </c>
      <c r="N350" t="inlineStr">
        <is>
          <t>公开评论</t>
        </is>
      </c>
      <c r="O350"/>
      <c r="P350" t="inlineStr">
        <is>
          <t>点赞数未成功识别，暂置空，禁止随机补值；当前日期来自视频发布时间，评论发布时间未识别</t>
        </is>
      </c>
      <c r="Q350" t="inlineStr">
        <is>
          <t>目标品牌</t>
        </is>
      </c>
      <c r="R350"/>
      <c r="S350"/>
    </row>
    <row r="351" ht="25.5" customHeight="1">
      <c r="A351" t="inlineStr">
        <is>
          <t>DY-SOC-0110</t>
        </is>
      </c>
      <c r="B351" t="inlineStr">
        <is>
          <t>饮酒情绪与身体负担</t>
        </is>
      </c>
      <c r="C351" t="inlineStr">
        <is>
          <t>PRJ001</t>
        </is>
      </c>
      <c r="D351" t="inlineStr">
        <is>
          <t>梅见</t>
        </is>
      </c>
      <c r="E351" t="inlineStr">
        <is>
          <t>微醺果酒系列太懂女生了</t>
        </is>
      </c>
      <c r="F351" t="inlineStr">
        <is>
          <t>周末茉莉火锅梅见｜2025-07-26｜抖音</t>
        </is>
      </c>
      <c r="G351" t="inlineStr">
        <is>
          <t>抖音</t>
        </is>
      </c>
      <c r="H351" s="2" t="str">
        <f>=HYPERLINK("https://www.douyin.com/video/7596615466261436386", "https://www.douyin.com/video/7596615466261436386")</f>
        <v>https://www.douyin.com/video/7596615466261436386</v>
      </c>
      <c r="I351" s="3">
        <v>45864</v>
      </c>
      <c r="J351" s="4">
        <v>46243</v>
      </c>
      <c r="K351" t="inlineStr">
        <is>
          <t>梅见火锅②</t>
        </is>
      </c>
      <c r="L351"/>
      <c r="M351" t="inlineStr">
        <is>
          <t>DY-U0222</t>
        </is>
      </c>
      <c r="N351" t="inlineStr">
        <is>
          <t>公开评论</t>
        </is>
      </c>
      <c r="O351"/>
      <c r="P351" t="inlineStr">
        <is>
          <t>点赞数未成功识别，暂置空，禁止随机补值；当前日期来自视频发布时间，评论发布时间未识别</t>
        </is>
      </c>
      <c r="Q351" t="inlineStr">
        <is>
          <t>目标品牌</t>
        </is>
      </c>
      <c r="R351"/>
      <c r="S351"/>
    </row>
    <row r="352" ht="25.5" customHeight="1">
      <c r="A352" t="inlineStr">
        <is>
          <t>DY-SOC-0111</t>
        </is>
      </c>
      <c r="B352" t="inlineStr">
        <is>
          <t>饮酒情绪与身体负担</t>
        </is>
      </c>
      <c r="C352" t="inlineStr">
        <is>
          <t>PRJ001</t>
        </is>
      </c>
      <c r="D352" t="inlineStr">
        <is>
          <t>梅见</t>
        </is>
      </c>
      <c r="E352" t="inlineStr">
        <is>
          <t>好上头昨晚试过了</t>
        </is>
      </c>
      <c r="F352" t="inlineStr">
        <is>
          <t>小火锅冰梅见2｜2025-07-31｜抖音</t>
        </is>
      </c>
      <c r="G352" t="inlineStr">
        <is>
          <t>抖音</t>
        </is>
      </c>
      <c r="H352" s="2" t="str">
        <f>=HYPERLINK("https://www.douyin.com/video/7667775159961274021", "https://www.douyin.com/video/7667775159961274021")</f>
        <v>https://www.douyin.com/video/7667775159961274021</v>
      </c>
      <c r="I352" s="3">
        <v>45869</v>
      </c>
      <c r="J352" s="4">
        <v>46243</v>
      </c>
      <c r="K352" t="inlineStr">
        <is>
          <t>梅见火锅④</t>
        </is>
      </c>
      <c r="L352"/>
      <c r="M352" t="inlineStr">
        <is>
          <t>DY-U0239</t>
        </is>
      </c>
      <c r="N352" t="inlineStr">
        <is>
          <t>公开评论</t>
        </is>
      </c>
      <c r="O352"/>
      <c r="P352" t="inlineStr">
        <is>
          <t>点赞数未成功识别，暂置空，禁止随机补值</t>
        </is>
      </c>
      <c r="Q352" t="inlineStr">
        <is>
          <t>目标品牌</t>
        </is>
      </c>
      <c r="R352"/>
      <c r="S352"/>
    </row>
    <row r="353" ht="25.5" customHeight="1">
      <c r="A353" t="inlineStr">
        <is>
          <t>DY-SOC-0112</t>
        </is>
      </c>
      <c r="B353" t="inlineStr">
        <is>
          <t>饮酒情绪与身体负担</t>
        </is>
      </c>
      <c r="C353" t="inlineStr">
        <is>
          <t>PRJ001</t>
        </is>
      </c>
      <c r="D353" t="inlineStr">
        <is>
          <t>梅见</t>
        </is>
      </c>
      <c r="E353" t="inlineStr">
        <is>
          <t>就喜欢这种微醺的感觉刚刚好</t>
        </is>
      </c>
      <c r="F353" t="inlineStr">
        <is>
          <t>小火锅冰梅见2｜2025-07-31｜抖音</t>
        </is>
      </c>
      <c r="G353" t="inlineStr">
        <is>
          <t>抖音</t>
        </is>
      </c>
      <c r="H353" s="2" t="str">
        <f>=HYPERLINK("https://www.douyin.com/video/7667775159961274021", "https://www.douyin.com/video/7667775159961274021")</f>
        <v>https://www.douyin.com/video/7667775159961274021</v>
      </c>
      <c r="I353" s="3">
        <v>45869</v>
      </c>
      <c r="J353" s="4">
        <v>46243</v>
      </c>
      <c r="K353" t="inlineStr">
        <is>
          <t>梅见火锅④</t>
        </is>
      </c>
      <c r="L353"/>
      <c r="M353" t="inlineStr">
        <is>
          <t>DY-U0245</t>
        </is>
      </c>
      <c r="N353" t="inlineStr">
        <is>
          <t>公开评论</t>
        </is>
      </c>
      <c r="O353"/>
      <c r="P353" t="inlineStr">
        <is>
          <t>点赞数未成功识别，暂置空，禁止随机补值</t>
        </is>
      </c>
      <c r="Q353" t="inlineStr">
        <is>
          <t>目标品牌</t>
        </is>
      </c>
      <c r="R353"/>
      <c r="S353"/>
    </row>
    <row r="354" ht="25.5" customHeight="1">
      <c r="A354" t="inlineStr">
        <is>
          <t>DY-SOC-0113</t>
        </is>
      </c>
      <c r="B354" t="inlineStr">
        <is>
          <t>饮酒情绪与身体负担</t>
        </is>
      </c>
      <c r="C354" t="inlineStr">
        <is>
          <t>PRJ001</t>
        </is>
      </c>
      <c r="D354" t="inlineStr">
        <is>
          <t>梅见</t>
        </is>
      </c>
      <c r="E354" t="inlineStr">
        <is>
          <t>这也太适合周末小聚微醺一下了</t>
        </is>
      </c>
      <c r="F354" t="inlineStr">
        <is>
          <t>俏雅梅酒居家特调｜2024-08-16｜抖音</t>
        </is>
      </c>
      <c r="G354" t="inlineStr">
        <is>
          <t>抖音</t>
        </is>
      </c>
      <c r="H354" s="2" t="str">
        <f>=HYPERLINK("https://www.douyin.com/video/7447475027085200650", "https://www.douyin.com/video/7447475027085200650")</f>
        <v>https://www.douyin.com/video/7447475027085200650</v>
      </c>
      <c r="I354" s="3">
        <v>45520</v>
      </c>
      <c r="J354" s="4">
        <v>46243</v>
      </c>
      <c r="K354" t="inlineStr">
        <is>
          <t>梅见和CHOYA</t>
        </is>
      </c>
      <c r="L354"/>
      <c r="M354" t="inlineStr">
        <is>
          <t>DY-U0262</t>
        </is>
      </c>
      <c r="N354" t="inlineStr">
        <is>
          <t>公开评论</t>
        </is>
      </c>
      <c r="O354"/>
      <c r="P354" t="inlineStr">
        <is>
          <t>点赞数未成功识别，暂置空，禁止随机补值；原始:1年前;无法解析;原始时间未精确提取,根据页面公示时间范围估算;评论点赞数未精确提取,填写为0待人工复核</t>
        </is>
      </c>
      <c r="Q354" t="inlineStr">
        <is>
          <t>目标品牌</t>
        </is>
      </c>
      <c r="R354"/>
      <c r="S354"/>
    </row>
    <row r="355" ht="25.5" customHeight="1">
      <c r="A355" t="inlineStr">
        <is>
          <t>DY-SOC-0114</t>
        </is>
      </c>
      <c r="B355" t="inlineStr">
        <is>
          <t>饮酒情绪与身体负担</t>
        </is>
      </c>
      <c r="C355" t="inlineStr">
        <is>
          <t>PRJ001</t>
        </is>
      </c>
      <c r="D355" t="inlineStr">
        <is>
          <t>低度酒</t>
        </is>
      </c>
      <c r="E355" t="inlineStr">
        <is>
          <t>古6喝完第二天头疼的要裂开</t>
        </is>
      </c>
      <c r="F355" t="inlineStr">
        <is>
          <t>平价年度好酒Top10｜2025-01-03｜抖音</t>
        </is>
      </c>
      <c r="G355" t="inlineStr">
        <is>
          <t>抖音</t>
        </is>
      </c>
      <c r="H355" s="2" t="str">
        <f>=HYPERLINK("https://www.douyin.com/video/7592552745405085545", "https://www.douyin.com/video/7592552745405085545")</f>
        <v>https://www.douyin.com/video/7592552745405085545</v>
      </c>
      <c r="I355" s="3">
        <v>45660</v>
      </c>
      <c r="J355" s="4">
        <v>46243</v>
      </c>
      <c r="K355" t="inlineStr">
        <is>
          <t>低度酒推荐①</t>
        </is>
      </c>
      <c r="L355"/>
      <c r="M355" t="inlineStr">
        <is>
          <t>DY-U0293</t>
        </is>
      </c>
      <c r="N355" t="inlineStr">
        <is>
          <t>公开评论</t>
        </is>
      </c>
      <c r="O355"/>
      <c r="P355" t="inlineStr">
        <is>
          <t>点赞数未成功识别，暂置空，禁止随机补值；当前日期来自视频发布时间，评论发布时间未识别</t>
        </is>
      </c>
      <c r="Q355" t="inlineStr">
        <is>
          <t>低度酒品类</t>
        </is>
      </c>
      <c r="R355"/>
      <c r="S355"/>
    </row>
    <row r="356" ht="25.5" customHeight="1">
      <c r="A356" t="inlineStr">
        <is>
          <t>DY-SOC-0115</t>
        </is>
      </c>
      <c r="B356" t="inlineStr">
        <is>
          <t>饮酒情绪与身体负担</t>
        </is>
      </c>
      <c r="C356" t="inlineStr">
        <is>
          <t>PRJ001</t>
        </is>
      </c>
      <c r="D356" t="inlineStr">
        <is>
          <t>低度酒</t>
        </is>
      </c>
      <c r="E356" t="inlineStr">
        <is>
          <t>50度60度那也是酒这个虽然5度它也不是酒喝酒不上头不代表喝酒精饮料不上头</t>
        </is>
      </c>
      <c r="F356" t="inlineStr">
        <is>
          <t>超市小甜水上头测评｜2025-03-14｜抖音</t>
        </is>
      </c>
      <c r="G356" t="inlineStr">
        <is>
          <t>抖音</t>
        </is>
      </c>
      <c r="H356" s="2" t="str">
        <f>=HYPERLINK("https://www.douyin.com/video/7591112215512917489", "https://www.douyin.com/video/7591112215512917489")</f>
        <v>https://www.douyin.com/video/7591112215512917489</v>
      </c>
      <c r="I356" s="3">
        <v>45730</v>
      </c>
      <c r="J356" s="4">
        <v>46243</v>
      </c>
      <c r="K356" t="inlineStr">
        <is>
          <t>低度酒推荐③</t>
        </is>
      </c>
      <c r="L356"/>
      <c r="M356" t="inlineStr">
        <is>
          <t>DY-U0312</t>
        </is>
      </c>
      <c r="N356" t="inlineStr">
        <is>
          <t>公开评论</t>
        </is>
      </c>
      <c r="O356"/>
      <c r="P356" t="inlineStr">
        <is>
          <t>点赞数未成功识别，暂置空，禁止随机补值；当前日期来自视频发布时间，评论发布时间未识别</t>
        </is>
      </c>
      <c r="Q356" t="inlineStr">
        <is>
          <t>低度酒品类</t>
        </is>
      </c>
      <c r="R356"/>
      <c r="S356"/>
    </row>
    <row r="357" ht="25.5" customHeight="1">
      <c r="A357" t="inlineStr">
        <is>
          <t>DY-SOC-0116</t>
        </is>
      </c>
      <c r="B357" t="inlineStr">
        <is>
          <t>饮酒情绪与身体负担</t>
        </is>
      </c>
      <c r="C357" t="inlineStr">
        <is>
          <t>PRJ001</t>
        </is>
      </c>
      <c r="D357" t="inlineStr">
        <is>
          <t>低度酒</t>
        </is>
      </c>
      <c r="E357" t="inlineStr">
        <is>
          <t>强爽给我的感觉不像是醉了像是中毒了尤其是第二天难受的要死</t>
        </is>
      </c>
      <c r="F357" t="inlineStr">
        <is>
          <t>超市小甜水上头测评｜2025-03-14｜抖音</t>
        </is>
      </c>
      <c r="G357" t="inlineStr">
        <is>
          <t>抖音</t>
        </is>
      </c>
      <c r="H357" s="2" t="str">
        <f>=HYPERLINK("https://www.douyin.com/video/7591112215512917489", "https://www.douyin.com/video/7591112215512917489")</f>
        <v>https://www.douyin.com/video/7591112215512917489</v>
      </c>
      <c r="I357" s="3">
        <v>45730</v>
      </c>
      <c r="J357" s="4">
        <v>46243</v>
      </c>
      <c r="K357" t="inlineStr">
        <is>
          <t>低度酒推荐③</t>
        </is>
      </c>
      <c r="L357"/>
      <c r="M357" t="inlineStr">
        <is>
          <t>DY-U0313</t>
        </is>
      </c>
      <c r="N357" t="inlineStr">
        <is>
          <t>公开评论</t>
        </is>
      </c>
      <c r="O357"/>
      <c r="P357" t="inlineStr">
        <is>
          <t>点赞数未成功识别，暂置空，禁止随机补值</t>
        </is>
      </c>
      <c r="Q357" t="inlineStr">
        <is>
          <t>低度酒品类</t>
        </is>
      </c>
      <c r="R357"/>
      <c r="S357"/>
    </row>
    <row r="358" ht="25.5" customHeight="1">
      <c r="A358" t="inlineStr">
        <is>
          <t>XHS-SOC-0193</t>
        </is>
      </c>
      <c r="B358" t="inlineStr">
        <is>
          <t>饮酒情绪与身体负担</t>
        </is>
      </c>
      <c r="C358" t="inlineStr">
        <is>
          <t>PRJ001</t>
        </is>
      </c>
      <c r="D358" t="inlineStr">
        <is>
          <t>低度酒</t>
        </is>
      </c>
      <c r="E358" t="inlineStr">
        <is>
          <t>脑子清醒但是身体想睡觉，同时情绪敏感</t>
        </is>
      </c>
      <c r="F358" t="inlineStr">
        <is>
          <t>如何能醺而不挂｜2025-07-05｜小红书</t>
        </is>
      </c>
      <c r="G358" t="inlineStr">
        <is>
          <t>小红书</t>
        </is>
      </c>
      <c r="H358" s="2" t="str">
        <f>=HYPERLINK("https://www.xiaohongshu.com/search_result/不想喝醉", "https://www.xiaohongshu.com/search_result/不想喝醉")</f>
        <v>https://www.xiaohongshu.com/search_result/不想喝醉</v>
      </c>
      <c r="I358" s="3">
        <v>46221</v>
      </c>
      <c r="J358" s="4">
        <v>46243</v>
      </c>
      <c r="K358" t="inlineStr">
        <is>
          <t>不想喝醉</t>
        </is>
      </c>
      <c r="L358">
        <v>4</v>
      </c>
      <c r="M358" t="inlineStr">
        <is>
          <t>XHS-U0293</t>
        </is>
      </c>
      <c r="N358" t="inlineStr">
        <is>
          <t>公开评论</t>
        </is>
      </c>
      <c r="O358"/>
      <c r="P358" t="inlineStr">
        <is>
          <t>原始:07-18;年份推定·河北；当前为搜索结果页链接，正式入库前需补原笔记链接</t>
        </is>
      </c>
      <c r="Q358" t="inlineStr">
        <is>
          <t>低度酒品类</t>
        </is>
      </c>
      <c r="R358"/>
      <c r="S358"/>
    </row>
    <row r="359" ht="25.5" customHeight="1">
      <c r="A359" t="inlineStr">
        <is>
          <t>XHS-SOC-0198</t>
        </is>
      </c>
      <c r="B359" t="inlineStr">
        <is>
          <t>饮酒情绪与身体负担</t>
        </is>
      </c>
      <c r="C359" t="inlineStr">
        <is>
          <t>PRJ001</t>
        </is>
      </c>
      <c r="D359" t="inlineStr">
        <is>
          <t>梅见</t>
        </is>
      </c>
      <c r="E359" t="inlineStr">
        <is>
          <t>冰箱冷藏，昨晚喝了半瓶，晚上睡觉睡得都好</t>
        </is>
      </c>
      <c r="F359" t="inlineStr">
        <is>
          <t>怎么会有这么好喝的梅子酒-时光梅见｜2025-03-21｜小红书</t>
        </is>
      </c>
      <c r="G359" t="inlineStr">
        <is>
          <t>小红书</t>
        </is>
      </c>
      <c r="H359" s="2" t="str">
        <f>=HYPERLINK("https://www.xiaohongshu.com/search_result/果酒哪个牌子好", "https://www.xiaohongshu.com/search_result/果酒哪个牌子好")</f>
        <v>https://www.xiaohongshu.com/search_result/果酒哪个牌子好</v>
      </c>
      <c r="I359" s="3">
        <v>45990</v>
      </c>
      <c r="J359" s="4">
        <v>46243</v>
      </c>
      <c r="K359" t="inlineStr">
        <is>
          <t>果酒哪个牌子好</t>
        </is>
      </c>
      <c r="L359">
        <v>3</v>
      </c>
      <c r="M359" t="inlineStr">
        <is>
          <t>XHS-U0328</t>
        </is>
      </c>
      <c r="N359" t="inlineStr">
        <is>
          <t>公开评论</t>
        </is>
      </c>
      <c r="O359"/>
      <c r="P359" t="inlineStr">
        <is>
          <t>原始:2025-11-29·内蒙古；当前为搜索结果页链接，正式入库前需补原笔记链接</t>
        </is>
      </c>
      <c r="Q359" t="inlineStr">
        <is>
          <t>目标品牌</t>
        </is>
      </c>
      <c r="R359"/>
      <c r="S359"/>
    </row>
    <row r="360" ht="25.5" customHeight="1">
      <c r="A360" t="inlineStr">
        <is>
          <t>XHS-SOC-0199</t>
        </is>
      </c>
      <c r="B360" t="inlineStr">
        <is>
          <t>饮酒情绪与身体负担</t>
        </is>
      </c>
      <c r="C360" t="inlineStr">
        <is>
          <t>PRJ001</t>
        </is>
      </c>
      <c r="D360" t="inlineStr">
        <is>
          <t>低度酒</t>
        </is>
      </c>
      <c r="E360" t="inlineStr">
        <is>
          <t>我急性酒精中毒，3天才活过来！太可怕了，戒酒</t>
        </is>
      </c>
      <c r="F360" t="inlineStr">
        <is>
          <t>真不能喝酒-急诊一堆喝酒来的｜2025-03-21｜小红书</t>
        </is>
      </c>
      <c r="G360" t="inlineStr">
        <is>
          <t>小红书</t>
        </is>
      </c>
      <c r="H360" s="2" t="str">
        <f>=HYPERLINK("https://www.xiaohongshu.com/search_result/喝酒胃不舒服", "https://www.xiaohongshu.com/search_result/喝酒胃不舒服")</f>
        <v>https://www.xiaohongshu.com/search_result/喝酒胃不舒服</v>
      </c>
      <c r="I360" s="3">
        <v>46113</v>
      </c>
      <c r="J360" s="4">
        <v>46243</v>
      </c>
      <c r="K360" t="inlineStr">
        <is>
          <t>喝酒胃不舒服</t>
        </is>
      </c>
      <c r="L360">
        <v>3</v>
      </c>
      <c r="M360" t="inlineStr">
        <is>
          <t>XHS-U0345</t>
        </is>
      </c>
      <c r="N360" t="inlineStr">
        <is>
          <t>公开评论</t>
        </is>
      </c>
      <c r="O360"/>
      <c r="P360" t="inlineStr">
        <is>
          <t>原始:04-01;年份推定·美国；当前为搜索结果页链接，正式入库前需补原笔记链接</t>
        </is>
      </c>
      <c r="Q360" t="inlineStr">
        <is>
          <t>低度酒品类</t>
        </is>
      </c>
      <c r="R360"/>
      <c r="S360"/>
    </row>
    <row r="361" ht="25.5" customHeight="1">
      <c r="A361" t="inlineStr">
        <is>
          <t>XHS-SOC-0210</t>
        </is>
      </c>
      <c r="B361" t="inlineStr">
        <is>
          <t>饮酒情绪与身体负担</t>
        </is>
      </c>
      <c r="C361" t="inlineStr">
        <is>
          <t>PRJ001</t>
        </is>
      </c>
      <c r="D361" t="inlineStr">
        <is>
          <t>低度酒</t>
        </is>
      </c>
      <c r="E361" t="inlineStr">
        <is>
          <t>怎么说呢，喝酒微醺有助于睡眠，而睡眠好对身体有好处，也就是说喝酒有好处</t>
        </is>
      </c>
      <c r="F361" t="inlineStr">
        <is>
          <t>喝酒对人体没有一点好处｜2025-12-29｜小红书</t>
        </is>
      </c>
      <c r="G361" t="inlineStr">
        <is>
          <t>小红书</t>
        </is>
      </c>
      <c r="H361" s="2" t="str">
        <f>=HYPERLINK("https://www.xiaohongshu.com/search_result/低度酒智商税", "https://www.xiaohongshu.com/search_result/低度酒智商税")</f>
        <v>https://www.xiaohongshu.com/search_result/低度酒智商税</v>
      </c>
      <c r="I361" s="3">
        <v>46029</v>
      </c>
      <c r="J361" s="4">
        <v>46243</v>
      </c>
      <c r="K361" t="inlineStr">
        <is>
          <t>低度酒智商税</t>
        </is>
      </c>
      <c r="L361">
        <v>1</v>
      </c>
      <c r="M361" t="inlineStr">
        <is>
          <t>XHS-U0247</t>
        </is>
      </c>
      <c r="N361" t="inlineStr">
        <is>
          <t>公开评论</t>
        </is>
      </c>
      <c r="O361"/>
      <c r="P361" t="inlineStr">
        <is>
          <t>原始:01-07;年份推定·陕西；当前为搜索结果页链接，正式入库前需补原笔记链接</t>
        </is>
      </c>
      <c r="Q361" t="inlineStr">
        <is>
          <t>低度酒品类</t>
        </is>
      </c>
      <c r="R361"/>
      <c r="S361"/>
    </row>
    <row r="362" ht="25.5" customHeight="1">
      <c r="A362" t="inlineStr">
        <is>
          <t>XHS-SOC-0211</t>
        </is>
      </c>
      <c r="B362" t="inlineStr">
        <is>
          <t>饮酒情绪与身体负担</t>
        </is>
      </c>
      <c r="C362" t="inlineStr">
        <is>
          <t>PRJ001</t>
        </is>
      </c>
      <c r="D362" t="inlineStr">
        <is>
          <t>低度酒</t>
        </is>
      </c>
      <c r="E362" t="inlineStr">
        <is>
          <t>好喜欢喝到晕晕的又不会难受头痛那种感觉，走路飘飘的</t>
        </is>
      </c>
      <c r="F362" t="inlineStr">
        <is>
          <t>微醺就是把自己还给自己｜2025-08-28｜小红书</t>
        </is>
      </c>
      <c r="G362" t="inlineStr">
        <is>
          <t>小红书</t>
        </is>
      </c>
      <c r="H362" s="2" t="str">
        <f>=HYPERLINK("https://www.xiaohongshu.com/search_result/微醺放松", "https://www.xiaohongshu.com/search_result/微醺放松")</f>
        <v>https://www.xiaohongshu.com/search_result/微醺放松</v>
      </c>
      <c r="I362" s="3">
        <v>45901</v>
      </c>
      <c r="J362" s="4">
        <v>46243</v>
      </c>
      <c r="K362" t="inlineStr">
        <is>
          <t>微醺放松</t>
        </is>
      </c>
      <c r="L362">
        <v>1</v>
      </c>
      <c r="M362" t="inlineStr">
        <is>
          <t>XHS-U0288</t>
        </is>
      </c>
      <c r="N362" t="inlineStr">
        <is>
          <t>公开评论</t>
        </is>
      </c>
      <c r="O362"/>
      <c r="P362" t="inlineStr">
        <is>
          <t>原始:2025-09-01·河北；当前为搜索结果页链接，正式入库前需补原笔记链接</t>
        </is>
      </c>
      <c r="Q362" t="inlineStr">
        <is>
          <t>低度酒品类</t>
        </is>
      </c>
      <c r="R362"/>
      <c r="S362"/>
    </row>
    <row r="363" ht="25.5" customHeight="1">
      <c r="A363" t="inlineStr">
        <is>
          <t>XHS-SOC-0212</t>
        </is>
      </c>
      <c r="B363" t="inlineStr">
        <is>
          <t>饮酒情绪与身体负担</t>
        </is>
      </c>
      <c r="C363" t="inlineStr">
        <is>
          <t>PRJ001</t>
        </is>
      </c>
      <c r="D363" t="inlineStr">
        <is>
          <t>低度酒</t>
        </is>
      </c>
      <c r="E363" t="inlineStr">
        <is>
          <t>喝着酒没味了和喝白水一样就包醉了</t>
        </is>
      </c>
      <c r="F363" t="inlineStr">
        <is>
          <t>如何能醺而不挂｜2025-07-05｜小红书</t>
        </is>
      </c>
      <c r="G363" t="inlineStr">
        <is>
          <t>小红书</t>
        </is>
      </c>
      <c r="H363" s="2" t="str">
        <f>=HYPERLINK("https://www.xiaohongshu.com/search_result/不想喝醉", "https://www.xiaohongshu.com/search_result/不想喝醉")</f>
        <v>https://www.xiaohongshu.com/search_result/不想喝醉</v>
      </c>
      <c r="I363" s="3">
        <v>46214</v>
      </c>
      <c r="J363" s="4">
        <v>46243</v>
      </c>
      <c r="K363" t="inlineStr">
        <is>
          <t>不想喝醉</t>
        </is>
      </c>
      <c r="L363">
        <v>1</v>
      </c>
      <c r="M363" t="inlineStr">
        <is>
          <t>XHS-U0294</t>
        </is>
      </c>
      <c r="N363" t="inlineStr">
        <is>
          <t>公开评论</t>
        </is>
      </c>
      <c r="O363"/>
      <c r="P363" t="inlineStr">
        <is>
          <t>原始:07-11;年份推定·山东；当前为搜索结果页链接，正式入库前需补原笔记链接</t>
        </is>
      </c>
      <c r="Q363" t="inlineStr">
        <is>
          <t>低度酒品类</t>
        </is>
      </c>
      <c r="R363"/>
      <c r="S363"/>
    </row>
    <row r="364" ht="25.5" customHeight="1">
      <c r="A364" t="inlineStr">
        <is>
          <t>XHS-SOC-0231</t>
        </is>
      </c>
      <c r="B364" t="inlineStr">
        <is>
          <t>饮酒情绪与身体负担</t>
        </is>
      </c>
      <c r="C364" t="inlineStr">
        <is>
          <t>PRJ001</t>
        </is>
      </c>
      <c r="D364" t="inlineStr">
        <is>
          <t>梅见</t>
        </is>
      </c>
      <c r="E364" t="inlineStr">
        <is>
          <t>和闺蜜喝了6瓶，完全喝醉了，第二天起床还头晕</t>
        </is>
      </c>
      <c r="F364" t="inlineStr">
        <is>
          <t>梅见成分分析-浓缩汁勾兑｜2025-10-01｜小红书</t>
        </is>
      </c>
      <c r="G364" t="inlineStr">
        <is>
          <t>小红书</t>
        </is>
      </c>
      <c r="H364" s="2" t="str">
        <f>=HYPERLINK("https://www.xiaohongshu.com/search_result/梅见测评", "https://www.xiaohongshu.com/search_result/梅见测评")</f>
        <v>https://www.xiaohongshu.com/search_result/梅见测评</v>
      </c>
      <c r="I364" s="3">
        <v>46069</v>
      </c>
      <c r="J364" s="4">
        <v>46243</v>
      </c>
      <c r="K364" t="inlineStr">
        <is>
          <t>梅见测评</t>
        </is>
      </c>
      <c r="L364">
        <v>0</v>
      </c>
      <c r="M364" t="inlineStr">
        <is>
          <t>XHS-U0111</t>
        </is>
      </c>
      <c r="N364" t="inlineStr">
        <is>
          <t>公开评论</t>
        </is>
      </c>
      <c r="O364"/>
      <c r="P364" t="inlineStr">
        <is>
          <t>原始:02-16;年份推定·重庆；当前为搜索结果页链接，正式入库前需补原笔记链接</t>
        </is>
      </c>
      <c r="Q364" t="inlineStr">
        <is>
          <t>目标品牌</t>
        </is>
      </c>
      <c r="R364"/>
      <c r="S364"/>
    </row>
    <row r="365" ht="25.5" customHeight="1">
      <c r="A365" t="inlineStr">
        <is>
          <t>XHS-SOC-0232</t>
        </is>
      </c>
      <c r="B365" t="inlineStr">
        <is>
          <t>饮酒情绪与身体负担</t>
        </is>
      </c>
      <c r="C365" t="inlineStr">
        <is>
          <t>PRJ001</t>
        </is>
      </c>
      <c r="D365" t="inlineStr">
        <is>
          <t>低度酒</t>
        </is>
      </c>
      <c r="E365" t="inlineStr">
        <is>
          <t>一个人的微醺才是最放松的</t>
        </is>
      </c>
      <c r="F365" t="inlineStr">
        <is>
          <t>一个人喝酒很怪吗｜2025-03-08｜小红书</t>
        </is>
      </c>
      <c r="G365" t="inlineStr">
        <is>
          <t>小红书</t>
        </is>
      </c>
      <c r="H365" s="2" t="str">
        <f>=HYPERLINK("https://www.xiaohongshu.com/search_result/一个人喝酒", "https://www.xiaohongshu.com/search_result/一个人喝酒")</f>
        <v>https://www.xiaohongshu.com/search_result/一个人喝酒</v>
      </c>
      <c r="I365" s="3">
        <v>46095</v>
      </c>
      <c r="J365" s="4">
        <v>46243</v>
      </c>
      <c r="K365" t="inlineStr">
        <is>
          <t>一个人喝酒</t>
        </is>
      </c>
      <c r="L365">
        <v>0</v>
      </c>
      <c r="M365" t="inlineStr">
        <is>
          <t>XHS-U0266</t>
        </is>
      </c>
      <c r="N365" t="inlineStr">
        <is>
          <t>公开评论</t>
        </is>
      </c>
      <c r="O365"/>
      <c r="P365" t="inlineStr">
        <is>
          <t>原始:03-14;年份推定·湖北；当前为搜索结果页链接，正式入库前需补原笔记链接</t>
        </is>
      </c>
      <c r="Q365" t="inlineStr">
        <is>
          <t>低度酒品类</t>
        </is>
      </c>
      <c r="R365"/>
      <c r="S365"/>
    </row>
    <row r="366" ht="25.5" customHeight="1">
      <c r="A366" t="inlineStr">
        <is>
          <t>XHS-SOC-0233</t>
        </is>
      </c>
      <c r="B366" t="inlineStr">
        <is>
          <t>饮酒情绪与身体负担</t>
        </is>
      </c>
      <c r="C366" t="inlineStr">
        <is>
          <t>PRJ001</t>
        </is>
      </c>
      <c r="D366" t="inlineStr">
        <is>
          <t>低度酒</t>
        </is>
      </c>
      <c r="E366" t="inlineStr">
        <is>
          <t>就喜欢一个人微醺</t>
        </is>
      </c>
      <c r="F366" t="inlineStr">
        <is>
          <t>一个人喝酒很怪吗｜2025-03-08｜小红书</t>
        </is>
      </c>
      <c r="G366" t="inlineStr">
        <is>
          <t>小红书</t>
        </is>
      </c>
      <c r="H366" s="2" t="str">
        <f>=HYPERLINK("https://www.xiaohongshu.com/search_result/一个人喝酒", "https://www.xiaohongshu.com/search_result/一个人喝酒")</f>
        <v>https://www.xiaohongshu.com/search_result/一个人喝酒</v>
      </c>
      <c r="I366" s="3">
        <v>46092</v>
      </c>
      <c r="J366" s="4">
        <v>46243</v>
      </c>
      <c r="K366" t="inlineStr">
        <is>
          <t>一个人喝酒</t>
        </is>
      </c>
      <c r="L366">
        <v>0</v>
      </c>
      <c r="M366" t="inlineStr">
        <is>
          <t>XHS-U0278</t>
        </is>
      </c>
      <c r="N366" t="inlineStr">
        <is>
          <t>公开评论</t>
        </is>
      </c>
      <c r="O366"/>
      <c r="P366" t="inlineStr">
        <is>
          <t>原始:03-11;年份推定·安徽；当前为搜索结果页链接，正式入库前需补原笔记链接</t>
        </is>
      </c>
      <c r="Q366" t="inlineStr">
        <is>
          <t>低度酒品类</t>
        </is>
      </c>
      <c r="R366"/>
      <c r="S366"/>
    </row>
    <row r="367" ht="25.5" customHeight="1">
      <c r="A367" t="inlineStr">
        <is>
          <t>XHS-SOC-0234</t>
        </is>
      </c>
      <c r="B367" t="inlineStr">
        <is>
          <t>饮酒情绪与身体负担</t>
        </is>
      </c>
      <c r="C367" t="inlineStr">
        <is>
          <t>PRJ001</t>
        </is>
      </c>
      <c r="D367" t="inlineStr">
        <is>
          <t>低度酒</t>
        </is>
      </c>
      <c r="E367" t="inlineStr">
        <is>
          <t>微醺好幸福感觉脑子变慢了思考的东西变少了躺在床上好舒服我爱微醺</t>
        </is>
      </c>
      <c r="F367" t="inlineStr">
        <is>
          <t>微醺就是把自己还给自己｜2025-08-28｜小红书</t>
        </is>
      </c>
      <c r="G367" t="inlineStr">
        <is>
          <t>小红书</t>
        </is>
      </c>
      <c r="H367" s="2" t="str">
        <f>=HYPERLINK("https://www.xiaohongshu.com/search_result/微醺放松", "https://www.xiaohongshu.com/search_result/微醺放松")</f>
        <v>https://www.xiaohongshu.com/search_result/微醺放松</v>
      </c>
      <c r="I367" s="3">
        <v>46171</v>
      </c>
      <c r="J367" s="4">
        <v>46243</v>
      </c>
      <c r="K367" t="inlineStr">
        <is>
          <t>微醺放松</t>
        </is>
      </c>
      <c r="L367">
        <v>0</v>
      </c>
      <c r="M367" t="inlineStr">
        <is>
          <t>XHS-U0287</t>
        </is>
      </c>
      <c r="N367" t="inlineStr">
        <is>
          <t>公开评论</t>
        </is>
      </c>
      <c r="O367"/>
      <c r="P367" t="inlineStr">
        <is>
          <t>原始:05-29;年份推定·山东；当前为搜索结果页链接，正式入库前需补原笔记链接</t>
        </is>
      </c>
      <c r="Q367" t="inlineStr">
        <is>
          <t>低度酒品类</t>
        </is>
      </c>
      <c r="R367"/>
      <c r="S367"/>
    </row>
    <row r="368" ht="25.5" customHeight="1">
      <c r="A368" t="inlineStr">
        <is>
          <t>XHS-SOC-0235</t>
        </is>
      </c>
      <c r="B368" t="inlineStr">
        <is>
          <t>饮酒情绪与身体负担</t>
        </is>
      </c>
      <c r="C368" t="inlineStr">
        <is>
          <t>PRJ001</t>
        </is>
      </c>
      <c r="D368" t="inlineStr">
        <is>
          <t>低度酒</t>
        </is>
      </c>
      <c r="E368" t="inlineStr">
        <is>
          <t>脑袋沉沉就想睡觉了 这一觉会格外好 烦心事也会随之抛在脑后</t>
        </is>
      </c>
      <c r="F368" t="inlineStr">
        <is>
          <t>微醺就是把自己还给自己｜2025-08-28｜小红书</t>
        </is>
      </c>
      <c r="G368" t="inlineStr">
        <is>
          <t>小红书</t>
        </is>
      </c>
      <c r="H368" s="2" t="str">
        <f>=HYPERLINK("https://www.xiaohongshu.com/search_result/微醺放松", "https://www.xiaohongshu.com/search_result/微醺放松")</f>
        <v>https://www.xiaohongshu.com/search_result/微醺放松</v>
      </c>
      <c r="I368" s="3">
        <v>45906</v>
      </c>
      <c r="J368" s="4">
        <v>46243</v>
      </c>
      <c r="K368" t="inlineStr">
        <is>
          <t>微醺放松</t>
        </is>
      </c>
      <c r="L368">
        <v>0</v>
      </c>
      <c r="M368" t="inlineStr">
        <is>
          <t>XHS-U0289</t>
        </is>
      </c>
      <c r="N368" t="inlineStr">
        <is>
          <t>公开评论</t>
        </is>
      </c>
      <c r="O368"/>
      <c r="P368" t="inlineStr">
        <is>
          <t>原始:2025-09-06·山西；当前为搜索结果页链接，正式入库前需补原笔记链接</t>
        </is>
      </c>
      <c r="Q368" t="inlineStr">
        <is>
          <t>低度酒品类</t>
        </is>
      </c>
      <c r="R368"/>
      <c r="S368"/>
    </row>
    <row r="369" ht="25.5" customHeight="1">
      <c r="A369" t="inlineStr">
        <is>
          <t>XHS-SOC-0236</t>
        </is>
      </c>
      <c r="B369" t="inlineStr">
        <is>
          <t>饮酒情绪与身体负担</t>
        </is>
      </c>
      <c r="C369" t="inlineStr">
        <is>
          <t>PRJ001</t>
        </is>
      </c>
      <c r="D369" t="inlineStr">
        <is>
          <t>梅见</t>
        </is>
      </c>
      <c r="E369" t="inlineStr">
        <is>
          <t>晚上喝了半瓶，恶心死，人还没晕先吐了</t>
        </is>
      </c>
      <c r="F369" t="inlineStr">
        <is>
          <t>梅见避雷-劣质香精味｜2025-04-03｜小红书</t>
        </is>
      </c>
      <c r="G369" t="inlineStr">
        <is>
          <t>小红书</t>
        </is>
      </c>
      <c r="H369" s="2" t="str">
        <f>=HYPERLINK("https://www.xiaohongshu.com/search_result/梅见值不值得买", "https://www.xiaohongshu.com/search_result/梅见值不值得买")</f>
        <v>https://www.xiaohongshu.com/search_result/梅见值不值得买</v>
      </c>
      <c r="I369" s="3">
        <v>46066</v>
      </c>
      <c r="J369" s="4">
        <v>46243</v>
      </c>
      <c r="K369" t="inlineStr">
        <is>
          <t>梅见值不值得买</t>
        </is>
      </c>
      <c r="L369">
        <v>0</v>
      </c>
      <c r="M369" t="inlineStr">
        <is>
          <t>XHS-U0317</t>
        </is>
      </c>
      <c r="N369" t="inlineStr">
        <is>
          <t>公开评论</t>
        </is>
      </c>
      <c r="O369"/>
      <c r="P369" t="inlineStr">
        <is>
          <t>原始:02-13;年份推定·福建；当前为搜索结果页链接，正式入库前需补原笔记链接</t>
        </is>
      </c>
      <c r="Q369" t="inlineStr">
        <is>
          <t>目标品牌</t>
        </is>
      </c>
      <c r="R369"/>
      <c r="S369"/>
    </row>
    <row r="370" ht="25.5" customHeight="1">
      <c r="A370" t="inlineStr">
        <is>
          <t>XHS-SOC-0237</t>
        </is>
      </c>
      <c r="B370" t="inlineStr">
        <is>
          <t>饮酒情绪与身体负担</t>
        </is>
      </c>
      <c r="C370" t="inlineStr">
        <is>
          <t>PRJ001</t>
        </is>
      </c>
      <c r="D370" t="inlineStr">
        <is>
          <t>低度酒</t>
        </is>
      </c>
      <c r="E370" t="inlineStr">
        <is>
          <t>天天晚上喝点，不喝就难受</t>
        </is>
      </c>
      <c r="F370" t="inlineStr">
        <is>
          <t>真不能喝酒-急诊一堆喝酒来的｜2025-03-21｜小红书</t>
        </is>
      </c>
      <c r="G370" t="inlineStr">
        <is>
          <t>小红书</t>
        </is>
      </c>
      <c r="H370" s="2" t="str">
        <f>=HYPERLINK("https://www.xiaohongshu.com/search_result/喝酒胃不舒服", "https://www.xiaohongshu.com/search_result/喝酒胃不舒服")</f>
        <v>https://www.xiaohongshu.com/search_result/喝酒胃不舒服</v>
      </c>
      <c r="I370" s="3">
        <v>46112</v>
      </c>
      <c r="J370" s="4">
        <v>46243</v>
      </c>
      <c r="K370" t="inlineStr">
        <is>
          <t>喝酒胃不舒服</t>
        </is>
      </c>
      <c r="L370">
        <v>0</v>
      </c>
      <c r="M370" t="inlineStr">
        <is>
          <t>XHS-U0350</t>
        </is>
      </c>
      <c r="N370" t="inlineStr">
        <is>
          <t>公开评论</t>
        </is>
      </c>
      <c r="O370"/>
      <c r="P370" t="inlineStr">
        <is>
          <t>原始:03-31;年份推定·陕西；当前为搜索结果页链接，正式入库前需补原笔记链接</t>
        </is>
      </c>
      <c r="Q370" t="inlineStr">
        <is>
          <t>低度酒品类</t>
        </is>
      </c>
      <c r="R370"/>
      <c r="S370"/>
    </row>
    <row r="371" ht="25.5" customHeight="1">
      <c r="A371" t="inlineStr">
        <is>
          <t>XHS-SOC-0260</t>
        </is>
      </c>
      <c r="B371" t="inlineStr">
        <is>
          <t>饮酒情绪与身体负担</t>
        </is>
      </c>
      <c r="C371" t="inlineStr">
        <is>
          <t>PRJ001</t>
        </is>
      </c>
      <c r="D371" t="inlineStr">
        <is>
          <t>梅见</t>
        </is>
      </c>
      <c r="E371" t="inlineStr">
        <is>
          <t>囤点微醺</t>
        </is>
      </c>
      <c r="F371" t="inlineStr">
        <is>
          <t>给梅见道歉-会回购｜2025-07-03｜小红书</t>
        </is>
      </c>
      <c r="G371" t="inlineStr">
        <is>
          <t>小红书</t>
        </is>
      </c>
      <c r="H371" s="2" t="str">
        <f>=HYPERLINK("https://www.xiaohongshu.com/search_result/梅见回购", "https://www.xiaohongshu.com/search_result/梅见回购")</f>
        <v>https://www.xiaohongshu.com/search_result/梅见回购</v>
      </c>
      <c r="I371" s="3">
        <v>46107</v>
      </c>
      <c r="J371" s="4">
        <v>46243</v>
      </c>
      <c r="K371" t="inlineStr">
        <is>
          <t>梅见回购</t>
        </is>
      </c>
      <c r="L371">
        <v>0</v>
      </c>
      <c r="M371" t="inlineStr">
        <is>
          <t>XHS-U0338</t>
        </is>
      </c>
      <c r="N371" t="inlineStr">
        <is>
          <t>公开评论</t>
        </is>
      </c>
      <c r="O371"/>
      <c r="P371" t="inlineStr">
        <is>
          <t>原始:03-26;年份推定·云南；当前为搜索结果页链接，正式入库前需补原笔记链接</t>
        </is>
      </c>
      <c r="Q371" t="inlineStr">
        <is>
          <t>目标品牌</t>
        </is>
      </c>
      <c r="R371"/>
      <c r="S371"/>
    </row>
    <row r="372" ht="25.5" customHeight="1">
      <c r="A372" t="inlineStr">
        <is>
          <t>XHS-SOC-0010</t>
        </is>
      </c>
      <c r="B372" t="inlineStr">
        <is>
          <t>社交关系与饮酒边界</t>
        </is>
      </c>
      <c r="C372" t="inlineStr">
        <is>
          <t>PRJ001</t>
        </is>
      </c>
      <c r="D372" t="inlineStr">
        <is>
          <t>低度酒</t>
        </is>
      </c>
      <c r="E372" t="inlineStr">
        <is>
          <t>其实你讨厌的不是敬酒，是各种恶心人的服从性测试</t>
        </is>
      </c>
      <c r="F372" t="inlineStr">
        <is>
          <t>我为什么厌恶敬酒这个行为｜2025-02-14｜小红书</t>
        </is>
      </c>
      <c r="G372" t="inlineStr">
        <is>
          <t>小红书</t>
        </is>
      </c>
      <c r="H372" s="2" t="str">
        <f>=HYPERLINK("https://www.xiaohongshu.com/search_result/拒绝酒桌文化", "https://www.xiaohongshu.com/search_result/拒绝酒桌文化")</f>
        <v>https://www.xiaohongshu.com/search_result/拒绝酒桌文化</v>
      </c>
      <c r="I372" s="3">
        <v>46067</v>
      </c>
      <c r="J372" s="4">
        <v>46243</v>
      </c>
      <c r="K372" t="inlineStr">
        <is>
          <t>不想被劝酒</t>
        </is>
      </c>
      <c r="L372">
        <v>5332</v>
      </c>
      <c r="M372" t="inlineStr">
        <is>
          <t>XHS-U0249</t>
        </is>
      </c>
      <c r="N372" t="inlineStr">
        <is>
          <t>公开评论</t>
        </is>
      </c>
      <c r="O372"/>
      <c r="P372" t="inlineStr">
        <is>
          <t>原始:02-14;年份推定·陕西；当前为搜索结果页链接，正式入库前需补原笔记链接</t>
        </is>
      </c>
      <c r="Q372" t="inlineStr">
        <is>
          <t>低度酒品类</t>
        </is>
      </c>
      <c r="R372"/>
      <c r="S372"/>
    </row>
    <row r="373" ht="25.5" customHeight="1">
      <c r="A373" t="inlineStr">
        <is>
          <t>XHS-SOC-0011</t>
        </is>
      </c>
      <c r="B373" t="inlineStr">
        <is>
          <t>社交关系与饮酒边界</t>
        </is>
      </c>
      <c r="C373" t="inlineStr">
        <is>
          <t>PRJ001</t>
        </is>
      </c>
      <c r="D373" t="inlineStr">
        <is>
          <t>低度酒</t>
        </is>
      </c>
      <c r="E373" t="inlineStr">
        <is>
          <t>烦……到底谁在传承酒桌文化</t>
        </is>
      </c>
      <c r="F373" t="inlineStr">
        <is>
          <t>我为什么厌恶敬酒这个行为｜2025-02-14｜小红书</t>
        </is>
      </c>
      <c r="G373" t="inlineStr">
        <is>
          <t>小红书</t>
        </is>
      </c>
      <c r="H373" s="2" t="str">
        <f>=HYPERLINK("https://www.xiaohongshu.com/search_result/拒绝酒桌文化", "https://www.xiaohongshu.com/search_result/拒绝酒桌文化")</f>
        <v>https://www.xiaohongshu.com/search_result/拒绝酒桌文化</v>
      </c>
      <c r="I373" s="3">
        <v>46068</v>
      </c>
      <c r="J373" s="4">
        <v>46243</v>
      </c>
      <c r="K373" t="inlineStr">
        <is>
          <t>不想被劝酒</t>
        </is>
      </c>
      <c r="L373">
        <v>1207</v>
      </c>
      <c r="M373" t="inlineStr">
        <is>
          <t>XHS-U0250</t>
        </is>
      </c>
      <c r="N373" t="inlineStr">
        <is>
          <t>公开评论</t>
        </is>
      </c>
      <c r="O373"/>
      <c r="P373" t="inlineStr">
        <is>
          <t>原始:02-15;年份推定·四川；当前为搜索结果页链接，正式入库前需补原笔记链接</t>
        </is>
      </c>
      <c r="Q373" t="inlineStr">
        <is>
          <t>低度酒品类</t>
        </is>
      </c>
      <c r="R373"/>
      <c r="S373"/>
    </row>
    <row r="374" ht="25.5" customHeight="1">
      <c r="A374" t="inlineStr">
        <is>
          <t>XHS-SOC-0012</t>
        </is>
      </c>
      <c r="B374" t="inlineStr">
        <is>
          <t>社交关系与饮酒边界</t>
        </is>
      </c>
      <c r="C374" t="inlineStr">
        <is>
          <t>PRJ001</t>
        </is>
      </c>
      <c r="D374" t="inlineStr">
        <is>
          <t>低度酒</t>
        </is>
      </c>
      <c r="E374" t="inlineStr">
        <is>
          <t>敬酒是把自己放在极致低位的行为</t>
        </is>
      </c>
      <c r="F374" t="inlineStr">
        <is>
          <t>我为什么厌恶敬酒这个行为｜2025-02-14｜小红书</t>
        </is>
      </c>
      <c r="G374" t="inlineStr">
        <is>
          <t>小红书</t>
        </is>
      </c>
      <c r="H374" s="2" t="str">
        <f>=HYPERLINK("https://www.xiaohongshu.com/search_result/拒绝酒桌文化", "https://www.xiaohongshu.com/search_result/拒绝酒桌文化")</f>
        <v>https://www.xiaohongshu.com/search_result/拒绝酒桌文化</v>
      </c>
      <c r="I374" s="3">
        <v>46068</v>
      </c>
      <c r="J374" s="4">
        <v>46243</v>
      </c>
      <c r="K374" t="inlineStr">
        <is>
          <t>不想被劝酒</t>
        </is>
      </c>
      <c r="L374">
        <v>406</v>
      </c>
      <c r="M374" t="inlineStr">
        <is>
          <t>XHS-U0251</t>
        </is>
      </c>
      <c r="N374" t="inlineStr">
        <is>
          <t>公开评论</t>
        </is>
      </c>
      <c r="O374"/>
      <c r="P374" t="inlineStr">
        <is>
          <t>原始:02-15;年份推定·山东；当前为搜索结果页链接，正式入库前需补原笔记链接</t>
        </is>
      </c>
      <c r="Q374" t="inlineStr">
        <is>
          <t>低度酒品类</t>
        </is>
      </c>
      <c r="R374"/>
      <c r="S374"/>
    </row>
    <row r="375" ht="25.5" customHeight="1">
      <c r="A375" t="inlineStr">
        <is>
          <t>XHS-SOC-0013</t>
        </is>
      </c>
      <c r="B375" t="inlineStr">
        <is>
          <t>社交关系与饮酒边界</t>
        </is>
      </c>
      <c r="C375" t="inlineStr">
        <is>
          <t>PRJ001</t>
        </is>
      </c>
      <c r="D375" t="inlineStr">
        <is>
          <t>低度酒</t>
        </is>
      </c>
      <c r="E375" t="inlineStr">
        <is>
          <t>每次敬酒说场面话的时候我都会起鸡皮疙瘩，有点恶心反胃</t>
        </is>
      </c>
      <c r="F375" t="inlineStr">
        <is>
          <t>我为什么厌恶敬酒这个行为｜2025-02-14｜小红书</t>
        </is>
      </c>
      <c r="G375" t="inlineStr">
        <is>
          <t>小红书</t>
        </is>
      </c>
      <c r="H375" s="2" t="str">
        <f>=HYPERLINK("https://www.xiaohongshu.com/search_result/拒绝酒桌文化", "https://www.xiaohongshu.com/search_result/拒绝酒桌文化")</f>
        <v>https://www.xiaohongshu.com/search_result/拒绝酒桌文化</v>
      </c>
      <c r="I375" s="3">
        <v>46067</v>
      </c>
      <c r="J375" s="4">
        <v>46243</v>
      </c>
      <c r="K375" t="inlineStr">
        <is>
          <t>不想被劝酒</t>
        </is>
      </c>
      <c r="L375">
        <v>1502</v>
      </c>
      <c r="M375" t="inlineStr">
        <is>
          <t>XHS-U0254</t>
        </is>
      </c>
      <c r="N375" t="inlineStr">
        <is>
          <t>公开评论</t>
        </is>
      </c>
      <c r="O375"/>
      <c r="P375" t="inlineStr">
        <is>
          <t>原始:02-14;年份推定·天津；当前为搜索结果页链接，正式入库前需补原笔记链接</t>
        </is>
      </c>
      <c r="Q375" t="inlineStr">
        <is>
          <t>低度酒品类</t>
        </is>
      </c>
      <c r="R375"/>
      <c r="S375"/>
    </row>
    <row r="376" ht="25.5" customHeight="1">
      <c r="A376" t="inlineStr">
        <is>
          <t>XHS-SOC-0014</t>
        </is>
      </c>
      <c r="B376" t="inlineStr">
        <is>
          <t>社交关系与饮酒边界</t>
        </is>
      </c>
      <c r="C376" t="inlineStr">
        <is>
          <t>PRJ001</t>
        </is>
      </c>
      <c r="D376" t="inlineStr">
        <is>
          <t>低度酒</t>
        </is>
      </c>
      <c r="E376" t="inlineStr">
        <is>
          <t>我就不敬 公司聚餐一桌同事个个都在互相敬酒 我不仅不喝酒我还谁都不敬</t>
        </is>
      </c>
      <c r="F376" t="inlineStr">
        <is>
          <t>我为什么厌恶敬酒这个行为｜2025-02-14｜小红书</t>
        </is>
      </c>
      <c r="G376" t="inlineStr">
        <is>
          <t>小红书</t>
        </is>
      </c>
      <c r="H376" s="2" t="str">
        <f>=HYPERLINK("https://www.xiaohongshu.com/search_result/拒绝酒桌文化", "https://www.xiaohongshu.com/search_result/拒绝酒桌文化")</f>
        <v>https://www.xiaohongshu.com/search_result/拒绝酒桌文化</v>
      </c>
      <c r="I376" s="3">
        <v>46067</v>
      </c>
      <c r="J376" s="4">
        <v>46243</v>
      </c>
      <c r="K376" t="inlineStr">
        <is>
          <t>不想被劝酒</t>
        </is>
      </c>
      <c r="L376">
        <v>155</v>
      </c>
      <c r="M376" t="inlineStr">
        <is>
          <t>XHS-U0257</t>
        </is>
      </c>
      <c r="N376" t="inlineStr">
        <is>
          <t>公开评论</t>
        </is>
      </c>
      <c r="O376"/>
      <c r="P376" t="inlineStr">
        <is>
          <t>原始:02-14;年份推定·云南；当前为搜索结果页链接，正式入库前需补原笔记链接</t>
        </is>
      </c>
      <c r="Q376" t="inlineStr">
        <is>
          <t>低度酒品类</t>
        </is>
      </c>
      <c r="R376"/>
      <c r="S376"/>
    </row>
    <row r="377" ht="25.5" customHeight="1">
      <c r="A377" t="inlineStr">
        <is>
          <t>XHS-SOC-0016</t>
        </is>
      </c>
      <c r="B377" t="inlineStr">
        <is>
          <t>社交关系与饮酒边界</t>
        </is>
      </c>
      <c r="C377" t="inlineStr">
        <is>
          <t>PRJ001</t>
        </is>
      </c>
      <c r="D377" t="inlineStr">
        <is>
          <t>低度酒</t>
        </is>
      </c>
      <c r="E377" t="inlineStr">
        <is>
          <t>我都二十多岁了，依然讨厌过年的酒桌文化</t>
        </is>
      </c>
      <c r="F377" t="inlineStr">
        <is>
          <t>我为什么厌恶敬酒这个行为｜2025-02-14｜小红书</t>
        </is>
      </c>
      <c r="G377" t="inlineStr">
        <is>
          <t>小红书</t>
        </is>
      </c>
      <c r="H377" s="2" t="str">
        <f>=HYPERLINK("https://www.xiaohongshu.com/search_result/拒绝酒桌文化", "https://www.xiaohongshu.com/search_result/拒绝酒桌文化")</f>
        <v>https://www.xiaohongshu.com/search_result/拒绝酒桌文化</v>
      </c>
      <c r="I377" s="3">
        <v>46067</v>
      </c>
      <c r="J377" s="4">
        <v>46243</v>
      </c>
      <c r="K377" t="inlineStr">
        <is>
          <t>不想被劝酒</t>
        </is>
      </c>
      <c r="L377">
        <v>128</v>
      </c>
      <c r="M377" t="inlineStr">
        <is>
          <t>XHS-U0258</t>
        </is>
      </c>
      <c r="N377" t="inlineStr">
        <is>
          <t>公开评论</t>
        </is>
      </c>
      <c r="O377"/>
      <c r="P377" t="inlineStr">
        <is>
          <t>原始:02-14;年份推定·江苏；当前为搜索结果页链接，正式入库前需补原笔记链接</t>
        </is>
      </c>
      <c r="Q377" t="inlineStr">
        <is>
          <t>低度酒品类</t>
        </is>
      </c>
      <c r="R377"/>
      <c r="S377"/>
    </row>
    <row r="378" ht="25.5" customHeight="1">
      <c r="A378" t="inlineStr">
        <is>
          <t>XHS-SOC-0018</t>
        </is>
      </c>
      <c r="B378" t="inlineStr">
        <is>
          <t>社交关系与饮酒边界</t>
        </is>
      </c>
      <c r="C378" t="inlineStr">
        <is>
          <t>PRJ001</t>
        </is>
      </c>
      <c r="D378" t="inlineStr">
        <is>
          <t>低度酒</t>
        </is>
      </c>
      <c r="E378" t="inlineStr">
        <is>
          <t>主要是讨厌毫无意义地伪装自己讨好别人，讨厌非常刻意地人情世故</t>
        </is>
      </c>
      <c r="F378" t="inlineStr">
        <is>
          <t>我为什么厌恶敬酒这个行为｜2025-02-14｜小红书</t>
        </is>
      </c>
      <c r="G378" t="inlineStr">
        <is>
          <t>小红书</t>
        </is>
      </c>
      <c r="H378" s="2" t="str">
        <f>=HYPERLINK("https://www.xiaohongshu.com/search_result/拒绝酒桌文化", "https://www.xiaohongshu.com/search_result/拒绝酒桌文化")</f>
        <v>https://www.xiaohongshu.com/search_result/拒绝酒桌文化</v>
      </c>
      <c r="I378" s="3">
        <v>46067</v>
      </c>
      <c r="J378" s="4">
        <v>46243</v>
      </c>
      <c r="K378" t="inlineStr">
        <is>
          <t>不想被劝酒</t>
        </is>
      </c>
      <c r="L378">
        <v>115</v>
      </c>
      <c r="M378" t="inlineStr">
        <is>
          <t>XHS-U0253</t>
        </is>
      </c>
      <c r="N378" t="inlineStr">
        <is>
          <t>公开评论</t>
        </is>
      </c>
      <c r="O378"/>
      <c r="P378" t="inlineStr">
        <is>
          <t>原始:02-14;年份推定·湖南；当前为搜索结果页链接，正式入库前需补原笔记链接</t>
        </is>
      </c>
      <c r="Q378" t="inlineStr">
        <is>
          <t>低度酒品类</t>
        </is>
      </c>
      <c r="R378"/>
      <c r="S378"/>
    </row>
    <row r="379" ht="25.5" customHeight="1">
      <c r="A379" t="inlineStr">
        <is>
          <t>DY-SOC-0117</t>
        </is>
      </c>
      <c r="B379" t="inlineStr">
        <is>
          <t>社交关系与饮酒边界</t>
        </is>
      </c>
      <c r="C379" t="inlineStr">
        <is>
          <t>PRJ001</t>
        </is>
      </c>
      <c r="D379" t="inlineStr">
        <is>
          <t>低度酒</t>
        </is>
      </c>
      <c r="E379" t="inlineStr">
        <is>
          <t>酒桌文化啥时候能消失</t>
        </is>
      </c>
      <c r="F379" t="inlineStr">
        <is>
          <t>酒桌文化服从性测试｜2025-03-30｜抖音</t>
        </is>
      </c>
      <c r="G379" t="inlineStr">
        <is>
          <t>抖音</t>
        </is>
      </c>
      <c r="H379" s="2" t="str">
        <f>=HYPERLINK("https://www.douyin.com/video/7662369708294154481", "https://www.douyin.com/video/7662369708294154481")</f>
        <v>https://www.douyin.com/video/7662369708294154481</v>
      </c>
      <c r="I379" s="3">
        <v>45746</v>
      </c>
      <c r="J379" s="4">
        <v>46243</v>
      </c>
      <c r="K379" t="inlineStr">
        <is>
          <t>不想被劝酒</t>
        </is>
      </c>
      <c r="L379"/>
      <c r="M379" t="inlineStr">
        <is>
          <t>DY-U0345</t>
        </is>
      </c>
      <c r="N379" t="inlineStr">
        <is>
          <t>公开评论</t>
        </is>
      </c>
      <c r="O379"/>
      <c r="P379" t="inlineStr">
        <is>
          <t>点赞数未成功识别，暂置空，禁止随机补值；当前日期来自视频发布时间，评论发布时间未识别</t>
        </is>
      </c>
      <c r="Q379" t="inlineStr">
        <is>
          <t>低度酒品类</t>
        </is>
      </c>
      <c r="R379"/>
      <c r="S379"/>
    </row>
    <row r="380" ht="25.5" customHeight="1">
      <c r="A380" t="inlineStr">
        <is>
          <t>DY-SOC-0118</t>
        </is>
      </c>
      <c r="B380" t="inlineStr">
        <is>
          <t>社交关系与饮酒边界</t>
        </is>
      </c>
      <c r="C380" t="inlineStr">
        <is>
          <t>PRJ001</t>
        </is>
      </c>
      <c r="D380" t="inlineStr">
        <is>
          <t>低度酒</t>
        </is>
      </c>
      <c r="E380" t="inlineStr">
        <is>
          <t>酒桌文化到底意义何在啊又狼狈又伤身</t>
        </is>
      </c>
      <c r="F380" t="inlineStr">
        <is>
          <t>酒桌文化服从性测试｜2025-03-30｜抖音</t>
        </is>
      </c>
      <c r="G380" t="inlineStr">
        <is>
          <t>抖音</t>
        </is>
      </c>
      <c r="H380" s="2" t="str">
        <f>=HYPERLINK("https://www.douyin.com/video/7662369708294154481", "https://www.douyin.com/video/7662369708294154481")</f>
        <v>https://www.douyin.com/video/7662369708294154481</v>
      </c>
      <c r="I380" s="3">
        <v>45746</v>
      </c>
      <c r="J380" s="4">
        <v>46243</v>
      </c>
      <c r="K380" t="inlineStr">
        <is>
          <t>不想被劝酒</t>
        </is>
      </c>
      <c r="L380"/>
      <c r="M380" t="inlineStr">
        <is>
          <t>DY-U0346</t>
        </is>
      </c>
      <c r="N380" t="inlineStr">
        <is>
          <t>公开评论</t>
        </is>
      </c>
      <c r="O380"/>
      <c r="P380" t="inlineStr">
        <is>
          <t>点赞数未成功识别，暂置空，禁止随机补值；当前日期来自视频发布时间，评论发布时间未识别</t>
        </is>
      </c>
      <c r="Q380" t="inlineStr">
        <is>
          <t>低度酒品类</t>
        </is>
      </c>
      <c r="R380"/>
      <c r="S380"/>
    </row>
    <row r="381" ht="25.5" customHeight="1">
      <c r="A381" t="inlineStr">
        <is>
          <t>DY-SOC-0119</t>
        </is>
      </c>
      <c r="B381" t="inlineStr">
        <is>
          <t>社交关系与饮酒边界</t>
        </is>
      </c>
      <c r="C381" t="inlineStr">
        <is>
          <t>PRJ001</t>
        </is>
      </c>
      <c r="D381" t="inlineStr">
        <is>
          <t>低度酒</t>
        </is>
      </c>
      <c r="E381" t="inlineStr">
        <is>
          <t>到底谁还在酒桌应酬我感觉身边的老登都开始不喝酒了</t>
        </is>
      </c>
      <c r="F381" t="inlineStr">
        <is>
          <t>酒桌文化服从性测试｜2025-03-30｜抖音</t>
        </is>
      </c>
      <c r="G381" t="inlineStr">
        <is>
          <t>抖音</t>
        </is>
      </c>
      <c r="H381" s="2" t="str">
        <f>=HYPERLINK("https://www.douyin.com/video/7662369708294154481", "https://www.douyin.com/video/7662369708294154481")</f>
        <v>https://www.douyin.com/video/7662369708294154481</v>
      </c>
      <c r="I381" s="3">
        <v>45746</v>
      </c>
      <c r="J381" s="4">
        <v>46243</v>
      </c>
      <c r="K381" t="inlineStr">
        <is>
          <t>不想被劝酒</t>
        </is>
      </c>
      <c r="L381"/>
      <c r="M381" t="inlineStr">
        <is>
          <t>DY-U0349</t>
        </is>
      </c>
      <c r="N381" t="inlineStr">
        <is>
          <t>公开评论</t>
        </is>
      </c>
      <c r="O381"/>
      <c r="P381" t="inlineStr">
        <is>
          <t>点赞数未成功识别，暂置空，禁止随机补值；当前日期来自视频发布时间，评论发布时间未识别</t>
        </is>
      </c>
      <c r="Q381" t="inlineStr">
        <is>
          <t>低度酒品类</t>
        </is>
      </c>
      <c r="R381"/>
      <c r="S381"/>
    </row>
    <row r="382" ht="25.5" customHeight="1">
      <c r="A382" t="inlineStr">
        <is>
          <t>DY-SOC-0120</t>
        </is>
      </c>
      <c r="B382" t="inlineStr">
        <is>
          <t>社交关系与饮酒边界</t>
        </is>
      </c>
      <c r="C382" t="inlineStr">
        <is>
          <t>PRJ001</t>
        </is>
      </c>
      <c r="D382" t="inlineStr">
        <is>
          <t>低度酒</t>
        </is>
      </c>
      <c r="E382" t="inlineStr">
        <is>
          <t>怎么才算是是酒桌文化我们领导和同事间聚餐都会喝点酒不过都是各人量力而行</t>
        </is>
      </c>
      <c r="F382" t="inlineStr">
        <is>
          <t>酒桌文化服从性测试｜2025-03-30｜抖音</t>
        </is>
      </c>
      <c r="G382" t="inlineStr">
        <is>
          <t>抖音</t>
        </is>
      </c>
      <c r="H382" s="2" t="str">
        <f>=HYPERLINK("https://www.douyin.com/video/7662369708294154481", "https://www.douyin.com/video/7662369708294154481")</f>
        <v>https://www.douyin.com/video/7662369708294154481</v>
      </c>
      <c r="I382" s="3">
        <v>45746</v>
      </c>
      <c r="J382" s="4">
        <v>46243</v>
      </c>
      <c r="K382" t="inlineStr">
        <is>
          <t>不想被劝酒</t>
        </is>
      </c>
      <c r="L382"/>
      <c r="M382" t="inlineStr">
        <is>
          <t>DY-U0350</t>
        </is>
      </c>
      <c r="N382" t="inlineStr">
        <is>
          <t>公开评论</t>
        </is>
      </c>
      <c r="O382"/>
      <c r="P382" t="inlineStr">
        <is>
          <t>点赞数未成功识别，暂置空，禁止随机补值；当前日期来自视频发布时间，评论发布时间未识别</t>
        </is>
      </c>
      <c r="Q382" t="inlineStr">
        <is>
          <t>低度酒品类</t>
        </is>
      </c>
      <c r="R382"/>
      <c r="S382"/>
    </row>
    <row r="383" ht="25.5" customHeight="1">
      <c r="A383" t="inlineStr">
        <is>
          <t>DY-SOC-0121</t>
        </is>
      </c>
      <c r="B383" t="inlineStr">
        <is>
          <t>社交关系与饮酒边界</t>
        </is>
      </c>
      <c r="C383" t="inlineStr">
        <is>
          <t>PRJ001</t>
        </is>
      </c>
      <c r="D383" t="inlineStr">
        <is>
          <t>低度酒</t>
        </is>
      </c>
      <c r="E383" t="inlineStr">
        <is>
          <t>我干工地的之前是监理现在是施工员到底谁在宣扬酒桌文化</t>
        </is>
      </c>
      <c r="F383" t="inlineStr">
        <is>
          <t>酒桌文化服从性测试｜2025-03-30｜抖音</t>
        </is>
      </c>
      <c r="G383" t="inlineStr">
        <is>
          <t>抖音</t>
        </is>
      </c>
      <c r="H383" s="2" t="str">
        <f>=HYPERLINK("https://www.douyin.com/video/7662369708294154481", "https://www.douyin.com/video/7662369708294154481")</f>
        <v>https://www.douyin.com/video/7662369708294154481</v>
      </c>
      <c r="I383" s="3">
        <v>45746</v>
      </c>
      <c r="J383" s="4">
        <v>46243</v>
      </c>
      <c r="K383" t="inlineStr">
        <is>
          <t>不想被劝酒</t>
        </is>
      </c>
      <c r="L383"/>
      <c r="M383" t="inlineStr">
        <is>
          <t>DY-U0351</t>
        </is>
      </c>
      <c r="N383" t="inlineStr">
        <is>
          <t>公开评论</t>
        </is>
      </c>
      <c r="O383"/>
      <c r="P383" t="inlineStr">
        <is>
          <t>点赞数未成功识别，暂置空，禁止随机补值；当前日期来自视频发布时间，评论发布时间未识别</t>
        </is>
      </c>
      <c r="Q383" t="inlineStr">
        <is>
          <t>低度酒品类</t>
        </is>
      </c>
      <c r="R383"/>
      <c r="S383"/>
    </row>
    <row r="384" ht="25.5" customHeight="1">
      <c r="A384" t="inlineStr">
        <is>
          <t>MJ-RAW-0314</t>
        </is>
      </c>
      <c r="B384" t="inlineStr">
        <is>
          <t>消费场景与使用行为</t>
        </is>
      </c>
      <c r="C384" t="inlineStr">
        <is>
          <t>PRJ001</t>
        </is>
      </c>
      <c r="D384" t="inlineStr">
        <is>
          <t>低度酒品类</t>
        </is>
      </c>
      <c r="E384" t="inlineStr">
        <is>
          <t>一到晚上就想喝点</t>
        </is>
      </c>
      <c r="F384" t="inlineStr">
        <is>
          <t>来源：小红书平台用户评论</t>
        </is>
      </c>
      <c r="G384" t="inlineStr">
        <is>
          <t>小红书</t>
        </is>
      </c>
      <c r="H384" s="2" t="str">
        <f>=HYPERLINK("http://数据未收集", "数据未收集")</f>
        <v>数据未收集</v>
      </c>
      <c r="I384" s="3"/>
      <c r="J384" s="4">
        <v>46243</v>
      </c>
      <c r="K384" t="inlineStr">
        <is>
          <t>低度酒 果酒 微醺 评价</t>
        </is>
      </c>
      <c r="L384"/>
      <c r="M384" t="inlineStr">
        <is>
          <t>MJ-XHS-U-026</t>
        </is>
      </c>
      <c r="N384" t="inlineStr">
        <is>
          <t>公开评论</t>
        </is>
      </c>
      <c r="O384"/>
      <c r="P384" t="inlineStr">
        <is>
          <t>【用户场景】下班独饮
【情绪关键词】轻松, 边界感
【表层需求】晚上想喝一点低度酒
【深层情绪】想从工作、学习或情绪压力里松下来
【身份需求】我需要一个不打扰生活节奏的小型放松仪式
【饮酒态度】偶尔小酌
【品牌反馈】未指向具体品牌
【可转化品牌洞察】低度酒可以被定义为“夜晚放松小仪式”，梅见可进入独处小酌场景</t>
        </is>
      </c>
      <c r="Q384" t="inlineStr">
        <is>
          <t>低度酒品类</t>
        </is>
      </c>
      <c r="R384"/>
      <c r="S384"/>
    </row>
    <row r="385" ht="25.5" customHeight="1">
      <c r="A385" t="inlineStr">
        <is>
          <t>MJ-RAW-0315</t>
        </is>
      </c>
      <c r="B385" t="inlineStr">
        <is>
          <t>消费场景与使用行为</t>
        </is>
      </c>
      <c r="C385" t="inlineStr">
        <is>
          <t>PRJ001</t>
        </is>
      </c>
      <c r="D385" t="inlineStr">
        <is>
          <t>低度酒品类</t>
        </is>
      </c>
      <c r="E385" t="inlineStr">
        <is>
          <t>聚会必备！好喝出片！</t>
        </is>
      </c>
      <c r="F385" t="inlineStr">
        <is>
          <t>来源：小红书平台用户评论</t>
        </is>
      </c>
      <c r="G385" t="inlineStr">
        <is>
          <t>小红书</t>
        </is>
      </c>
      <c r="H385" s="2" t="str">
        <f>=HYPERLINK("http://数据未收集", "数据未收集")</f>
        <v>数据未收集</v>
      </c>
      <c r="I385" s="3"/>
      <c r="J385" s="4">
        <v>46243</v>
      </c>
      <c r="K385" t="inlineStr">
        <is>
          <t>低度酒 果酒 微醺 评价</t>
        </is>
      </c>
      <c r="L385"/>
      <c r="M385" t="inlineStr">
        <is>
          <t>MJ-XHS-U-027</t>
        </is>
      </c>
      <c r="N385" t="inlineStr">
        <is>
          <t>公开评论</t>
        </is>
      </c>
      <c r="O385"/>
      <c r="P385" t="inlineStr">
        <is>
          <t>【用户场景】女生局
【情绪关键词】轻松, 审美, 想合群
【表层需求】想要好喝、好看、适合分享的聚会酒
【深层情绪】想参与聚会氛围，也希望选择能被朋友认可
【身份需求】我会挑一个大家都觉得好喝、拍照也不尴尬的选择
【饮酒态度】接受低度
【品牌反馈】低度酒的颜值和口味名能带动分享
【可转化品牌洞察】梅见需要同时满足“好喝、好看、好讲”，让口味和包装都服务聚会传播</t>
        </is>
      </c>
      <c r="Q385" t="inlineStr">
        <is>
          <t>低度酒品类</t>
        </is>
      </c>
      <c r="R385"/>
      <c r="S385"/>
    </row>
    <row r="386" ht="25.5" customHeight="1">
      <c r="A386" t="inlineStr">
        <is>
          <t>MJ-RAW-0316</t>
        </is>
      </c>
      <c r="B386" t="inlineStr">
        <is>
          <t>消费场景与使用行为</t>
        </is>
      </c>
      <c r="C386" t="inlineStr">
        <is>
          <t>PRJ001</t>
        </is>
      </c>
      <c r="D386" t="inlineStr">
        <is>
          <t>低度酒品类</t>
        </is>
      </c>
      <c r="E386" t="inlineStr">
        <is>
          <t>酒味越淡越好</t>
        </is>
      </c>
      <c r="F386" t="inlineStr">
        <is>
          <t>来源：小红书平台用户评论</t>
        </is>
      </c>
      <c r="G386" t="inlineStr">
        <is>
          <t>小红书</t>
        </is>
      </c>
      <c r="H386" s="2" t="str">
        <f>=HYPERLINK("http://数据未收集", "数据未收集")</f>
        <v>数据未收集</v>
      </c>
      <c r="I386" s="3"/>
      <c r="J386" s="4">
        <v>46243</v>
      </c>
      <c r="K386" t="inlineStr">
        <is>
          <t>低度酒 果酒 微醺 评价</t>
        </is>
      </c>
      <c r="L386"/>
      <c r="M386" t="inlineStr">
        <is>
          <t>MJ-XHS-U-028</t>
        </is>
      </c>
      <c r="N386" t="inlineStr">
        <is>
          <t>公开评论</t>
        </is>
      </c>
      <c r="O386"/>
      <c r="P386" t="inlineStr">
        <is>
          <t>【用户场景】下班独饮
【情绪关键词】怕失控, 边界感
【表层需求】想尝试酒，但希望没有明显酒味
【深层情绪】害怕辛辣、苦味和传统酒精感带来的不适
【身份需求】我想参与喝酒场景，但不想被酒味压迫
【饮酒态度】接受低度
【品牌反馈】饮料化低度酒更容易被接受
【可转化品牌洞察】梅见若有梅子、草本等风味门槛，需要用加冰、兑饮、佐餐降低入口压力</t>
        </is>
      </c>
      <c r="Q386" t="inlineStr">
        <is>
          <t>低度酒品类</t>
        </is>
      </c>
      <c r="R386"/>
      <c r="S386"/>
    </row>
    <row r="387" ht="25.5" customHeight="1">
      <c r="A387" t="inlineStr">
        <is>
          <t>MJ-RAW-0317</t>
        </is>
      </c>
      <c r="B387" t="inlineStr">
        <is>
          <t>消费场景与使用行为</t>
        </is>
      </c>
      <c r="C387" t="inlineStr">
        <is>
          <t>PRJ001</t>
        </is>
      </c>
      <c r="D387" t="inlineStr">
        <is>
          <t>RIO锐澳</t>
        </is>
      </c>
      <c r="E387" t="inlineStr">
        <is>
          <t>一瓶微微醺，两瓶微醺</t>
        </is>
      </c>
      <c r="F387" t="inlineStr">
        <is>
          <t>来源：小红书平台用户评论</t>
        </is>
      </c>
      <c r="G387" t="inlineStr">
        <is>
          <t>小红书</t>
        </is>
      </c>
      <c r="H387" s="2" t="str">
        <f>=HYPERLINK("http://数据未收集", "数据未收集")</f>
        <v>数据未收集</v>
      </c>
      <c r="I387" s="3"/>
      <c r="J387" s="4">
        <v>46243</v>
      </c>
      <c r="K387" t="inlineStr">
        <is>
          <t>低度酒 果酒 微醺 评价</t>
        </is>
      </c>
      <c r="L387"/>
      <c r="M387" t="inlineStr">
        <is>
          <t>MJ-XHS-U-029</t>
        </is>
      </c>
      <c r="N387" t="inlineStr">
        <is>
          <t>公开评论</t>
        </is>
      </c>
      <c r="O387"/>
      <c r="P387" t="inlineStr">
        <is>
          <t>【用户场景】下班独饮
【情绪关键词】怕失控, 边界感
【表层需求】想体验微醺，但不想喝醉
【深层情绪】想放松，但害怕头疼、伤胃、第二天难受
【身份需求】我可以喝，但我要知道自己喝到哪里刚好
【饮酒态度】担心失控
【品牌反馈】对低度酒后劲和上头感有警惕
【可转化品牌洞察】梅见应强调可控微醺、适量、慢饮，而不是单纯宣传“上头”</t>
        </is>
      </c>
      <c r="Q387" t="inlineStr">
        <is>
          <t>低度酒品类</t>
        </is>
      </c>
      <c r="R387"/>
      <c r="S387"/>
    </row>
    <row r="388" ht="25.5" customHeight="1">
      <c r="A388" t="inlineStr">
        <is>
          <t>MJ-RAW-0318</t>
        </is>
      </c>
      <c r="B388" t="inlineStr">
        <is>
          <t>消费场景与使用行为</t>
        </is>
      </c>
      <c r="C388" t="inlineStr">
        <is>
          <t>PRJ001</t>
        </is>
      </c>
      <c r="D388" t="inlineStr">
        <is>
          <t>低度酒品类</t>
        </is>
      </c>
      <c r="E388" t="inlineStr">
        <is>
          <t>不想喝酒，非常害怕会经历劝酒</t>
        </is>
      </c>
      <c r="F388" t="inlineStr">
        <is>
          <t>来源：小红书平台用户评论</t>
        </is>
      </c>
      <c r="G388" t="inlineStr">
        <is>
          <t>小红书</t>
        </is>
      </c>
      <c r="H388" s="2" t="str">
        <f>=HYPERLINK("http://数据未收集", "数据未收集")</f>
        <v>数据未收集</v>
      </c>
      <c r="I388" s="3"/>
      <c r="J388" s="4">
        <v>46243</v>
      </c>
      <c r="K388" t="inlineStr">
        <is>
          <t>低度酒 果酒 微醺 评价</t>
        </is>
      </c>
      <c r="L388"/>
      <c r="M388" t="inlineStr">
        <is>
          <t>MJ-XHS-U-030</t>
        </is>
      </c>
      <c r="N388" t="inlineStr">
        <is>
          <t>公开评论</t>
        </is>
      </c>
      <c r="O388"/>
      <c r="P388" t="inlineStr">
        <is>
          <t>【用户场景】聚餐
【情绪关键词】怕失控, 边界感, 尴尬
【表层需求】想保留社交礼貌，但不想被劝酒
【深层情绪】害怕第一杯变成之后持续被要求喝的入口
【身份需求】我可以社交，但不接受被酒桌文化绑架
【饮酒态度】不主动喝酒
【品牌反馈】未指向具体品牌
【可转化品牌洞察】梅见如果作为共饮选择，必须强调“不劝酒、不拼酒、一杯也算参与”</t>
        </is>
      </c>
      <c r="Q388" t="inlineStr">
        <is>
          <t>低度酒品类</t>
        </is>
      </c>
      <c r="R388"/>
      <c r="S388"/>
    </row>
    <row r="389" ht="25.5" customHeight="1">
      <c r="A389" t="inlineStr">
        <is>
          <t>MJ-RAW-0319</t>
        </is>
      </c>
      <c r="B389" t="inlineStr">
        <is>
          <t>消费场景与使用行为</t>
        </is>
      </c>
      <c r="C389" t="inlineStr">
        <is>
          <t>PRJ001</t>
        </is>
      </c>
      <c r="D389" t="inlineStr">
        <is>
          <t>低度酒品类</t>
        </is>
      </c>
      <c r="E389" t="inlineStr">
        <is>
          <t>每杯酒都超量……一般人喝完一两杯……</t>
        </is>
      </c>
      <c r="F389" t="inlineStr">
        <is>
          <t>来源：抖音平台用户评论</t>
        </is>
      </c>
      <c r="G389" t="inlineStr">
        <is>
          <t>抖音</t>
        </is>
      </c>
      <c r="H389" s="2" t="str">
        <f>=HYPERLINK("http://数据未收集", "数据未收集")</f>
        <v>数据未收集</v>
      </c>
      <c r="I389" s="3"/>
      <c r="J389" s="4">
        <v>46243</v>
      </c>
      <c r="K389" t="inlineStr">
        <is>
          <t>低度酒 果酒 微醺 评价</t>
        </is>
      </c>
      <c r="L389"/>
      <c r="M389" t="inlineStr">
        <is>
          <t>MJ-DY-U-020</t>
        </is>
      </c>
      <c r="N389" t="inlineStr">
        <is>
          <t>公开评论</t>
        </is>
      </c>
      <c r="O389"/>
      <c r="P389" t="inlineStr">
        <is>
          <t>【用户场景】朋友聚餐
【情绪关键词】怕失控, 轻松
【表层需求】想要便宜、方便、能拍照的即时调酒
【深层情绪】喜欢新玩法，但担心低度被喝成高度
【身份需求】我想玩得轻松，但不想失去分寸
【饮酒态度】接受低度
【品牌反馈】便利店调酒有即时组装吸引力，也有超量风险
【可转化品牌洞察】梅见可以做可控调饮建议，明确比例和适量提醒，避免“低度误饮成高度”</t>
        </is>
      </c>
      <c r="Q389" t="inlineStr">
        <is>
          <t>低度酒品类</t>
        </is>
      </c>
      <c r="R389"/>
      <c r="S389"/>
    </row>
    <row r="390" ht="25.5" customHeight="1">
      <c r="A390" t="inlineStr">
        <is>
          <t>MJ-RAW-0320</t>
        </is>
      </c>
      <c r="B390" t="inlineStr">
        <is>
          <t>消费场景与使用行为</t>
        </is>
      </c>
      <c r="C390" t="inlineStr">
        <is>
          <t>PRJ001</t>
        </is>
      </c>
      <c r="D390" t="inlineStr">
        <is>
          <t>低度酒品类</t>
        </is>
      </c>
      <c r="E390" t="inlineStr">
        <is>
          <t>吃点下酒菜，看喜欢的电视剧……很舒服很解压</t>
        </is>
      </c>
      <c r="F390" t="inlineStr">
        <is>
          <t>来源：抖音平台用户评论</t>
        </is>
      </c>
      <c r="G390" t="inlineStr">
        <is>
          <t>抖音</t>
        </is>
      </c>
      <c r="H390" s="2" t="str">
        <f>=HYPERLINK("http://数据未收集", "数据未收集")</f>
        <v>数据未收集</v>
      </c>
      <c r="I390" s="3"/>
      <c r="J390" s="4">
        <v>46243</v>
      </c>
      <c r="K390" t="inlineStr">
        <is>
          <t>低度酒 果酒 微醺 评价</t>
        </is>
      </c>
      <c r="L390"/>
      <c r="M390" t="inlineStr">
        <is>
          <t>MJ-DY-U-021</t>
        </is>
      </c>
      <c r="N390" t="inlineStr">
        <is>
          <t>公开评论</t>
        </is>
      </c>
      <c r="O390"/>
      <c r="P390" t="inlineStr">
        <is>
          <t>【用户场景】下班独饮
【情绪关键词】轻松, 审美
【表层需求】想一个人边吃边喝边放松
【深层情绪】酒不是社交工具，而是让日常变松弛的情绪开关
【身份需求】我可以独处，也可以把晚上过得有一点仪式感
【饮酒态度】偶尔小酌
【品牌反馈】低度酒适合独处、追剧、下酒菜
【可转化品牌洞察】梅见可进入“一人食/追剧/下酒菜”的日常小酌场景</t>
        </is>
      </c>
      <c r="Q390" t="inlineStr">
        <is>
          <t>低度酒品类</t>
        </is>
      </c>
      <c r="R390"/>
      <c r="S390"/>
    </row>
    <row r="391" ht="25.5" customHeight="1">
      <c r="A391" t="inlineStr">
        <is>
          <t>MJ-RAW-0321</t>
        </is>
      </c>
      <c r="B391" t="inlineStr">
        <is>
          <t>消费场景与使用行为</t>
        </is>
      </c>
      <c r="C391" t="inlineStr">
        <is>
          <t>PRJ001</t>
        </is>
      </c>
      <c r="D391" t="inlineStr">
        <is>
          <t>低度酒品类</t>
        </is>
      </c>
      <c r="E391" t="inlineStr">
        <is>
          <t>我们三真幸福</t>
        </is>
      </c>
      <c r="F391" t="inlineStr">
        <is>
          <t>来源：抖音平台用户评论</t>
        </is>
      </c>
      <c r="G391" t="inlineStr">
        <is>
          <t>抖音</t>
        </is>
      </c>
      <c r="H391" s="2" t="str">
        <f>=HYPERLINK("http://数据未收集", "数据未收集")</f>
        <v>数据未收集</v>
      </c>
      <c r="I391" s="3"/>
      <c r="J391" s="4">
        <v>46243</v>
      </c>
      <c r="K391" t="inlineStr">
        <is>
          <t>低度酒 果酒 微醺 评价</t>
        </is>
      </c>
      <c r="L391"/>
      <c r="M391" t="inlineStr">
        <is>
          <t>MJ-DY-U-022</t>
        </is>
      </c>
      <c r="N391" t="inlineStr">
        <is>
          <t>公开评论</t>
        </is>
      </c>
      <c r="O391"/>
      <c r="P391" t="inlineStr">
        <is>
          <t>【用户场景】女生局
【情绪关键词】轻松, 想合群, 体面
【表层需求】想在家里制造轻松微醺氛围
【深层情绪】关系不需要正式餐厅，也可以通过小酒和零食靠近
【身份需求】我想和亲近的人拥有轻松、好玩的共同体验
【饮酒态度】接受低度
【品牌反馈】低度酒适合居家约会和朋友小聚
【可转化品牌洞察】梅见可从餐桌酒扩展到家庭小酒馆、小游戏、零食搭配场景</t>
        </is>
      </c>
      <c r="Q391" t="inlineStr">
        <is>
          <t>低度酒品类</t>
        </is>
      </c>
      <c r="R391"/>
      <c r="S391"/>
    </row>
    <row r="392" ht="25.5" customHeight="1">
      <c r="A392" t="inlineStr">
        <is>
          <t>MJ-RAW-0322</t>
        </is>
      </c>
      <c r="B392" t="inlineStr">
        <is>
          <t>消费场景与使用行为</t>
        </is>
      </c>
      <c r="C392" t="inlineStr">
        <is>
          <t>PRJ001</t>
        </is>
      </c>
      <c r="D392" t="inlineStr">
        <is>
          <t>低度酒品类</t>
        </is>
      </c>
      <c r="E392" t="inlineStr">
        <is>
          <t>酒量不好的人的福利来啦</t>
        </is>
      </c>
      <c r="F392" t="inlineStr">
        <is>
          <t>来源：抖音平台用户评论</t>
        </is>
      </c>
      <c r="G392" t="inlineStr">
        <is>
          <t>抖音</t>
        </is>
      </c>
      <c r="H392" s="2" t="str">
        <f>=HYPERLINK("http://数据未收集", "数据未收集")</f>
        <v>数据未收集</v>
      </c>
      <c r="I392" s="3"/>
      <c r="J392" s="4">
        <v>46243</v>
      </c>
      <c r="K392" t="inlineStr">
        <is>
          <t>低度酒 果酒 微醺 评价</t>
        </is>
      </c>
      <c r="L392"/>
      <c r="M392" t="inlineStr">
        <is>
          <t>MJ-DY-U-023</t>
        </is>
      </c>
      <c r="N392" t="inlineStr">
        <is>
          <t>公开评论</t>
        </is>
      </c>
      <c r="O392"/>
      <c r="P392" t="inlineStr">
        <is>
          <t>【用户场景】女生局
【情绪关键词】轻松, 想合群, 体面
【表层需求】酒量不好也想参与聚会或小酌
【深层情绪】不想因为不能喝而被排除在氛围之外
【身份需求】我也能参与，但不用硬撑
【饮酒态度】接受低度
【品牌反馈】低度酒降低喝酒门槛
【可转化品牌洞察】梅见可以成为低酒量用户的友好共饮选择，重点是不硬撑、不劝酒</t>
        </is>
      </c>
      <c r="Q392" t="inlineStr">
        <is>
          <t>低度酒品类</t>
        </is>
      </c>
      <c r="R392"/>
      <c r="S392"/>
    </row>
    <row r="393" ht="25.5" customHeight="1">
      <c r="A393" t="inlineStr">
        <is>
          <t>MJ-RAW-0323</t>
        </is>
      </c>
      <c r="B393" t="inlineStr">
        <is>
          <t>消费场景与使用行为</t>
        </is>
      </c>
      <c r="C393" t="inlineStr">
        <is>
          <t>PRJ001</t>
        </is>
      </c>
      <c r="D393" t="inlineStr">
        <is>
          <t>低度酒品类</t>
        </is>
      </c>
      <c r="E393" t="inlineStr">
        <is>
          <t>梅子酒60ml，乌龙茶20ml……</t>
        </is>
      </c>
      <c r="F393" t="inlineStr">
        <is>
          <t>来源：抖音平台用户评论</t>
        </is>
      </c>
      <c r="G393" t="inlineStr">
        <is>
          <t>抖音</t>
        </is>
      </c>
      <c r="H393" s="2" t="str">
        <f>=HYPERLINK("http://数据未收集", "数据未收集")</f>
        <v>数据未收集</v>
      </c>
      <c r="I393" s="3"/>
      <c r="J393" s="4">
        <v>46243</v>
      </c>
      <c r="K393" t="inlineStr">
        <is>
          <t>低度酒 果酒 微醺 评价</t>
        </is>
      </c>
      <c r="L393"/>
      <c r="M393" t="inlineStr">
        <is>
          <t>MJ-DY-U-024</t>
        </is>
      </c>
      <c r="N393" t="inlineStr">
        <is>
          <t>公开评论</t>
        </is>
      </c>
      <c r="O393"/>
      <c r="P393" t="inlineStr">
        <is>
          <t>【用户场景】下班独饮
【情绪关键词】轻松, 审美, 想合群
【表层需求】想把低度酒调成更好喝的饮料
【深层情绪】用户不只是喝酒，也想参与配方创作和分享
【身份需求】我会做自己的喝法，也愿意把它分享出去
【饮酒态度】喜欢微醺
【品牌反馈】梅子酒适合做饮料基底
【可转化品牌洞察】梅见可以做“调饮说明书”或“喝法生成器”，让用户从被动尝试变成主动创造</t>
        </is>
      </c>
      <c r="Q393" t="inlineStr">
        <is>
          <t>低度酒品类</t>
        </is>
      </c>
      <c r="R393"/>
      <c r="S393"/>
    </row>
    <row r="394" ht="25.5" customHeight="1">
      <c r="A394" t="inlineStr">
        <is>
          <t>DY-SOC-0122</t>
        </is>
      </c>
      <c r="B394" t="inlineStr">
        <is>
          <t>消费场景与使用行为</t>
        </is>
      </c>
      <c r="C394" t="inlineStr">
        <is>
          <t>PRJ001</t>
        </is>
      </c>
      <c r="D394" t="inlineStr">
        <is>
          <t>梅见</t>
        </is>
      </c>
      <c r="E394" t="inlineStr">
        <is>
          <t>昨天晚上朋友聚会喝的这个安娜王妃葡萄酒香老浓郁</t>
        </is>
      </c>
      <c r="F394" t="inlineStr">
        <is>
          <t>超市小甜水上头测评｜2025-03-14｜抖音</t>
        </is>
      </c>
      <c r="G394" t="inlineStr">
        <is>
          <t>抖音</t>
        </is>
      </c>
      <c r="H394" s="2" t="str">
        <f>=HYPERLINK("https://www.douyin.com/video/7633357452931807473", "https://www.douyin.com/video/7633357452931807473")</f>
        <v>https://www.douyin.com/video/7633357452931807473</v>
      </c>
      <c r="I394" s="3">
        <v>45730</v>
      </c>
      <c r="J394" s="4">
        <v>46243</v>
      </c>
      <c r="K394" t="inlineStr">
        <is>
          <t>梅见难喝</t>
        </is>
      </c>
      <c r="L394"/>
      <c r="M394" t="inlineStr">
        <is>
          <t>DY-U0090</t>
        </is>
      </c>
      <c r="N394" t="inlineStr">
        <is>
          <t>公开评论</t>
        </is>
      </c>
      <c r="O394"/>
      <c r="P394" t="inlineStr">
        <is>
          <t>点赞数未成功识别，暂置空，禁止随机补值；当前日期来自视频发布时间，评论发布时间未识别</t>
        </is>
      </c>
      <c r="Q394" t="inlineStr">
        <is>
          <t>目标品牌</t>
        </is>
      </c>
      <c r="R394"/>
      <c r="S394"/>
    </row>
    <row r="395" ht="25.5" customHeight="1">
      <c r="A395" t="inlineStr">
        <is>
          <t>DY-SOC-0123</t>
        </is>
      </c>
      <c r="B395" t="inlineStr">
        <is>
          <t>消费场景与使用行为</t>
        </is>
      </c>
      <c r="C395" t="inlineStr">
        <is>
          <t>PRJ001</t>
        </is>
      </c>
      <c r="D395" t="inlineStr">
        <is>
          <t>梅见</t>
        </is>
      </c>
      <c r="E395" t="inlineStr">
        <is>
          <t>[笑掉牙]闺蜜一起嗨</t>
        </is>
      </c>
      <c r="F395" t="inlineStr">
        <is>
          <t>如果幸福是吃顿小火锅｜2025-07-31｜抖音</t>
        </is>
      </c>
      <c r="G395" t="inlineStr">
        <is>
          <t>抖音</t>
        </is>
      </c>
      <c r="H395" s="2" t="str">
        <f>=HYPERLINK("https://www.douyin.com/video/7668613884207135978", "https://www.douyin.com/video/7668613884207135978")</f>
        <v>https://www.douyin.com/video/7668613884207135978</v>
      </c>
      <c r="I395" s="3">
        <v>45869</v>
      </c>
      <c r="J395" s="4">
        <v>46243</v>
      </c>
      <c r="K395" t="inlineStr">
        <is>
          <t>梅见火锅①</t>
        </is>
      </c>
      <c r="L395"/>
      <c r="M395" t="inlineStr">
        <is>
          <t>DY-U0205</t>
        </is>
      </c>
      <c r="N395" t="inlineStr">
        <is>
          <t>公开评论</t>
        </is>
      </c>
      <c r="O395"/>
      <c r="P395" t="inlineStr">
        <is>
          <t>点赞数未成功识别，暂置空，禁止随机补值；当前日期来自视频发布时间，评论发布时间未识别</t>
        </is>
      </c>
      <c r="Q395" t="inlineStr">
        <is>
          <t>目标品牌</t>
        </is>
      </c>
      <c r="R395"/>
      <c r="S395"/>
    </row>
    <row r="396" ht="25.5" customHeight="1">
      <c r="A396" t="inlineStr">
        <is>
          <t>DY-SOC-0124</t>
        </is>
      </c>
      <c r="B396" t="inlineStr">
        <is>
          <t>消费场景与使用行为</t>
        </is>
      </c>
      <c r="C396" t="inlineStr">
        <is>
          <t>PRJ001</t>
        </is>
      </c>
      <c r="D396" t="inlineStr">
        <is>
          <t>梅见</t>
        </is>
      </c>
      <c r="E396" t="inlineStr">
        <is>
          <t>梅见配火锅真的绝了解辣又好喝</t>
        </is>
      </c>
      <c r="F396" t="inlineStr">
        <is>
          <t>如果幸福是吃顿小火锅｜2025-07-31｜抖音</t>
        </is>
      </c>
      <c r="G396" t="inlineStr">
        <is>
          <t>抖音</t>
        </is>
      </c>
      <c r="H396" s="2" t="str">
        <f>=HYPERLINK("https://www.douyin.com/video/7668613884207135978", "https://www.douyin.com/video/7668613884207135978")</f>
        <v>https://www.douyin.com/video/7668613884207135978</v>
      </c>
      <c r="I396" s="3">
        <v>45869</v>
      </c>
      <c r="J396" s="4">
        <v>46243</v>
      </c>
      <c r="K396" t="inlineStr">
        <is>
          <t>梅见火锅①</t>
        </is>
      </c>
      <c r="L396"/>
      <c r="M396" t="inlineStr">
        <is>
          <t>DY-U0208</t>
        </is>
      </c>
      <c r="N396" t="inlineStr">
        <is>
          <t>公开评论</t>
        </is>
      </c>
      <c r="O396"/>
      <c r="P396" t="inlineStr">
        <is>
          <t>点赞数未成功识别，暂置空，禁止随机补值</t>
        </is>
      </c>
      <c r="Q396" t="inlineStr">
        <is>
          <t>目标品牌</t>
        </is>
      </c>
      <c r="R396"/>
      <c r="S396"/>
    </row>
    <row r="397" ht="25.5" customHeight="1">
      <c r="A397" t="inlineStr">
        <is>
          <t>DY-SOC-0125</t>
        </is>
      </c>
      <c r="B397" t="inlineStr">
        <is>
          <t>消费场景与使用行为</t>
        </is>
      </c>
      <c r="C397" t="inlineStr">
        <is>
          <t>PRJ001</t>
        </is>
      </c>
      <c r="D397" t="inlineStr">
        <is>
          <t>梅见</t>
        </is>
      </c>
      <c r="E397" t="inlineStr">
        <is>
          <t>夏天火锅好朋友谁懂这个组合的含金量</t>
        </is>
      </c>
      <c r="F397" t="inlineStr">
        <is>
          <t>周末茉莉火锅梅见｜2025-07-26｜抖音</t>
        </is>
      </c>
      <c r="G397" t="inlineStr">
        <is>
          <t>抖音</t>
        </is>
      </c>
      <c r="H397" s="2" t="str">
        <f>=HYPERLINK("https://www.douyin.com/video/7596615466261436386", "https://www.douyin.com/video/7596615466261436386")</f>
        <v>https://www.douyin.com/video/7596615466261436386</v>
      </c>
      <c r="I397" s="3">
        <v>45864</v>
      </c>
      <c r="J397" s="4">
        <v>46243</v>
      </c>
      <c r="K397" t="inlineStr">
        <is>
          <t>梅见火锅②</t>
        </is>
      </c>
      <c r="L397"/>
      <c r="M397" t="inlineStr">
        <is>
          <t>DY-U0216</t>
        </is>
      </c>
      <c r="N397" t="inlineStr">
        <is>
          <t>公开评论</t>
        </is>
      </c>
      <c r="O397"/>
      <c r="P397" t="inlineStr">
        <is>
          <t>点赞数未成功识别，暂置空，禁止随机补值；当前日期来自视频发布时间，评论发布时间未识别</t>
        </is>
      </c>
      <c r="Q397" t="inlineStr">
        <is>
          <t>目标品牌</t>
        </is>
      </c>
      <c r="R397"/>
      <c r="S397"/>
    </row>
    <row r="398" ht="25.5" customHeight="1">
      <c r="A398" t="inlineStr">
        <is>
          <t>DY-SOC-0126</t>
        </is>
      </c>
      <c r="B398" t="inlineStr">
        <is>
          <t>消费场景与使用行为</t>
        </is>
      </c>
      <c r="C398" t="inlineStr">
        <is>
          <t>PRJ001</t>
        </is>
      </c>
      <c r="D398" t="inlineStr">
        <is>
          <t>梅见</t>
        </is>
      </c>
      <c r="E398" t="inlineStr">
        <is>
          <t>氛围感拉满的周末聚餐</t>
        </is>
      </c>
      <c r="F398" t="inlineStr">
        <is>
          <t>周末茉莉火锅梅见｜2025-07-26｜抖音</t>
        </is>
      </c>
      <c r="G398" t="inlineStr">
        <is>
          <t>抖音</t>
        </is>
      </c>
      <c r="H398" s="2" t="str">
        <f>=HYPERLINK("https://www.douyin.com/video/7596615466261436386", "https://www.douyin.com/video/7596615466261436386")</f>
        <v>https://www.douyin.com/video/7596615466261436386</v>
      </c>
      <c r="I398" s="3">
        <v>45864</v>
      </c>
      <c r="J398" s="4">
        <v>46243</v>
      </c>
      <c r="K398" t="inlineStr">
        <is>
          <t>梅见火锅②</t>
        </is>
      </c>
      <c r="L398"/>
      <c r="M398" t="inlineStr">
        <is>
          <t>DY-U0217</t>
        </is>
      </c>
      <c r="N398" t="inlineStr">
        <is>
          <t>公开评论</t>
        </is>
      </c>
      <c r="O398"/>
      <c r="P398" t="inlineStr">
        <is>
          <t>点赞数未成功识别，暂置空，禁止随机补值；当前日期来自视频发布时间，评论发布时间未识别</t>
        </is>
      </c>
      <c r="Q398" t="inlineStr">
        <is>
          <t>目标品牌</t>
        </is>
      </c>
      <c r="R398"/>
      <c r="S398"/>
    </row>
    <row r="399" ht="25.5" customHeight="1">
      <c r="A399" t="inlineStr">
        <is>
          <t>DY-SOC-0127</t>
        </is>
      </c>
      <c r="B399" t="inlineStr">
        <is>
          <t>消费场景与使用行为</t>
        </is>
      </c>
      <c r="C399" t="inlineStr">
        <is>
          <t>PRJ001</t>
        </is>
      </c>
      <c r="D399" t="inlineStr">
        <is>
          <t>梅见</t>
        </is>
      </c>
      <c r="E399" t="inlineStr">
        <is>
          <t>边吃火锅边喝酒夏天的终极意义</t>
        </is>
      </c>
      <c r="F399" t="inlineStr">
        <is>
          <t>周末茉莉火锅梅见｜2025-07-26｜抖音</t>
        </is>
      </c>
      <c r="G399" t="inlineStr">
        <is>
          <t>抖音</t>
        </is>
      </c>
      <c r="H399" s="2" t="str">
        <f>=HYPERLINK("https://www.douyin.com/video/7596615466261436386", "https://www.douyin.com/video/7596615466261436386")</f>
        <v>https://www.douyin.com/video/7596615466261436386</v>
      </c>
      <c r="I399" s="3">
        <v>45864</v>
      </c>
      <c r="J399" s="4">
        <v>46243</v>
      </c>
      <c r="K399" t="inlineStr">
        <is>
          <t>梅见火锅②</t>
        </is>
      </c>
      <c r="L399"/>
      <c r="M399" t="inlineStr">
        <is>
          <t>DY-U0220</t>
        </is>
      </c>
      <c r="N399" t="inlineStr">
        <is>
          <t>公开评论</t>
        </is>
      </c>
      <c r="O399"/>
      <c r="P399" t="inlineStr">
        <is>
          <t>点赞数未成功识别，暂置空，禁止随机补值；当前日期来自视频发布时间，评论发布时间未识别</t>
        </is>
      </c>
      <c r="Q399" t="inlineStr">
        <is>
          <t>目标品牌</t>
        </is>
      </c>
      <c r="R399"/>
      <c r="S399"/>
    </row>
    <row r="400" ht="25.5" customHeight="1">
      <c r="A400" t="inlineStr">
        <is>
          <t>DY-SOC-0128</t>
        </is>
      </c>
      <c r="B400" t="inlineStr">
        <is>
          <t>消费场景与使用行为</t>
        </is>
      </c>
      <c r="C400" t="inlineStr">
        <is>
          <t>PRJ001</t>
        </is>
      </c>
      <c r="D400" t="inlineStr">
        <is>
          <t>梅见</t>
        </is>
      </c>
      <c r="E400" t="inlineStr">
        <is>
          <t>梅见青梅酒配火锅解腻神器</t>
        </is>
      </c>
      <c r="F400" t="inlineStr">
        <is>
          <t>周末茉莉火锅梅见｜2025-07-26｜抖音</t>
        </is>
      </c>
      <c r="G400" t="inlineStr">
        <is>
          <t>抖音</t>
        </is>
      </c>
      <c r="H400" s="2" t="str">
        <f>=HYPERLINK("https://www.douyin.com/video/7596615466261436386", "https://www.douyin.com/video/7596615466261436386")</f>
        <v>https://www.douyin.com/video/7596615466261436386</v>
      </c>
      <c r="I400" s="3">
        <v>45864</v>
      </c>
      <c r="J400" s="4">
        <v>46243</v>
      </c>
      <c r="K400" t="inlineStr">
        <is>
          <t>梅见火锅②</t>
        </is>
      </c>
      <c r="L400"/>
      <c r="M400" t="inlineStr">
        <is>
          <t>DY-U0223</t>
        </is>
      </c>
      <c r="N400" t="inlineStr">
        <is>
          <t>公开评论</t>
        </is>
      </c>
      <c r="O400"/>
      <c r="P400" t="inlineStr">
        <is>
          <t>点赞数未成功识别，暂置空，禁止随机补值；当前日期来自视频发布时间，评论发布时间未识别</t>
        </is>
      </c>
      <c r="Q400" t="inlineStr">
        <is>
          <t>目标品牌</t>
        </is>
      </c>
      <c r="R400"/>
      <c r="S400"/>
    </row>
    <row r="401" ht="25.5" customHeight="1">
      <c r="A401" t="inlineStr">
        <is>
          <t>DY-SOC-0129</t>
        </is>
      </c>
      <c r="B401" t="inlineStr">
        <is>
          <t>消费场景与使用行为</t>
        </is>
      </c>
      <c r="C401" t="inlineStr">
        <is>
          <t>PRJ001</t>
        </is>
      </c>
      <c r="D401" t="inlineStr">
        <is>
          <t>梅见</t>
        </is>
      </c>
      <c r="E401" t="inlineStr">
        <is>
          <t>终于有人懂我了周末就是要这样虚度光阴</t>
        </is>
      </c>
      <c r="F401" t="inlineStr">
        <is>
          <t>小火锅冰梅见2｜2025-07-31｜抖音</t>
        </is>
      </c>
      <c r="G401" t="inlineStr">
        <is>
          <t>抖音</t>
        </is>
      </c>
      <c r="H401" s="2" t="str">
        <f>=HYPERLINK("https://www.douyin.com/video/7667775159961274021", "https://www.douyin.com/video/7667775159961274021")</f>
        <v>https://www.douyin.com/video/7667775159961274021</v>
      </c>
      <c r="I401" s="3">
        <v>45869</v>
      </c>
      <c r="J401" s="4">
        <v>46243</v>
      </c>
      <c r="K401" t="inlineStr">
        <is>
          <t>梅见火锅④</t>
        </is>
      </c>
      <c r="L401"/>
      <c r="M401" t="inlineStr">
        <is>
          <t>DY-U0243</t>
        </is>
      </c>
      <c r="N401" t="inlineStr">
        <is>
          <t>公开评论</t>
        </is>
      </c>
      <c r="O401"/>
      <c r="P401" t="inlineStr">
        <is>
          <t>点赞数未成功识别，暂置空，禁止随机补值</t>
        </is>
      </c>
      <c r="Q401" t="inlineStr">
        <is>
          <t>目标品牌</t>
        </is>
      </c>
      <c r="R401"/>
      <c r="S401"/>
    </row>
    <row r="402" ht="25.5" customHeight="1">
      <c r="A402" t="inlineStr">
        <is>
          <t>XHS-SOC-0194</t>
        </is>
      </c>
      <c r="B402" t="inlineStr">
        <is>
          <t>消费场景与使用行为</t>
        </is>
      </c>
      <c r="C402" t="inlineStr">
        <is>
          <t>PRJ001</t>
        </is>
      </c>
      <c r="D402" t="inlineStr">
        <is>
          <t>低度酒</t>
        </is>
      </c>
      <c r="E402" t="inlineStr">
        <is>
          <t>以前不理解，但是年纪大了突然就理解了，真就是太无聊了，一个人在家不知道干什么容易想东想西还不如用酒精麻痹自己</t>
        </is>
      </c>
      <c r="F402" t="inlineStr">
        <is>
          <t>一个人喝酒很怪吗｜2025-03-08｜小红书</t>
        </is>
      </c>
      <c r="G402" t="inlineStr">
        <is>
          <t>小红书</t>
        </is>
      </c>
      <c r="H402" s="2" t="str">
        <f>=HYPERLINK("https://www.xiaohongshu.com/search_result/一个人喝酒", "https://www.xiaohongshu.com/search_result/一个人喝酒")</f>
        <v>https://www.xiaohongshu.com/search_result/一个人喝酒</v>
      </c>
      <c r="I402" s="3">
        <v>46100</v>
      </c>
      <c r="J402" s="4">
        <v>46243</v>
      </c>
      <c r="K402" t="inlineStr">
        <is>
          <t>一个人喝酒</t>
        </is>
      </c>
      <c r="L402">
        <v>4</v>
      </c>
      <c r="M402" t="inlineStr">
        <is>
          <t>XHS-U0269</t>
        </is>
      </c>
      <c r="N402" t="inlineStr">
        <is>
          <t>公开评论</t>
        </is>
      </c>
      <c r="O402"/>
      <c r="P402" t="inlineStr">
        <is>
          <t>原始:03-19;年份推定·广西；当前为搜索结果页链接，正式入库前需补原笔记链接</t>
        </is>
      </c>
      <c r="Q402" t="inlineStr">
        <is>
          <t>低度酒品类</t>
        </is>
      </c>
      <c r="R402"/>
      <c r="S402"/>
    </row>
    <row r="403" ht="25.5" customHeight="1">
      <c r="A403" t="inlineStr">
        <is>
          <t>XHS-SOC-0213</t>
        </is>
      </c>
      <c r="B403" t="inlineStr">
        <is>
          <t>消费场景与使用行为</t>
        </is>
      </c>
      <c r="C403" t="inlineStr">
        <is>
          <t>PRJ001</t>
        </is>
      </c>
      <c r="D403" t="inlineStr">
        <is>
          <t>低度酒</t>
        </is>
      </c>
      <c r="E403" t="inlineStr">
        <is>
          <t>你说的对。吸烟，烧烤都一样</t>
        </is>
      </c>
      <c r="F403" t="inlineStr">
        <is>
          <t>喝酒对人体没有一点好处｜2025-12-29｜小红书</t>
        </is>
      </c>
      <c r="G403" t="inlineStr">
        <is>
          <t>小红书</t>
        </is>
      </c>
      <c r="H403" s="2" t="str">
        <f>=HYPERLINK("https://www.xiaohongshu.com/search_result/低度酒智商税", "https://www.xiaohongshu.com/search_result/低度酒智商税")</f>
        <v>https://www.xiaohongshu.com/search_result/低度酒智商税</v>
      </c>
      <c r="I403" s="3">
        <v>46029</v>
      </c>
      <c r="J403" s="4">
        <v>46243</v>
      </c>
      <c r="K403" t="inlineStr">
        <is>
          <t>低度酒智商税</t>
        </is>
      </c>
      <c r="L403">
        <v>1</v>
      </c>
      <c r="M403" t="inlineStr">
        <is>
          <t>XHS-U0238</t>
        </is>
      </c>
      <c r="N403" t="inlineStr">
        <is>
          <t>公开评论</t>
        </is>
      </c>
      <c r="O403"/>
      <c r="P403" t="inlineStr">
        <is>
          <t>原始:01-07;年份推定·北京；当前为搜索结果页链接，正式入库前需补原笔记链接</t>
        </is>
      </c>
      <c r="Q403" t="inlineStr">
        <is>
          <t>低度酒品类</t>
        </is>
      </c>
      <c r="R403"/>
      <c r="S403"/>
    </row>
    <row r="404" ht="25.5" customHeight="1">
      <c r="A404" t="inlineStr">
        <is>
          <t>XHS-SOC-0214</t>
        </is>
      </c>
      <c r="B404" t="inlineStr">
        <is>
          <t>消费场景与使用行为</t>
        </is>
      </c>
      <c r="C404" t="inlineStr">
        <is>
          <t>PRJ001</t>
        </is>
      </c>
      <c r="D404" t="inlineStr">
        <is>
          <t>低度酒</t>
        </is>
      </c>
      <c r="E404" t="inlineStr">
        <is>
          <t>一个人去KTV唱歌喝酒会很奇怪吗</t>
        </is>
      </c>
      <c r="F404" t="inlineStr">
        <is>
          <t>一个人喝酒很怪吗｜2025-03-08｜小红书</t>
        </is>
      </c>
      <c r="G404" t="inlineStr">
        <is>
          <t>小红书</t>
        </is>
      </c>
      <c r="H404" s="2" t="str">
        <f>=HYPERLINK("https://www.xiaohongshu.com/search_result/一个人喝酒", "https://www.xiaohongshu.com/search_result/一个人喝酒")</f>
        <v>https://www.xiaohongshu.com/search_result/一个人喝酒</v>
      </c>
      <c r="I404" s="3">
        <v>46091</v>
      </c>
      <c r="J404" s="4">
        <v>46243</v>
      </c>
      <c r="K404" t="inlineStr">
        <is>
          <t>一个人喝酒</t>
        </is>
      </c>
      <c r="L404">
        <v>1</v>
      </c>
      <c r="M404" t="inlineStr">
        <is>
          <t>XHS-U0264</t>
        </is>
      </c>
      <c r="N404" t="inlineStr">
        <is>
          <t>公开评论</t>
        </is>
      </c>
      <c r="O404"/>
      <c r="P404" t="inlineStr">
        <is>
          <t>原始:03-10;年份推定·四川；当前为搜索结果页链接，正式入库前需补原笔记链接</t>
        </is>
      </c>
      <c r="Q404" t="inlineStr">
        <is>
          <t>低度酒品类</t>
        </is>
      </c>
      <c r="R404"/>
      <c r="S404"/>
    </row>
    <row r="405" ht="25.5" customHeight="1">
      <c r="A405" t="inlineStr">
        <is>
          <t>XHS-SOC-0215</t>
        </is>
      </c>
      <c r="B405" t="inlineStr">
        <is>
          <t>消费场景与使用行为</t>
        </is>
      </c>
      <c r="C405" t="inlineStr">
        <is>
          <t>PRJ001</t>
        </is>
      </c>
      <c r="D405" t="inlineStr">
        <is>
          <t>低度酒</t>
        </is>
      </c>
      <c r="E405" t="inlineStr">
        <is>
          <t>不奇怪，我也一个人喝</t>
        </is>
      </c>
      <c r="F405" t="inlineStr">
        <is>
          <t>一个人喝酒很怪吗｜2025-03-08｜小红书</t>
        </is>
      </c>
      <c r="G405" t="inlineStr">
        <is>
          <t>小红书</t>
        </is>
      </c>
      <c r="H405" s="2" t="str">
        <f>=HYPERLINK("https://www.xiaohongshu.com/search_result/一个人喝酒", "https://www.xiaohongshu.com/search_result/一个人喝酒")</f>
        <v>https://www.xiaohongshu.com/search_result/一个人喝酒</v>
      </c>
      <c r="I405" s="3">
        <v>46090</v>
      </c>
      <c r="J405" s="4">
        <v>46243</v>
      </c>
      <c r="K405" t="inlineStr">
        <is>
          <t>一个人喝酒</t>
        </is>
      </c>
      <c r="L405">
        <v>1</v>
      </c>
      <c r="M405" t="inlineStr">
        <is>
          <t>XHS-U0267</t>
        </is>
      </c>
      <c r="N405" t="inlineStr">
        <is>
          <t>公开评论</t>
        </is>
      </c>
      <c r="O405"/>
      <c r="P405" t="inlineStr">
        <is>
          <t>原始:03-09;年份推定·四川；当前为搜索结果页链接，正式入库前需补原笔记链接</t>
        </is>
      </c>
      <c r="Q405" t="inlineStr">
        <is>
          <t>低度酒品类</t>
        </is>
      </c>
      <c r="R405"/>
      <c r="S405"/>
    </row>
    <row r="406" ht="25.5" customHeight="1">
      <c r="A406" t="inlineStr">
        <is>
          <t>XHS-SOC-0238</t>
        </is>
      </c>
      <c r="B406" t="inlineStr">
        <is>
          <t>消费场景与使用行为</t>
        </is>
      </c>
      <c r="C406" t="inlineStr">
        <is>
          <t>PRJ001</t>
        </is>
      </c>
      <c r="D406" t="inlineStr">
        <is>
          <t>低度酒</t>
        </is>
      </c>
      <c r="E406" t="inlineStr">
        <is>
          <t>同一个人，享受孤独，挺好的</t>
        </is>
      </c>
      <c r="F406" t="inlineStr">
        <is>
          <t>一个人喝酒很怪吗｜2025-03-08｜小红书</t>
        </is>
      </c>
      <c r="G406" t="inlineStr">
        <is>
          <t>小红书</t>
        </is>
      </c>
      <c r="H406" s="2" t="str">
        <f>=HYPERLINK("https://www.xiaohongshu.com/search_result/一个人喝酒", "https://www.xiaohongshu.com/search_result/一个人喝酒")</f>
        <v>https://www.xiaohongshu.com/search_result/一个人喝酒</v>
      </c>
      <c r="I406" s="3">
        <v>46094</v>
      </c>
      <c r="J406" s="4">
        <v>46243</v>
      </c>
      <c r="K406" t="inlineStr">
        <is>
          <t>一个人喝酒</t>
        </is>
      </c>
      <c r="L406">
        <v>0</v>
      </c>
      <c r="M406" t="inlineStr">
        <is>
          <t>XHS-U0268</t>
        </is>
      </c>
      <c r="N406" t="inlineStr">
        <is>
          <t>公开评论</t>
        </is>
      </c>
      <c r="O406"/>
      <c r="P406" t="inlineStr">
        <is>
          <t>原始:03-13;年份推定·江苏；当前为搜索结果页链接，正式入库前需补原笔记链接</t>
        </is>
      </c>
      <c r="Q406" t="inlineStr">
        <is>
          <t>低度酒品类</t>
        </is>
      </c>
      <c r="R406"/>
      <c r="S406"/>
    </row>
    <row r="407" ht="25.5" customHeight="1">
      <c r="A407" t="inlineStr">
        <is>
          <t>XHS-SOC-0239</t>
        </is>
      </c>
      <c r="B407" t="inlineStr">
        <is>
          <t>消费场景与使用行为</t>
        </is>
      </c>
      <c r="C407" t="inlineStr">
        <is>
          <t>PRJ001</t>
        </is>
      </c>
      <c r="D407" t="inlineStr">
        <is>
          <t>低度酒</t>
        </is>
      </c>
      <c r="E407" t="inlineStr">
        <is>
          <t>一个人喝酒可爽了</t>
        </is>
      </c>
      <c r="F407" t="inlineStr">
        <is>
          <t>一个人喝酒很怪吗｜2025-03-08｜小红书</t>
        </is>
      </c>
      <c r="G407" t="inlineStr">
        <is>
          <t>小红书</t>
        </is>
      </c>
      <c r="H407" s="2" t="str">
        <f>=HYPERLINK("https://www.xiaohongshu.com/search_result/一个人喝酒", "https://www.xiaohongshu.com/search_result/一个人喝酒")</f>
        <v>https://www.xiaohongshu.com/search_result/一个人喝酒</v>
      </c>
      <c r="I407" s="3">
        <v>46094</v>
      </c>
      <c r="J407" s="4">
        <v>46243</v>
      </c>
      <c r="K407" t="inlineStr">
        <is>
          <t>一个人喝酒</t>
        </is>
      </c>
      <c r="L407">
        <v>0</v>
      </c>
      <c r="M407" t="inlineStr">
        <is>
          <t>XHS-U0271</t>
        </is>
      </c>
      <c r="N407" t="inlineStr">
        <is>
          <t>公开评论</t>
        </is>
      </c>
      <c r="O407"/>
      <c r="P407" t="inlineStr">
        <is>
          <t>原始:03-13;年份推定·浙江；当前为搜索结果页链接，正式入库前需补原笔记链接</t>
        </is>
      </c>
      <c r="Q407" t="inlineStr">
        <is>
          <t>低度酒品类</t>
        </is>
      </c>
      <c r="R407"/>
      <c r="S407"/>
    </row>
    <row r="408" ht="25.5" customHeight="1">
      <c r="A408" t="inlineStr">
        <is>
          <t>XHS-SOC-0240</t>
        </is>
      </c>
      <c r="B408" t="inlineStr">
        <is>
          <t>消费场景与使用行为</t>
        </is>
      </c>
      <c r="C408" t="inlineStr">
        <is>
          <t>PRJ001</t>
        </is>
      </c>
      <c r="D408" t="inlineStr">
        <is>
          <t>低度酒</t>
        </is>
      </c>
      <c r="E408" t="inlineStr">
        <is>
          <t>一个人吃烧烤喝酒，一个人吃火锅，一个人吃自助餐，一个人看电影</t>
        </is>
      </c>
      <c r="F408" t="inlineStr">
        <is>
          <t>一个人喝酒很怪吗｜2025-03-08｜小红书</t>
        </is>
      </c>
      <c r="G408" t="inlineStr">
        <is>
          <t>小红书</t>
        </is>
      </c>
      <c r="H408" s="2" t="str">
        <f>=HYPERLINK("https://www.xiaohongshu.com/search_result/一个人喝酒", "https://www.xiaohongshu.com/search_result/一个人喝酒")</f>
        <v>https://www.xiaohongshu.com/search_result/一个人喝酒</v>
      </c>
      <c r="I408" s="3">
        <v>46097</v>
      </c>
      <c r="J408" s="4">
        <v>46243</v>
      </c>
      <c r="K408" t="inlineStr">
        <is>
          <t>一个人喝酒</t>
        </is>
      </c>
      <c r="L408">
        <v>0</v>
      </c>
      <c r="M408" t="inlineStr">
        <is>
          <t>XHS-U0276</t>
        </is>
      </c>
      <c r="N408" t="inlineStr">
        <is>
          <t>公开评论</t>
        </is>
      </c>
      <c r="O408"/>
      <c r="P408" t="inlineStr">
        <is>
          <t>原始:03-16;年份推定·四川；当前为搜索结果页链接，正式入库前需补原笔记链接</t>
        </is>
      </c>
      <c r="Q408" t="inlineStr">
        <is>
          <t>低度酒品类</t>
        </is>
      </c>
      <c r="R408"/>
      <c r="S408"/>
    </row>
    <row r="409" ht="25.5" customHeight="1">
      <c r="A409" t="inlineStr">
        <is>
          <t>XHS-SOC-0241</t>
        </is>
      </c>
      <c r="B409" t="inlineStr">
        <is>
          <t>消费场景与使用行为</t>
        </is>
      </c>
      <c r="C409" t="inlineStr">
        <is>
          <t>PRJ001</t>
        </is>
      </c>
      <c r="D409" t="inlineStr">
        <is>
          <t>低度酒</t>
        </is>
      </c>
      <c r="E409" t="inlineStr">
        <is>
          <t>一个人才叫喝酒 几个人那叫吹牛逼大会</t>
        </is>
      </c>
      <c r="F409" t="inlineStr">
        <is>
          <t>一个人喝酒很怪吗｜2025-03-08｜小红书</t>
        </is>
      </c>
      <c r="G409" t="inlineStr">
        <is>
          <t>小红书</t>
        </is>
      </c>
      <c r="H409" s="2" t="str">
        <f>=HYPERLINK("https://www.xiaohongshu.com/search_result/一个人喝酒", "https://www.xiaohongshu.com/search_result/一个人喝酒")</f>
        <v>https://www.xiaohongshu.com/search_result/一个人喝酒</v>
      </c>
      <c r="I409" s="3">
        <v>46091</v>
      </c>
      <c r="J409" s="4">
        <v>46243</v>
      </c>
      <c r="K409" t="inlineStr">
        <is>
          <t>一个人喝酒</t>
        </is>
      </c>
      <c r="L409">
        <v>0</v>
      </c>
      <c r="M409" t="inlineStr">
        <is>
          <t>XHS-U0279</t>
        </is>
      </c>
      <c r="N409" t="inlineStr">
        <is>
          <t>公开评论</t>
        </is>
      </c>
      <c r="O409"/>
      <c r="P409" t="inlineStr">
        <is>
          <t>原始:03-10;年份推定·湖北；当前为搜索结果页链接，正式入库前需补原笔记链接</t>
        </is>
      </c>
      <c r="Q409" t="inlineStr">
        <is>
          <t>低度酒品类</t>
        </is>
      </c>
      <c r="R409"/>
      <c r="S409"/>
    </row>
    <row r="410" ht="25.5" customHeight="1">
      <c r="A410" t="inlineStr">
        <is>
          <t>XHS-SOC-0242</t>
        </is>
      </c>
      <c r="B410" t="inlineStr">
        <is>
          <t>消费场景与使用行为</t>
        </is>
      </c>
      <c r="C410" t="inlineStr">
        <is>
          <t>PRJ001</t>
        </is>
      </c>
      <c r="D410" t="inlineStr">
        <is>
          <t>低度酒</t>
        </is>
      </c>
      <c r="E410" t="inlineStr">
        <is>
          <t>不怪！我就喜欢一个人喝酒</t>
        </is>
      </c>
      <c r="F410" t="inlineStr">
        <is>
          <t>一个人喝酒很怪吗｜2025-03-08｜小红书</t>
        </is>
      </c>
      <c r="G410" t="inlineStr">
        <is>
          <t>小红书</t>
        </is>
      </c>
      <c r="H410" s="2" t="str">
        <f>=HYPERLINK("https://www.xiaohongshu.com/search_result/一个人喝酒", "https://www.xiaohongshu.com/search_result/一个人喝酒")</f>
        <v>https://www.xiaohongshu.com/search_result/一个人喝酒</v>
      </c>
      <c r="I410" s="3">
        <v>46097</v>
      </c>
      <c r="J410" s="4">
        <v>46243</v>
      </c>
      <c r="K410" t="inlineStr">
        <is>
          <t>一个人喝酒</t>
        </is>
      </c>
      <c r="L410">
        <v>0</v>
      </c>
      <c r="M410" t="inlineStr">
        <is>
          <t>XHS-U0280</t>
        </is>
      </c>
      <c r="N410" t="inlineStr">
        <is>
          <t>公开评论</t>
        </is>
      </c>
      <c r="O410"/>
      <c r="P410" t="inlineStr">
        <is>
          <t>原始:03-16;年份推定·四川；当前为搜索结果页链接，正式入库前需补原笔记链接</t>
        </is>
      </c>
      <c r="Q410" t="inlineStr">
        <is>
          <t>低度酒品类</t>
        </is>
      </c>
      <c r="R410"/>
      <c r="S410"/>
    </row>
    <row r="411" ht="25.5" customHeight="1">
      <c r="A411" t="inlineStr">
        <is>
          <t>TB-20260809-040</t>
        </is>
      </c>
      <c r="B411" t="inlineStr">
        <is>
          <t>购买决策与价格反馈</t>
        </is>
      </c>
      <c r="C411" t="inlineStr">
        <is>
          <t>PRJ001</t>
        </is>
      </c>
      <c r="D411" t="inlineStr">
        <is>
          <t>梅见｜12度发酵330ml</t>
        </is>
      </c>
      <c r="E411" t="inlineStr">
        <is>
          <t>多次回购好喝，但是必须冷藏才好喝。</t>
        </is>
      </c>
      <c r="F411" t="inlineStr">
        <is>
          <t>品牌：梅见｜商品/规格：12度发酵330ml｜SKU：681094845930</t>
        </is>
      </c>
      <c r="G411" t="inlineStr">
        <is>
          <t>淘宝</t>
        </is>
      </c>
      <c r="H411" s="2" t="str">
        <f>=HYPERLINK("https://detail.tmall.com/item.htm?id=681094845930", "https://detail.tmall.com/item.htm?id=681094845930")</f>
        <v>https://detail.tmall.com/item.htm?id=681094845930</v>
      </c>
      <c r="I411" s="3">
        <v>46232</v>
      </c>
      <c r="J411" s="4">
        <v>46243</v>
      </c>
      <c r="K411" t="inlineStr">
        <is>
          <t>梅见 青梅酒 商品评价</t>
        </is>
      </c>
      <c r="L411"/>
      <c r="M411" t="inlineStr">
        <is>
          <t>TB-U-20260809-040</t>
        </is>
      </c>
      <c r="N411" t="inlineStr">
        <is>
          <t>公开评论</t>
        </is>
      </c>
      <c r="O411"/>
      <c r="P411" t="inlineStr">
        <is>
          <t>情绪粗标：中性；主题粗标：回购；冷藏；饮用限制；梅见旗舰店商品评价；未记录用户名；已排除商家回复；评价页未展示评论点赞/有用数，点赞数留空</t>
        </is>
      </c>
      <c r="Q411" t="inlineStr">
        <is>
          <t>目标品牌</t>
        </is>
      </c>
      <c r="R411"/>
      <c r="S411"/>
    </row>
    <row r="412" ht="25.5" customHeight="1">
      <c r="A412" t="inlineStr">
        <is>
          <t>MJ-RAW-0361</t>
        </is>
      </c>
      <c r="B412" t="inlineStr">
        <is>
          <t>购买决策与价格反馈</t>
        </is>
      </c>
      <c r="C412" t="inlineStr">
        <is>
          <t>PRJ001</t>
        </is>
      </c>
      <c r="D412" t="inlineStr">
        <is>
          <t>梅见青梅酒6种口味组合</t>
        </is>
      </c>
      <c r="E412" t="inlineStr">
        <is>
          <t>比较实惠，口感很好，买过多次了，送货非常快</t>
        </is>
      </c>
      <c r="F412" t="inlineStr">
        <is>
          <t>梅见青梅酒6种口味组合｜330mL×6瓶｜页面未展示数字星级｜未显示追评标识</t>
        </is>
      </c>
      <c r="G412" t="inlineStr">
        <is>
          <t>京东</t>
        </is>
      </c>
      <c r="H412" s="2" t="str">
        <f>=HYPERLINK("http://数据未收集", "数据未收集")</f>
        <v>数据未收集</v>
      </c>
      <c r="I412" s="3">
        <v>46231</v>
      </c>
      <c r="J412" s="4">
        <v>46241</v>
      </c>
      <c r="K412" t="inlineStr">
        <is>
          <t>梅见青梅酒</t>
        </is>
      </c>
      <c r="L412"/>
      <c r="M412" t="inlineStr">
        <is>
          <t>JD-U004</t>
        </is>
      </c>
      <c r="N412" t="inlineStr">
        <is>
          <t>公开评论</t>
        </is>
      </c>
      <c r="O412"/>
      <c r="P412" t="inlineStr">
        <is>
          <t>【具体平台】京东
【链接说明】商品详情页，非单条评论固定链接
【证据截图】待补充</t>
        </is>
      </c>
      <c r="Q412" t="inlineStr">
        <is>
          <t>目标品牌</t>
        </is>
      </c>
      <c r="R412"/>
      <c r="S412"/>
    </row>
    <row r="413" ht="25.5" customHeight="1">
      <c r="A413" t="inlineStr">
        <is>
          <t>MJ-RAW-0362</t>
        </is>
      </c>
      <c r="B413" t="inlineStr">
        <is>
          <t>购买决策与价格反馈</t>
        </is>
      </c>
      <c r="C413" t="inlineStr">
        <is>
          <t>PRJ001</t>
        </is>
      </c>
      <c r="D413" t="inlineStr">
        <is>
          <t>梅见原味</t>
        </is>
      </c>
      <c r="E413" t="inlineStr">
        <is>
          <t>口感一般都吧，花果香还可以，性价比不高。</t>
        </is>
      </c>
      <c r="F413" t="inlineStr">
        <is>
          <t>梅见原味青梅酒｜原味330mL×1瓶｜页面未展示数字星级｜未显示追评标识</t>
        </is>
      </c>
      <c r="G413" t="inlineStr">
        <is>
          <t>京东</t>
        </is>
      </c>
      <c r="H413" s="2" t="str">
        <f>=HYPERLINK("http://数据未收集", "数据未收集")</f>
        <v>数据未收集</v>
      </c>
      <c r="I413" s="3">
        <v>46218</v>
      </c>
      <c r="J413" s="4">
        <v>46241</v>
      </c>
      <c r="K413" t="inlineStr">
        <is>
          <t>梅见原味</t>
        </is>
      </c>
      <c r="L413"/>
      <c r="M413" t="inlineStr">
        <is>
          <t>JD-U007</t>
        </is>
      </c>
      <c r="N413" t="inlineStr">
        <is>
          <t>公开评论</t>
        </is>
      </c>
      <c r="O413"/>
      <c r="P413" t="inlineStr">
        <is>
          <t>【具体平台】京东
【链接说明】商品详情页，非单条评论固定链接
【证据截图】待补充</t>
        </is>
      </c>
      <c r="Q413" t="inlineStr">
        <is>
          <t>目标品牌</t>
        </is>
      </c>
      <c r="R413"/>
      <c r="S413"/>
    </row>
    <row r="414" ht="25.5" customHeight="1">
      <c r="A414" t="inlineStr">
        <is>
          <t>XHS-SOC-0047</t>
        </is>
      </c>
      <c r="B414" t="inlineStr">
        <is>
          <t>购买决策与价格反馈</t>
        </is>
      </c>
      <c r="C414" t="inlineStr">
        <is>
          <t>PRJ001</t>
        </is>
      </c>
      <c r="D414" t="inlineStr">
        <is>
          <t>梅见</t>
        </is>
      </c>
      <c r="E414" t="inlineStr">
        <is>
          <t>国产的可以试试昆竹，贵点的日本就俏雅，白鹤 三得利 梅乃宿</t>
        </is>
      </c>
      <c r="F414" t="inlineStr">
        <is>
          <t>除了梅见还有其他梅子酒推荐吗｜2025-07-04｜小红书</t>
        </is>
      </c>
      <c r="G414" t="inlineStr">
        <is>
          <t>小红书</t>
        </is>
      </c>
      <c r="H414" s="2" t="str">
        <f>=HYPERLINK("https://www.xiaohongshu.com/explore/6a48b570000000001603dc9b", "https://www.xiaohongshu.com/explore/6a48b570000000001603dc9b")</f>
        <v>https://www.xiaohongshu.com/explore/6a48b570000000001603dc9b</v>
      </c>
      <c r="I414" s="3">
        <v>46209</v>
      </c>
      <c r="J414" s="4">
        <v>46243</v>
      </c>
      <c r="K414" t="inlineStr">
        <is>
          <t>青梅酒推荐</t>
        </is>
      </c>
      <c r="L414">
        <v>0</v>
      </c>
      <c r="M414" t="inlineStr">
        <is>
          <t>XHS-U0199</t>
        </is>
      </c>
      <c r="N414" t="inlineStr">
        <is>
          <t>公开评论</t>
        </is>
      </c>
      <c r="O414"/>
      <c r="P414" t="inlineStr">
        <is>
          <t>原始:07-06;年份推定·云南</t>
        </is>
      </c>
      <c r="Q414" t="inlineStr">
        <is>
          <t>目标品牌</t>
        </is>
      </c>
      <c r="R414"/>
      <c r="S414"/>
    </row>
    <row r="415" ht="25.5" customHeight="1">
      <c r="A415" t="inlineStr">
        <is>
          <t>DY-SOC-0130</t>
        </is>
      </c>
      <c r="B415" t="inlineStr">
        <is>
          <t>购买决策与价格反馈</t>
        </is>
      </c>
      <c r="C415" t="inlineStr">
        <is>
          <t>PRJ001</t>
        </is>
      </c>
      <c r="D415" t="inlineStr">
        <is>
          <t>梅见</t>
        </is>
      </c>
      <c r="E415" t="inlineStr">
        <is>
          <t>买了好几种主要都是酸味</t>
        </is>
      </c>
      <c r="F415" t="inlineStr">
        <is>
          <t>梅见口味大揭秘｜2025-05-23｜抖音</t>
        </is>
      </c>
      <c r="G415" t="inlineStr">
        <is>
          <t>抖音</t>
        </is>
      </c>
      <c r="H415" s="2" t="str">
        <f>=HYPERLINK("https://www.douyin.com/video/7667186302345412315", "https://www.douyin.com/video/7667186302345412315")</f>
        <v>https://www.douyin.com/video/7667186302345412315</v>
      </c>
      <c r="I415" s="3">
        <v>45800</v>
      </c>
      <c r="J415" s="4">
        <v>46243</v>
      </c>
      <c r="K415" t="inlineStr">
        <is>
          <t>梅见好喝吗</t>
        </is>
      </c>
      <c r="L415"/>
      <c r="M415" t="inlineStr">
        <is>
          <t>DY-U0080</t>
        </is>
      </c>
      <c r="N415" t="inlineStr">
        <is>
          <t>公开评论</t>
        </is>
      </c>
      <c r="O415"/>
      <c r="P415" t="inlineStr">
        <is>
          <t>点赞数未成功识别，暂置空，禁止随机补值</t>
        </is>
      </c>
      <c r="Q415" t="inlineStr">
        <is>
          <t>目标品牌</t>
        </is>
      </c>
      <c r="R415"/>
      <c r="S415"/>
    </row>
    <row r="416" ht="25.5" customHeight="1">
      <c r="A416" t="inlineStr">
        <is>
          <t>DY-SOC-0131</t>
        </is>
      </c>
      <c r="B416" t="inlineStr">
        <is>
          <t>购买决策与价格反馈</t>
        </is>
      </c>
      <c r="C416" t="inlineStr">
        <is>
          <t>PRJ001</t>
        </is>
      </c>
      <c r="D416" t="inlineStr">
        <is>
          <t>梅见</t>
        </is>
      </c>
      <c r="E416" t="inlineStr">
        <is>
          <t>我今天刚买了梅见各种口味6瓶[捂脸][捂脸]</t>
        </is>
      </c>
      <c r="F416" t="inlineStr">
        <is>
          <t>超市小甜水上头测评｜2025-03-14｜抖音</t>
        </is>
      </c>
      <c r="G416" t="inlineStr">
        <is>
          <t>抖音</t>
        </is>
      </c>
      <c r="H416" s="2" t="str">
        <f>=HYPERLINK("https://www.douyin.com/video/7633357452931807473", "https://www.douyin.com/video/7633357452931807473")</f>
        <v>https://www.douyin.com/video/7633357452931807473</v>
      </c>
      <c r="I416" s="3">
        <v>45730</v>
      </c>
      <c r="J416" s="4">
        <v>46243</v>
      </c>
      <c r="K416" t="inlineStr">
        <is>
          <t>梅见难喝</t>
        </is>
      </c>
      <c r="L416"/>
      <c r="M416" t="inlineStr">
        <is>
          <t>DY-U0091</t>
        </is>
      </c>
      <c r="N416" t="inlineStr">
        <is>
          <t>公开评论</t>
        </is>
      </c>
      <c r="O416"/>
      <c r="P416" t="inlineStr">
        <is>
          <t>点赞数未成功识别，暂置空，禁止随机补值；当前日期来自视频发布时间，评论发布时间未识别</t>
        </is>
      </c>
      <c r="Q416" t="inlineStr">
        <is>
          <t>目标品牌</t>
        </is>
      </c>
      <c r="R416"/>
      <c r="S416"/>
    </row>
    <row r="417" ht="25.5" customHeight="1">
      <c r="A417" t="inlineStr">
        <is>
          <t>DY-SOC-0132</t>
        </is>
      </c>
      <c r="B417" t="inlineStr">
        <is>
          <t>购买决策与价格反馈</t>
        </is>
      </c>
      <c r="C417" t="inlineStr">
        <is>
          <t>PRJ001</t>
        </is>
      </c>
      <c r="D417" t="inlineStr">
        <is>
          <t>梅见</t>
        </is>
      </c>
      <c r="E417" t="inlineStr">
        <is>
          <t>等我发工资了就去买</t>
        </is>
      </c>
      <c r="F417" t="inlineStr">
        <is>
          <t>小火锅冰梅见2｜2025-07-31｜抖音</t>
        </is>
      </c>
      <c r="G417" t="inlineStr">
        <is>
          <t>抖音</t>
        </is>
      </c>
      <c r="H417" s="2" t="str">
        <f>=HYPERLINK("https://www.douyin.com/video/7667775159961274021", "https://www.douyin.com/video/7667775159961274021")</f>
        <v>https://www.douyin.com/video/7667775159961274021</v>
      </c>
      <c r="I417" s="3">
        <v>45869</v>
      </c>
      <c r="J417" s="4">
        <v>46243</v>
      </c>
      <c r="K417" t="inlineStr">
        <is>
          <t>梅见火锅④</t>
        </is>
      </c>
      <c r="L417"/>
      <c r="M417" t="inlineStr">
        <is>
          <t>DY-U0238</t>
        </is>
      </c>
      <c r="N417" t="inlineStr">
        <is>
          <t>公开评论</t>
        </is>
      </c>
      <c r="O417"/>
      <c r="P417" t="inlineStr">
        <is>
          <t>点赞数未成功识别，暂置空，禁止随机补值</t>
        </is>
      </c>
      <c r="Q417" t="inlineStr">
        <is>
          <t>目标品牌</t>
        </is>
      </c>
      <c r="R417"/>
      <c r="S417"/>
    </row>
    <row r="418" ht="25.5" customHeight="1">
      <c r="A418" t="inlineStr">
        <is>
          <t>DY-SOC-0133</t>
        </is>
      </c>
      <c r="B418" t="inlineStr">
        <is>
          <t>购买决策与价格反馈</t>
        </is>
      </c>
      <c r="C418" t="inlineStr">
        <is>
          <t>PRJ001</t>
        </is>
      </c>
      <c r="D418" t="inlineStr">
        <is>
          <t>低度酒</t>
        </is>
      </c>
      <c r="E418" t="inlineStr">
        <is>
          <t>五粮液邓紫棋一见倾心那我真要买了</t>
        </is>
      </c>
      <c r="F418" t="inlineStr">
        <is>
          <t>平价年度好酒Top10｜2025-01-03｜抖音</t>
        </is>
      </c>
      <c r="G418" t="inlineStr">
        <is>
          <t>抖音</t>
        </is>
      </c>
      <c r="H418" s="2" t="str">
        <f>=HYPERLINK("https://www.douyin.com/video/7592552745405085545", "https://www.douyin.com/video/7592552745405085545")</f>
        <v>https://www.douyin.com/video/7592552745405085545</v>
      </c>
      <c r="I418" s="3">
        <v>45660</v>
      </c>
      <c r="J418" s="4">
        <v>46243</v>
      </c>
      <c r="K418" t="inlineStr">
        <is>
          <t>低度酒推荐①</t>
        </is>
      </c>
      <c r="L418"/>
      <c r="M418" t="inlineStr">
        <is>
          <t>DY-U0290</t>
        </is>
      </c>
      <c r="N418" t="inlineStr">
        <is>
          <t>公开评论</t>
        </is>
      </c>
      <c r="O418"/>
      <c r="P418" t="inlineStr">
        <is>
          <t>点赞数未成功识别，暂置空，禁止随机补值；当前日期来自视频发布时间，评论发布时间未识别</t>
        </is>
      </c>
      <c r="Q418" t="inlineStr">
        <is>
          <t>低度酒品类</t>
        </is>
      </c>
      <c r="R418"/>
      <c r="S418"/>
    </row>
    <row r="419" ht="25.5" customHeight="1">
      <c r="A419" t="inlineStr">
        <is>
          <t>DY-SOC-0134</t>
        </is>
      </c>
      <c r="B419" t="inlineStr">
        <is>
          <t>购买决策与价格反馈</t>
        </is>
      </c>
      <c r="C419" t="inlineStr">
        <is>
          <t>PRJ001</t>
        </is>
      </c>
      <c r="D419" t="inlineStr">
        <is>
          <t>低度酒</t>
        </is>
      </c>
      <c r="E419" t="inlineStr">
        <is>
          <t>不是我们贵州的哈是旁边云南的</t>
        </is>
      </c>
      <c r="F419" t="inlineStr">
        <is>
          <t>少喝点吧｜2025-05-31｜抖音</t>
        </is>
      </c>
      <c r="G419" t="inlineStr">
        <is>
          <t>抖音</t>
        </is>
      </c>
      <c r="H419" s="2" t="str">
        <f>=HYPERLINK("https://www.douyin.com/video/7560644092813544762", "https://www.douyin.com/video/7560644092813544762")</f>
        <v>https://www.douyin.com/video/7560644092813544762</v>
      </c>
      <c r="I419" s="3">
        <v>45808</v>
      </c>
      <c r="J419" s="4">
        <v>46243</v>
      </c>
      <c r="K419" t="inlineStr">
        <is>
          <t>不想喝醉</t>
        </is>
      </c>
      <c r="L419"/>
      <c r="M419" t="inlineStr">
        <is>
          <t>DY-U0336</t>
        </is>
      </c>
      <c r="N419" t="inlineStr">
        <is>
          <t>公开评论</t>
        </is>
      </c>
      <c r="O419"/>
      <c r="P419" t="inlineStr">
        <is>
          <t>点赞数未成功识别，暂置空，禁止随机补值；当前日期来自视频发布时间，评论发布时间未识别</t>
        </is>
      </c>
      <c r="Q419" t="inlineStr">
        <is>
          <t>低度酒品类</t>
        </is>
      </c>
      <c r="R419"/>
      <c r="S419"/>
    </row>
    <row r="420" ht="25.5" customHeight="1">
      <c r="A420" t="inlineStr">
        <is>
          <t>XHS-SOC-0179</t>
        </is>
      </c>
      <c r="B420" t="inlineStr">
        <is>
          <t>购买决策与价格反馈</t>
        </is>
      </c>
      <c r="C420" t="inlineStr">
        <is>
          <t>PRJ001</t>
        </is>
      </c>
      <c r="D420" t="inlineStr">
        <is>
          <t>梅见</t>
        </is>
      </c>
      <c r="E420" t="inlineStr">
        <is>
          <t>梅见也不便宜吧330ml要二三十一瓶</t>
        </is>
      </c>
      <c r="F420" t="inlineStr">
        <is>
          <t>梅见成分分析-浓缩汁勾兑｜2025-10-01｜小红书</t>
        </is>
      </c>
      <c r="G420" t="inlineStr">
        <is>
          <t>小红书</t>
        </is>
      </c>
      <c r="H420" s="2" t="str">
        <f>=HYPERLINK("https://www.xiaohongshu.com/search_result/梅见测评", "https://www.xiaohongshu.com/search_result/梅见测评")</f>
        <v>https://www.xiaohongshu.com/search_result/梅见测评</v>
      </c>
      <c r="I420" s="3">
        <v>46056</v>
      </c>
      <c r="J420" s="4">
        <v>46243</v>
      </c>
      <c r="K420" t="inlineStr">
        <is>
          <t>梅见测评</t>
        </is>
      </c>
      <c r="L420">
        <v>14</v>
      </c>
      <c r="M420" t="inlineStr">
        <is>
          <t>XHS-U0098</t>
        </is>
      </c>
      <c r="N420" t="inlineStr">
        <is>
          <t>公开评论</t>
        </is>
      </c>
      <c r="O420"/>
      <c r="P420" t="inlineStr">
        <is>
          <t>原始:02-03;年份推定·广东；当前为搜索结果页链接，正式入库前需补原笔记链接</t>
        </is>
      </c>
      <c r="Q420" t="inlineStr">
        <is>
          <t>目标品牌</t>
        </is>
      </c>
      <c r="R420"/>
      <c r="S420"/>
    </row>
    <row r="421" ht="25.5" customHeight="1">
      <c r="A421" t="inlineStr">
        <is>
          <t>DY-SOC-0205</t>
        </is>
      </c>
      <c r="B421" t="inlineStr">
        <is>
          <t>购买决策与价格反馈</t>
        </is>
      </c>
      <c r="C421" t="inlineStr">
        <is>
          <t>PRJ001</t>
        </is>
      </c>
      <c r="D421" t="inlineStr">
        <is>
          <t>低度酒</t>
        </is>
      </c>
      <c r="E421" t="inlineStr">
        <is>
          <t>你好怎么购买</t>
        </is>
      </c>
      <c r="F421" t="inlineStr">
        <is>
          <t>平价年度好酒Top10｜2025-01-03｜抖音</t>
        </is>
      </c>
      <c r="G421" t="inlineStr">
        <is>
          <t>抖音</t>
        </is>
      </c>
      <c r="H421" s="2" t="str">
        <f>=HYPERLINK("https://www.douyin.com/video/7592552745405085545", "https://www.douyin.com/video/7592552745405085545")</f>
        <v>https://www.douyin.com/video/7592552745405085545</v>
      </c>
      <c r="I421" s="3">
        <v>45660</v>
      </c>
      <c r="J421" s="4">
        <v>46243</v>
      </c>
      <c r="K421" t="inlineStr">
        <is>
          <t>低度酒推荐①</t>
        </is>
      </c>
      <c r="L421"/>
      <c r="M421" t="inlineStr">
        <is>
          <t>DY-U0294</t>
        </is>
      </c>
      <c r="N421" t="inlineStr">
        <is>
          <t>公开评论</t>
        </is>
      </c>
      <c r="O421"/>
      <c r="P421" t="inlineStr">
        <is>
          <t>点赞数未成功识别，暂置空，禁止随机补值；当前日期来自视频发布时间，评论发布时间未识别</t>
        </is>
      </c>
      <c r="Q421" t="inlineStr">
        <is>
          <t>低度酒品类</t>
        </is>
      </c>
      <c r="R421"/>
      <c r="S421"/>
    </row>
    <row r="422" ht="25.5" customHeight="1">
      <c r="A422" t="inlineStr">
        <is>
          <t>XHS-SOC-0216</t>
        </is>
      </c>
      <c r="B422" t="inlineStr">
        <is>
          <t>购买决策与价格反馈</t>
        </is>
      </c>
      <c r="C422" t="inlineStr">
        <is>
          <t>PRJ001</t>
        </is>
      </c>
      <c r="D422" t="inlineStr">
        <is>
          <t>梅见</t>
        </is>
      </c>
      <c r="E422" t="inlineStr">
        <is>
          <t>我在店里买了梅见，我觉得口味非常好，适合女生</t>
        </is>
      </c>
      <c r="F422" t="inlineStr">
        <is>
          <t>梅见成分分析-浓缩汁勾兑｜2025-10-01｜小红书</t>
        </is>
      </c>
      <c r="G422" t="inlineStr">
        <is>
          <t>小红书</t>
        </is>
      </c>
      <c r="H422" s="2" t="str">
        <f>=HYPERLINK("https://www.xiaohongshu.com/search_result/梅见测评", "https://www.xiaohongshu.com/search_result/梅见测评")</f>
        <v>https://www.xiaohongshu.com/search_result/梅见测评</v>
      </c>
      <c r="I422" s="3">
        <v>46155</v>
      </c>
      <c r="J422" s="4">
        <v>46243</v>
      </c>
      <c r="K422" t="inlineStr">
        <is>
          <t>梅见测评</t>
        </is>
      </c>
      <c r="L422">
        <v>1</v>
      </c>
      <c r="M422" t="inlineStr">
        <is>
          <t>XHS-U0114</t>
        </is>
      </c>
      <c r="N422" t="inlineStr">
        <is>
          <t>公开评论</t>
        </is>
      </c>
      <c r="O422"/>
      <c r="P422" t="inlineStr">
        <is>
          <t>原始:05-13;年份推定·安徽；当前为搜索结果页链接，正式入库前需补原笔记链接</t>
        </is>
      </c>
      <c r="Q422" t="inlineStr">
        <is>
          <t>目标品牌</t>
        </is>
      </c>
      <c r="R422"/>
      <c r="S422"/>
    </row>
    <row r="423" ht="25.5" customHeight="1">
      <c r="A423" t="inlineStr">
        <is>
          <t>XHS-SOC-0217</t>
        </is>
      </c>
      <c r="B423" t="inlineStr">
        <is>
          <t>购买决策与价格反馈</t>
        </is>
      </c>
      <c r="C423" t="inlineStr">
        <is>
          <t>PRJ001</t>
        </is>
      </c>
      <c r="D423" t="inlineStr">
        <is>
          <t>梅见</t>
        </is>
      </c>
      <c r="E423" t="inlineStr">
        <is>
          <t>一直回购，可以直饮</t>
        </is>
      </c>
      <c r="F423" t="inlineStr">
        <is>
          <t>怎么会有这么好喝的梅子酒-时光梅见｜2025-03-21｜小红书</t>
        </is>
      </c>
      <c r="G423" t="inlineStr">
        <is>
          <t>小红书</t>
        </is>
      </c>
      <c r="H423" s="2" t="str">
        <f>=HYPERLINK("https://www.xiaohongshu.com/search_result/果酒哪个牌子好", "https://www.xiaohongshu.com/search_result/果酒哪个牌子好")</f>
        <v>https://www.xiaohongshu.com/search_result/果酒哪个牌子好</v>
      </c>
      <c r="I423" s="3">
        <v>46102</v>
      </c>
      <c r="J423" s="4">
        <v>46243</v>
      </c>
      <c r="K423" t="inlineStr">
        <is>
          <t>果酒哪个牌子好</t>
        </is>
      </c>
      <c r="L423">
        <v>1</v>
      </c>
      <c r="M423" t="inlineStr">
        <is>
          <t>XHS-U0329</t>
        </is>
      </c>
      <c r="N423" t="inlineStr">
        <is>
          <t>公开评论</t>
        </is>
      </c>
      <c r="O423"/>
      <c r="P423" t="inlineStr">
        <is>
          <t>原始:03-21;年份推定·安徽；当前为搜索结果页链接，正式入库前需补原笔记链接</t>
        </is>
      </c>
      <c r="Q423" t="inlineStr">
        <is>
          <t>目标品牌</t>
        </is>
      </c>
      <c r="R423"/>
      <c r="S423"/>
    </row>
    <row r="424" ht="25.5" customHeight="1">
      <c r="A424" t="inlineStr">
        <is>
          <t>XHS-SOC-0243</t>
        </is>
      </c>
      <c r="B424" t="inlineStr">
        <is>
          <t>购买决策与价格反馈</t>
        </is>
      </c>
      <c r="C424" t="inlineStr">
        <is>
          <t>PRJ001</t>
        </is>
      </c>
      <c r="D424" t="inlineStr">
        <is>
          <t>梅见</t>
        </is>
      </c>
      <c r="E424" t="inlineStr">
        <is>
          <t>昆竹，里面最贵的那个青梅酒的品，最柔和</t>
        </is>
      </c>
      <c r="F424" t="inlineStr">
        <is>
          <t>最近喜欢喝酒-RIO和梅见-求推荐女性酒｜2025-06-10｜小红书</t>
        </is>
      </c>
      <c r="G424" t="inlineStr">
        <is>
          <t>小红书</t>
        </is>
      </c>
      <c r="H424" s="2" t="str">
        <f>=HYPERLINK("https://www.xiaohongshu.com/search_result/梅见和rio", "https://www.xiaohongshu.com/search_result/梅见和rio")</f>
        <v>https://www.xiaohongshu.com/search_result/梅见和rio</v>
      </c>
      <c r="I424" s="3">
        <v>46242</v>
      </c>
      <c r="J424" s="4">
        <v>46243</v>
      </c>
      <c r="K424" t="inlineStr">
        <is>
          <t>梅见和RIO</t>
        </is>
      </c>
      <c r="L424">
        <v>0</v>
      </c>
      <c r="M424" t="inlineStr">
        <is>
          <t>XHS-U0232</t>
        </is>
      </c>
      <c r="N424" t="inlineStr">
        <is>
          <t>公开评论</t>
        </is>
      </c>
      <c r="O424"/>
      <c r="P424" t="inlineStr">
        <is>
          <t>原始:昨天;昨天·河北；当前为搜索结果页链接，正式入库前需补原笔记链接</t>
        </is>
      </c>
      <c r="Q424" t="inlineStr">
        <is>
          <t>目标品牌</t>
        </is>
      </c>
      <c r="R424"/>
      <c r="S424"/>
    </row>
    <row r="425" ht="25.5" customHeight="1">
      <c r="A425" t="inlineStr">
        <is>
          <t>JD-20260809-003</t>
        </is>
      </c>
      <c r="B425" t="inlineStr">
        <is>
          <t>购买决策与价格反馈</t>
        </is>
      </c>
      <c r="C425" t="inlineStr">
        <is>
          <t>PRJ001</t>
        </is>
      </c>
      <c r="D425" t="inlineStr">
        <is>
          <t>CHOYA俏雅｜紫苏3年熟本格梅酒700ml</t>
        </is>
      </c>
      <c r="E425" t="inlineStr">
        <is>
          <t>俏雅梅子酒收到了，包装完整，质量没问题，生产日期新鲜，配料表干净，价格合适，发货快，好喝，送货到家，满意</t>
        </is>
      </c>
      <c r="F425" t="inlineStr">
        <is>
          <t>品牌：CHOYA俏雅｜商品/规格：紫苏3年熟本格梅酒700ml｜SKU：100015875653</t>
        </is>
      </c>
      <c r="G425" t="inlineStr">
        <is>
          <t>京东</t>
        </is>
      </c>
      <c r="H425" s="2" t="str">
        <f>=HYPERLINK("https://item.jd.com/100015875653.html", "https://item.jd.com/100015875653.html")</f>
        <v>https://item.jd.com/100015875653.html</v>
      </c>
      <c r="I425" s="3">
        <v>46011</v>
      </c>
      <c r="J425" s="4">
        <v>46243</v>
      </c>
      <c r="K425" t="inlineStr">
        <is>
          <t>CHOYA 俏雅 梅酒 商品评价</t>
        </is>
      </c>
      <c r="L425"/>
      <c r="M425" t="inlineStr">
        <is>
          <t>JD-U-20260809-003</t>
        </is>
      </c>
      <c r="N425" t="inlineStr">
        <is>
          <t>公开评论</t>
        </is>
      </c>
      <c r="O425"/>
      <c r="P425" t="inlineStr">
        <is>
          <t>情绪粗标：正面；主题粗标：价格；包装；配料；京东商品评价弹层核验；未记录用户名；评价页未展示评论点赞/有用数，点赞数留空</t>
        </is>
      </c>
      <c r="Q425" t="inlineStr">
        <is>
          <t>竞品</t>
        </is>
      </c>
      <c r="R425"/>
      <c r="S425"/>
    </row>
    <row r="426" ht="25.5" customHeight="1">
      <c r="A426" t="inlineStr">
        <is>
          <t>JD-20260809-004</t>
        </is>
      </c>
      <c r="B426" t="inlineStr">
        <is>
          <t>购买决策与价格反馈</t>
        </is>
      </c>
      <c r="C426" t="inlineStr">
        <is>
          <t>PRJ001</t>
        </is>
      </c>
      <c r="D426" t="inlineStr">
        <is>
          <t>CHOYA俏雅｜纪州Kishu本格梅酒720ml</t>
        </is>
      </c>
      <c r="E426" t="inlineStr">
        <is>
          <t>此款本格俏雅梅酒，第一次喝到朋友送的这款酒，一下子就喜欢上了，酸甜平衡，酒精度刚刚好，入口顺滑，梅香馥郁不上头。已多次回购。</t>
        </is>
      </c>
      <c r="F426" t="inlineStr">
        <is>
          <t>品牌：CHOYA俏雅｜商品/规格：纪州Kishu本格梅酒720ml｜SKU：100049386783</t>
        </is>
      </c>
      <c r="G426" t="inlineStr">
        <is>
          <t>京东</t>
        </is>
      </c>
      <c r="H426" s="2" t="str">
        <f>=HYPERLINK("https://item.jd.com/100049386783.html", "https://item.jd.com/100049386783.html")</f>
        <v>https://item.jd.com/100049386783.html</v>
      </c>
      <c r="I426" s="3">
        <v>46100</v>
      </c>
      <c r="J426" s="4">
        <v>46243</v>
      </c>
      <c r="K426" t="inlineStr">
        <is>
          <t>CHOYA 俏雅 梅酒 商品评价</t>
        </is>
      </c>
      <c r="L426"/>
      <c r="M426" t="inlineStr">
        <is>
          <t>JD-U-20260809-004</t>
        </is>
      </c>
      <c r="N426" t="inlineStr">
        <is>
          <t>公开评论</t>
        </is>
      </c>
      <c r="O426"/>
      <c r="P426" t="inlineStr">
        <is>
          <t>情绪粗标：正面；主题粗标：酸甜度；酒精感；入口感；香气；不上头；回购；京东商品评价弹层核验；未记录用户名；评价页未展示评论点赞/有用数，点赞数留空</t>
        </is>
      </c>
      <c r="Q426" t="inlineStr">
        <is>
          <t>竞品</t>
        </is>
      </c>
      <c r="R426"/>
      <c r="S426"/>
    </row>
    <row r="427" ht="25.5" customHeight="1">
      <c r="A427" t="inlineStr">
        <is>
          <t>JD-20260809-007</t>
        </is>
      </c>
      <c r="B427" t="inlineStr">
        <is>
          <t>购买决策与价格反馈</t>
        </is>
      </c>
      <c r="C427" t="inlineStr">
        <is>
          <t>PRJ001</t>
        </is>
      </c>
      <c r="D427" t="inlineStr">
        <is>
          <t>CHOYA俏雅｜纪州Kishu本格梅酒160ml*5</t>
        </is>
      </c>
      <c r="E427" t="inlineStr">
        <is>
          <t>非常好喝，之前在日本喝过，国内还不好买。</t>
        </is>
      </c>
      <c r="F427" t="inlineStr">
        <is>
          <t>品牌：CHOYA俏雅｜商品/规格：纪州Kishu本格梅酒160ml*5｜SKU：100049386783</t>
        </is>
      </c>
      <c r="G427" t="inlineStr">
        <is>
          <t>京东</t>
        </is>
      </c>
      <c r="H427" s="2" t="str">
        <f>=HYPERLINK("https://item.jd.com/100049386783.html", "https://item.jd.com/100049386783.html")</f>
        <v>https://item.jd.com/100049386783.html</v>
      </c>
      <c r="I427" s="3">
        <v>46092</v>
      </c>
      <c r="J427" s="4">
        <v>46243</v>
      </c>
      <c r="K427" t="inlineStr">
        <is>
          <t>CHOYA 俏雅 梅酒 商品评价</t>
        </is>
      </c>
      <c r="L427"/>
      <c r="M427" t="inlineStr">
        <is>
          <t>JD-U-20260809-007</t>
        </is>
      </c>
      <c r="N427" t="inlineStr">
        <is>
          <t>公开评论</t>
        </is>
      </c>
      <c r="O427"/>
      <c r="P427" t="inlineStr">
        <is>
          <t>情绪粗标：正面；主题粗标：购买渠道；对比经历；京东商品评价弹层核验；未记录用户名；评价页未展示评论点赞/有用数，点赞数留空</t>
        </is>
      </c>
      <c r="Q427" t="inlineStr">
        <is>
          <t>竞品</t>
        </is>
      </c>
      <c r="R427"/>
      <c r="S427"/>
    </row>
    <row r="428" ht="25.5" customHeight="1">
      <c r="A428" t="inlineStr">
        <is>
          <t>JD-20260809-015</t>
        </is>
      </c>
      <c r="B428" t="inlineStr">
        <is>
          <t>购买决策与价格反馈</t>
        </is>
      </c>
      <c r="C428" t="inlineStr">
        <is>
          <t>PRJ001</t>
        </is>
      </c>
      <c r="D428" t="inlineStr">
        <is>
          <t>CHOYA俏雅｜黑金本格梅酒14度1800mL</t>
        </is>
      </c>
      <c r="E428" t="inlineStr">
        <is>
          <t>夏天的时候经常喝，直接加冰块，等冰块融化一点之后再喝才不会很甜，之前一直买小瓶的，后来发现这种大瓶的更划算，就换成大瓶的了。性价比更高</t>
        </is>
      </c>
      <c r="F428" t="inlineStr">
        <is>
          <t>品牌：CHOYA俏雅｜商品/规格：黑金本格梅酒14度1800mL｜SKU：100049386775</t>
        </is>
      </c>
      <c r="G428" t="inlineStr">
        <is>
          <t>京东</t>
        </is>
      </c>
      <c r="H428" s="2" t="str">
        <f>=HYPERLINK("https://item.jd.com/100049386775.html", "https://item.jd.com/100049386775.html")</f>
        <v>https://item.jd.com/100049386775.html</v>
      </c>
      <c r="I428" s="3">
        <v>46004</v>
      </c>
      <c r="J428" s="4">
        <v>46243</v>
      </c>
      <c r="K428" t="inlineStr">
        <is>
          <t>CHOYA 俏雅 梅酒 商品评价</t>
        </is>
      </c>
      <c r="L428"/>
      <c r="M428" t="inlineStr">
        <is>
          <t>JD-U-20260809-015</t>
        </is>
      </c>
      <c r="N428" t="inlineStr">
        <is>
          <t>公开评论</t>
        </is>
      </c>
      <c r="O428"/>
      <c r="P428" t="inlineStr">
        <is>
          <t>情绪粗标：正面；主题粗标：加冰；甜度；规格选择；性价比；复购；京东商品评价弹层核验；未记录用户名；评价页未展示评论点赞/有用数，点赞数留空</t>
        </is>
      </c>
      <c r="Q428" t="inlineStr">
        <is>
          <t>竞品</t>
        </is>
      </c>
      <c r="R428"/>
      <c r="S428"/>
    </row>
    <row r="429" ht="25.5" customHeight="1">
      <c r="A429" t="inlineStr">
        <is>
          <t>JD-20260809-021</t>
        </is>
      </c>
      <c r="B429" t="inlineStr">
        <is>
          <t>购买决策与价格反馈</t>
        </is>
      </c>
      <c r="C429" t="inlineStr">
        <is>
          <t>PRJ001</t>
        </is>
      </c>
      <c r="D429" t="inlineStr">
        <is>
          <t>RIO锐澳｜共6罐 葡萄白兰地*5罐+赠饮料1罐</t>
        </is>
      </c>
      <c r="E429" t="inlineStr">
        <is>
          <t>家人特别喜欢，所以回购的，说酸甜平衡度不错，酒精度数刚刚好，解腻效果不错，果香味道浓郁，，不错，推荐购买</t>
        </is>
      </c>
      <c r="F429" t="inlineStr">
        <is>
          <t>品牌：RIO锐澳｜商品/规格：共6罐 葡萄白兰地*5罐+赠饮料1罐｜SKU：10109256829732</t>
        </is>
      </c>
      <c r="G429" t="inlineStr">
        <is>
          <t>京东</t>
        </is>
      </c>
      <c r="H429" s="2" t="str">
        <f>=HYPERLINK("https://item.jd.com/10109256829732.html", "https://item.jd.com/10109256829732.html")</f>
        <v>https://item.jd.com/10109256829732.html</v>
      </c>
      <c r="I429" s="3">
        <v>45945</v>
      </c>
      <c r="J429" s="4">
        <v>46243</v>
      </c>
      <c r="K429" t="inlineStr">
        <is>
          <t>RIO 锐澳 鸡尾酒 商品评价</t>
        </is>
      </c>
      <c r="L429"/>
      <c r="M429" t="inlineStr">
        <is>
          <t>JD-U-20260809-021</t>
        </is>
      </c>
      <c r="N429" t="inlineStr">
        <is>
          <t>公开评论</t>
        </is>
      </c>
      <c r="O429"/>
      <c r="P429" t="inlineStr">
        <is>
          <t>情绪粗标：正面；主题粗标：回购；酸甜度；酒精感；解腻；果香；京东商品评价弹层核验；未记录用户名；评价页未展示评论点赞/有用数，点赞数留空</t>
        </is>
      </c>
      <c r="Q429" t="inlineStr">
        <is>
          <t>竞品</t>
        </is>
      </c>
      <c r="R429"/>
      <c r="S429"/>
    </row>
    <row r="430" ht="25.5" customHeight="1">
      <c r="A430" t="inlineStr">
        <is>
          <t>JD-20260809-024</t>
        </is>
      </c>
      <c r="B430" t="inlineStr">
        <is>
          <t>购买决策与价格反馈</t>
        </is>
      </c>
      <c r="C430" t="inlineStr">
        <is>
          <t>PRJ001</t>
        </is>
      </c>
      <c r="D430" t="inlineStr">
        <is>
          <t>RIO锐澳｜共6罐 乳酸菌伏特加*5罐+饮料1罐</t>
        </is>
      </c>
      <c r="E430" t="inlineStr">
        <is>
          <t>很喜欢这个口味的，一直购买这个味道的，价格也还行吧。</t>
        </is>
      </c>
      <c r="F430" t="inlineStr">
        <is>
          <t>品牌：RIO锐澳｜商品/规格：共6罐 乳酸菌伏特加*5罐+饮料1罐｜SKU：10109256829732</t>
        </is>
      </c>
      <c r="G430" t="inlineStr">
        <is>
          <t>京东</t>
        </is>
      </c>
      <c r="H430" s="2" t="str">
        <f>=HYPERLINK("https://item.jd.com/10109256829732.html", "https://item.jd.com/10109256829732.html")</f>
        <v>https://item.jd.com/10109256829732.html</v>
      </c>
      <c r="I430" s="3">
        <v>45927</v>
      </c>
      <c r="J430" s="4">
        <v>46243</v>
      </c>
      <c r="K430" t="inlineStr">
        <is>
          <t>RIO 锐澳 鸡尾酒 商品评价</t>
        </is>
      </c>
      <c r="L430"/>
      <c r="M430" t="inlineStr">
        <is>
          <t>JD-U-20260809-024</t>
        </is>
      </c>
      <c r="N430" t="inlineStr">
        <is>
          <t>公开评论</t>
        </is>
      </c>
      <c r="O430"/>
      <c r="P430" t="inlineStr">
        <is>
          <t>情绪粗标：中性；主题粗标：复购；口味；价格；京东商品评价弹层核验；未记录用户名；评价页未展示评论点赞/有用数，点赞数留空</t>
        </is>
      </c>
      <c r="Q430" t="inlineStr">
        <is>
          <t>竞品</t>
        </is>
      </c>
      <c r="R430"/>
      <c r="S430"/>
    </row>
    <row r="431" ht="25.5" customHeight="1">
      <c r="A431" t="inlineStr">
        <is>
          <t>JD-20260809-029</t>
        </is>
      </c>
      <c r="B431" t="inlineStr">
        <is>
          <t>购买决策与价格反馈</t>
        </is>
      </c>
      <c r="C431" t="inlineStr">
        <is>
          <t>PRJ001</t>
        </is>
      </c>
      <c r="D431" t="inlineStr">
        <is>
          <t>RIO锐澳｜微醺随机口味8罐</t>
        </is>
      </c>
      <c r="E431" t="inlineStr">
        <is>
          <t>包装严实，没磕碰到，价格比自营的便宜些，而且口味还多，八罐有七种口味。度数低，聚餐喝很合适，解腻效果佳。物流也挺快，体验佳。</t>
        </is>
      </c>
      <c r="F431" t="inlineStr">
        <is>
          <t>品牌：RIO锐澳｜商品/规格：微醺随机口味8罐｜SKU：10112125621688</t>
        </is>
      </c>
      <c r="G431" t="inlineStr">
        <is>
          <t>京东</t>
        </is>
      </c>
      <c r="H431" s="2" t="str">
        <f>=HYPERLINK("https://item.jd.com/10112125621688.html", "https://item.jd.com/10112125621688.html")</f>
        <v>https://item.jd.com/10112125621688.html</v>
      </c>
      <c r="I431" s="3">
        <v>46068</v>
      </c>
      <c r="J431" s="4">
        <v>46243</v>
      </c>
      <c r="K431" t="inlineStr">
        <is>
          <t>RIO 锐澳 鸡尾酒 商品评价</t>
        </is>
      </c>
      <c r="L431"/>
      <c r="M431" t="inlineStr">
        <is>
          <t>JD-U-20260809-029</t>
        </is>
      </c>
      <c r="N431" t="inlineStr">
        <is>
          <t>公开评论</t>
        </is>
      </c>
      <c r="O431"/>
      <c r="P431" t="inlineStr">
        <is>
          <t>情绪粗标：正面；主题粗标：包装；价格比较；多口味；酒精感；聚餐；解腻；京东商品评价弹层核验；已排除商家回复与用户名；评价页未展示评论点赞/有用数，点赞数留空</t>
        </is>
      </c>
      <c r="Q431" t="inlineStr">
        <is>
          <t>竞品</t>
        </is>
      </c>
      <c r="R431"/>
      <c r="S431"/>
    </row>
    <row r="432" ht="25.5" customHeight="1">
      <c r="A432" t="inlineStr">
        <is>
          <t>JD-20260809-033</t>
        </is>
      </c>
      <c r="B432" t="inlineStr">
        <is>
          <t>购买决策与价格反馈</t>
        </is>
      </c>
      <c r="C432" t="inlineStr">
        <is>
          <t>PRJ001</t>
        </is>
      </c>
      <c r="D432" t="inlineStr">
        <is>
          <t>RIO锐澳｜微醺268ml*12罐1</t>
        </is>
      </c>
      <c r="E432" t="inlineStr">
        <is>
          <t>收到后12瓶只有两个口味，可能我备注的话是会多点的，但是还是有点失望</t>
        </is>
      </c>
      <c r="F432" t="inlineStr">
        <is>
          <t>品牌：RIO锐澳｜商品/规格：微醺268ml*12罐1｜SKU：10112125621688</t>
        </is>
      </c>
      <c r="G432" t="inlineStr">
        <is>
          <t>京东</t>
        </is>
      </c>
      <c r="H432" s="2" t="str">
        <f>=HYPERLINK("https://item.jd.com/10112125621688.html", "https://item.jd.com/10112125621688.html")</f>
        <v>https://item.jd.com/10112125621688.html</v>
      </c>
      <c r="I432" s="3">
        <v>46169</v>
      </c>
      <c r="J432" s="4">
        <v>46243</v>
      </c>
      <c r="K432" t="inlineStr">
        <is>
          <t>RIO 锐澳 鸡尾酒 商品评价</t>
        </is>
      </c>
      <c r="L432"/>
      <c r="M432" t="inlineStr">
        <is>
          <t>JD-U-20260809-033</t>
        </is>
      </c>
      <c r="N432" t="inlineStr">
        <is>
          <t>公开评论</t>
        </is>
      </c>
      <c r="O432"/>
      <c r="P432" t="inlineStr">
        <is>
          <t>情绪粗标：负面；主题粗标：随机口味；期望落差；不满意；京东中评弹层核验；已排除商家回复与用户名；评价页未展示评论点赞/有用数，点赞数留空</t>
        </is>
      </c>
      <c r="Q432" t="inlineStr">
        <is>
          <t>竞品</t>
        </is>
      </c>
      <c r="R432"/>
      <c r="S432"/>
    </row>
    <row r="433" ht="25.5" customHeight="1">
      <c r="A433" t="inlineStr">
        <is>
          <t>JD-20260809-035</t>
        </is>
      </c>
      <c r="B433" t="inlineStr">
        <is>
          <t>购买决策与价格反馈</t>
        </is>
      </c>
      <c r="C433" t="inlineStr">
        <is>
          <t>PRJ001</t>
        </is>
      </c>
      <c r="D433" t="inlineStr">
        <is>
          <t>昆竹牌｜青梅酒450ml*6瓶</t>
        </is>
      </c>
      <c r="E433" t="inlineStr">
        <is>
          <t>这款梅酒酸甜平衡，梅香清新自然，入口柔和顺滑，余味有淡淡果香回甘。酒精度适中，冰镇后口感更清爽，加气泡水或冰块都很适合。包装精致，适合朋友聚会，性价比不错，会回购。</t>
        </is>
      </c>
      <c r="F433" t="inlineStr">
        <is>
          <t>品牌：昆竹牌｜商品/规格：青梅酒450ml*6瓶｜SKU：100348071270</t>
        </is>
      </c>
      <c r="G433" t="inlineStr">
        <is>
          <t>京东</t>
        </is>
      </c>
      <c r="H433" s="2" t="str">
        <f>=HYPERLINK("https://item.jd.com/100348071270.html", "https://item.jd.com/100348071270.html")</f>
        <v>https://item.jd.com/100348071270.html</v>
      </c>
      <c r="I433" s="3">
        <v>46150</v>
      </c>
      <c r="J433" s="4">
        <v>46243</v>
      </c>
      <c r="K433" t="inlineStr">
        <is>
          <t>昆竹 青梅酒 商品评价</t>
        </is>
      </c>
      <c r="L433"/>
      <c r="M433" t="inlineStr">
        <is>
          <t>JD-U-20260809-035</t>
        </is>
      </c>
      <c r="N433" t="inlineStr">
        <is>
          <t>公开评论</t>
        </is>
      </c>
      <c r="O433"/>
      <c r="P433" t="inlineStr">
        <is>
          <t>情绪粗标：正面；主题粗标：酸甜度；香气；入口感；回甘；酒精感；冰镇；调配；包装；性价比；回购；京东商品评价弹层核验；已排除商家回复与用户名；评价页未展示评论点赞/有用数，点赞数留空</t>
        </is>
      </c>
      <c r="Q433" t="inlineStr">
        <is>
          <t>竞品</t>
        </is>
      </c>
      <c r="R433"/>
      <c r="S433"/>
    </row>
    <row r="434" ht="25.5" customHeight="1">
      <c r="A434" t="inlineStr">
        <is>
          <t>JD-20260809-038</t>
        </is>
      </c>
      <c r="B434" t="inlineStr">
        <is>
          <t>购买决策与价格反馈</t>
        </is>
      </c>
      <c r="C434" t="inlineStr">
        <is>
          <t>PRJ001</t>
        </is>
      </c>
      <c r="D434" t="inlineStr">
        <is>
          <t>昆竹牌｜青梅酒450ml*6瓶</t>
        </is>
      </c>
      <c r="E434" t="inlineStr">
        <is>
          <t>在广东喝过这一款酒，适合女士们饮用。口感酸甜爽口，度数低，招待客人尝尝味道，也不错。京东上也可以下单，买的多与广东当地价位相差不大。</t>
        </is>
      </c>
      <c r="F434" t="inlineStr">
        <is>
          <t>品牌：昆竹牌｜商品/规格：青梅酒450ml*6瓶｜SKU：100348071270</t>
        </is>
      </c>
      <c r="G434" t="inlineStr">
        <is>
          <t>京东</t>
        </is>
      </c>
      <c r="H434" s="2" t="str">
        <f>=HYPERLINK("https://item.jd.com/100348071270.html", "https://item.jd.com/100348071270.html")</f>
        <v>https://item.jd.com/100348071270.html</v>
      </c>
      <c r="I434" s="3">
        <v>46155</v>
      </c>
      <c r="J434" s="4">
        <v>46243</v>
      </c>
      <c r="K434" t="inlineStr">
        <is>
          <t>昆竹 青梅酒 商品评价</t>
        </is>
      </c>
      <c r="L434"/>
      <c r="M434" t="inlineStr">
        <is>
          <t>JD-U-20260809-038</t>
        </is>
      </c>
      <c r="N434" t="inlineStr">
        <is>
          <t>公开评论</t>
        </is>
      </c>
      <c r="O434"/>
      <c r="P434" t="inlineStr">
        <is>
          <t>情绪粗标：正面；主题粗标：酸甜度；酒精感；待客；价格比较；京东商品评价弹层核验；已排除商家回复与用户名；评价页未展示评论点赞/有用数，点赞数留空</t>
        </is>
      </c>
      <c r="Q434" t="inlineStr">
        <is>
          <t>竞品</t>
        </is>
      </c>
      <c r="R434"/>
      <c r="S434"/>
    </row>
    <row r="435" ht="25.5" customHeight="1">
      <c r="A435" t="inlineStr">
        <is>
          <t>JD-20260809-040</t>
        </is>
      </c>
      <c r="B435" t="inlineStr">
        <is>
          <t>购买决策与价格反馈</t>
        </is>
      </c>
      <c r="C435" t="inlineStr">
        <is>
          <t>PRJ001</t>
        </is>
      </c>
      <c r="D435" t="inlineStr">
        <is>
          <t>昆竹牌｜青梅酒白金版 375ml 单瓶</t>
        </is>
      </c>
      <c r="E435" t="inlineStr">
        <is>
          <t>昆竹青梅酒白金版太绝了！精选老树大青梅，梅香浓郁高扬，酸甜平衡超舒服。12度柔和不辣喉，纯饮/加冰都绝，配料干净无添加，微醺不上头，无限回购！</t>
        </is>
      </c>
      <c r="F435" t="inlineStr">
        <is>
          <t>品牌：昆竹牌｜商品/规格：青梅酒白金版 375ml 单瓶｜SKU：100348071270</t>
        </is>
      </c>
      <c r="G435" t="inlineStr">
        <is>
          <t>京东</t>
        </is>
      </c>
      <c r="H435" s="2" t="str">
        <f>=HYPERLINK("https://item.jd.com/100348071270.html", "https://item.jd.com/100348071270.html")</f>
        <v>https://item.jd.com/100348071270.html</v>
      </c>
      <c r="I435" s="3">
        <v>46086</v>
      </c>
      <c r="J435" s="4">
        <v>46243</v>
      </c>
      <c r="K435" t="inlineStr">
        <is>
          <t>昆竹 青梅酒 商品评价</t>
        </is>
      </c>
      <c r="L435"/>
      <c r="M435" t="inlineStr">
        <is>
          <t>JD-U-20260809-040</t>
        </is>
      </c>
      <c r="N435" t="inlineStr">
        <is>
          <t>公开评论</t>
        </is>
      </c>
      <c r="O435"/>
      <c r="P435" t="inlineStr">
        <is>
          <t>情绪粗标：正面；主题粗标：香气；酸甜度；酒精感；加冰；配料；不上头；回购；京东商品评价弹层核验；已排除商家回复与用户名；评价页未展示评论点赞/有用数，点赞数留空；疑似模板化表达，仅作为原始语料导入，表2需人工复核</t>
        </is>
      </c>
      <c r="Q435" t="inlineStr">
        <is>
          <t>竞品</t>
        </is>
      </c>
      <c r="R435"/>
      <c r="S435"/>
    </row>
    <row r="436" ht="25.5" customHeight="1">
      <c r="A436" t="inlineStr">
        <is>
          <t>JD-20260809-043</t>
        </is>
      </c>
      <c r="B436" t="inlineStr">
        <is>
          <t>购买决策与价格反馈</t>
        </is>
      </c>
      <c r="C436" t="inlineStr">
        <is>
          <t>PRJ001</t>
        </is>
      </c>
      <c r="D436" t="inlineStr">
        <is>
          <t>RIO锐澳｜强爽500ML*12罐 随机（含0糖）</t>
        </is>
      </c>
      <c r="E436" t="inlineStr">
        <is>
          <t>这款强爽气泡水真的太惊艳了！🥤🍇果香浓郁，口感甘甜顺滑，冰镇后清爽解腻，聚会必备～包装精致，颜值在线✨，朋友都说好喝！会回购👍，性价比超高🌟，强烈推荐给喜欢微醺感的朋友🎉👏💖💖</t>
        </is>
      </c>
      <c r="F436" t="inlineStr">
        <is>
          <t>品牌：RIO锐澳｜商品/规格：强爽500ML*12罐 随机（含0糖）｜SKU：10115466070314</t>
        </is>
      </c>
      <c r="G436" t="inlineStr">
        <is>
          <t>京东</t>
        </is>
      </c>
      <c r="H436" s="2" t="str">
        <f>=HYPERLINK("https://item.jd.com/10115466070314.html", "https://item.jd.com/10115466070314.html")</f>
        <v>https://item.jd.com/10115466070314.html</v>
      </c>
      <c r="I436" s="3">
        <v>46093</v>
      </c>
      <c r="J436" s="4">
        <v>46243</v>
      </c>
      <c r="K436" t="inlineStr">
        <is>
          <t>RIO 锐澳 鸡尾酒 商品评价</t>
        </is>
      </c>
      <c r="L436"/>
      <c r="M436" t="inlineStr">
        <is>
          <t>JD-U-20260809-043</t>
        </is>
      </c>
      <c r="N436" t="inlineStr">
        <is>
          <t>公开评论</t>
        </is>
      </c>
      <c r="O436"/>
      <c r="P436" t="inlineStr">
        <is>
          <t>情绪粗标：正面；主题粗标：果香；甜度；入口感；冰镇；解腻；聚会；包装；回购；性价比；京东商品评价弹层核验；已排除商家回复与用户名；评价页未展示评论点赞/有用数，点赞数留空；疑似模板化表达，仅作为原始语料导入，表2需人工复核</t>
        </is>
      </c>
      <c r="Q436" t="inlineStr">
        <is>
          <t>竞品</t>
        </is>
      </c>
      <c r="R436"/>
      <c r="S436"/>
    </row>
    <row r="437" ht="25.5" customHeight="1">
      <c r="A437" t="inlineStr">
        <is>
          <t>JD-20260809-046</t>
        </is>
      </c>
      <c r="B437" t="inlineStr">
        <is>
          <t>购买决策与价格反馈</t>
        </is>
      </c>
      <c r="C437" t="inlineStr">
        <is>
          <t>PRJ001</t>
        </is>
      </c>
      <c r="D437" t="inlineStr">
        <is>
          <t>RIO锐澳｜强爽500ml*6罐 单白桃口味</t>
        </is>
      </c>
      <c r="E437" t="inlineStr">
        <is>
          <t>发货很快 包装结实 泡沫塑料保护的很好防止磕碰 味道挺不错的 最近一直买这个 感觉桃子的口味是最喜欢的 喝完的感觉也刚好</t>
        </is>
      </c>
      <c r="F437" t="inlineStr">
        <is>
          <t>品牌：RIO锐澳｜商品/规格：强爽500ml*6罐 单白桃口味｜SKU：10115466070314</t>
        </is>
      </c>
      <c r="G437" t="inlineStr">
        <is>
          <t>京东</t>
        </is>
      </c>
      <c r="H437" s="2" t="str">
        <f>=HYPERLINK("https://item.jd.com/10115466070314.html", "https://item.jd.com/10115466070314.html")</f>
        <v>https://item.jd.com/10115466070314.html</v>
      </c>
      <c r="I437" s="3">
        <v>46045</v>
      </c>
      <c r="J437" s="4">
        <v>46243</v>
      </c>
      <c r="K437" t="inlineStr">
        <is>
          <t>RIO 锐澳 鸡尾酒 商品评价</t>
        </is>
      </c>
      <c r="L437"/>
      <c r="M437" t="inlineStr">
        <is>
          <t>JD-U-20260809-046</t>
        </is>
      </c>
      <c r="N437" t="inlineStr">
        <is>
          <t>公开评论</t>
        </is>
      </c>
      <c r="O437"/>
      <c r="P437" t="inlineStr">
        <is>
          <t>情绪粗标：正面；主题粗标：包装；复购；白桃口味；饮后感；京东商品评价弹层核验；已排除商家回复与用户名；评价页未展示评论点赞/有用数，点赞数留空</t>
        </is>
      </c>
      <c r="Q437" t="inlineStr">
        <is>
          <t>竞品</t>
        </is>
      </c>
      <c r="R437"/>
      <c r="S437"/>
    </row>
    <row r="438" ht="25.5" customHeight="1">
      <c r="A438" t="inlineStr">
        <is>
          <t>JD-20260809-047</t>
        </is>
      </c>
      <c r="B438" t="inlineStr">
        <is>
          <t>购买决策与价格反馈</t>
        </is>
      </c>
      <c r="C438" t="inlineStr">
        <is>
          <t>PRJ001</t>
        </is>
      </c>
      <c r="D438" t="inlineStr">
        <is>
          <t>RIO锐澳｜强爽500*6罐 青提茉莉</t>
        </is>
      </c>
      <c r="E438" t="inlineStr">
        <is>
          <t>这款强爽青提味饮料真是让人爱不释手！口感清爽，果香浓郁，聚会必备饮品🥤🍻 朋友都说好喝，性价比超高，值得回购👍。</t>
        </is>
      </c>
      <c r="F438" t="inlineStr">
        <is>
          <t>品牌：RIO锐澳｜商品/规格：强爽500*6罐 青提茉莉｜SKU：10115466070314</t>
        </is>
      </c>
      <c r="G438" t="inlineStr">
        <is>
          <t>京东</t>
        </is>
      </c>
      <c r="H438" s="2" t="str">
        <f>=HYPERLINK("https://item.jd.com/10115466070314.html", "https://item.jd.com/10115466070314.html")</f>
        <v>https://item.jd.com/10115466070314.html</v>
      </c>
      <c r="I438" s="3">
        <v>45975</v>
      </c>
      <c r="J438" s="4">
        <v>46243</v>
      </c>
      <c r="K438" t="inlineStr">
        <is>
          <t>RIO 锐澳 鸡尾酒 商品评价</t>
        </is>
      </c>
      <c r="L438"/>
      <c r="M438" t="inlineStr">
        <is>
          <t>JD-U-20260809-047</t>
        </is>
      </c>
      <c r="N438" t="inlineStr">
        <is>
          <t>公开评论</t>
        </is>
      </c>
      <c r="O438"/>
      <c r="P438" t="inlineStr">
        <is>
          <t>情绪粗标：正面；主题粗标：清爽；果香；聚会；性价比；回购；京东商品评价弹层核验；已排除商家回复与用户名；评价页未展示评论点赞/有用数，点赞数留空</t>
        </is>
      </c>
      <c r="Q438" t="inlineStr">
        <is>
          <t>竞品</t>
        </is>
      </c>
      <c r="R438"/>
      <c r="S438"/>
    </row>
    <row r="439" ht="25.5" customHeight="1">
      <c r="A439" t="inlineStr">
        <is>
          <t>JD-20260809-049</t>
        </is>
      </c>
      <c r="B439" t="inlineStr">
        <is>
          <t>购买决策与价格反馈</t>
        </is>
      </c>
      <c r="C439" t="inlineStr">
        <is>
          <t>PRJ001</t>
        </is>
      </c>
      <c r="D439" t="inlineStr">
        <is>
          <t>RIO锐澳｜强爽500ml0糖多口味组合12罐装</t>
        </is>
      </c>
      <c r="E439" t="inlineStr">
        <is>
          <t>小同学推荐，今年过年就喝他了，早年前玻璃瓶的基本都喝过，对比了几个平台，价格合适的时候囤几箱，过节聚会少不了喝点儿，不过口味还没买全，继续～</t>
        </is>
      </c>
      <c r="F439" t="inlineStr">
        <is>
          <t>品牌：RIO锐澳｜商品/规格：强爽500ml0糖多口味组合12罐装｜SKU：10115466070314</t>
        </is>
      </c>
      <c r="G439" t="inlineStr">
        <is>
          <t>京东</t>
        </is>
      </c>
      <c r="H439" s="2" t="str">
        <f>=HYPERLINK("https://item.jd.com/10115466070314.html", "https://item.jd.com/10115466070314.html")</f>
        <v>https://item.jd.com/10115466070314.html</v>
      </c>
      <c r="I439" s="3">
        <v>46052</v>
      </c>
      <c r="J439" s="4">
        <v>46243</v>
      </c>
      <c r="K439" t="inlineStr">
        <is>
          <t>RIO 锐澳 鸡尾酒 商品评价</t>
        </is>
      </c>
      <c r="L439"/>
      <c r="M439" t="inlineStr">
        <is>
          <t>JD-U-20260809-049</t>
        </is>
      </c>
      <c r="N439" t="inlineStr">
        <is>
          <t>公开评论</t>
        </is>
      </c>
      <c r="O439"/>
      <c r="P439" t="inlineStr">
        <is>
          <t>情绪粗标：正面；主题粗标：推荐；与玻璃瓶比较；平台比价；囤货；聚会；京东商品评价弹层核验；已排除商家回复与用户名；评价页未展示评论点赞/有用数，点赞数留空</t>
        </is>
      </c>
      <c r="Q439" t="inlineStr">
        <is>
          <t>竞品</t>
        </is>
      </c>
      <c r="R439"/>
      <c r="S439"/>
    </row>
    <row r="440" ht="25.5" customHeight="1">
      <c r="A440" t="inlineStr">
        <is>
          <t>JD-20260809-054</t>
        </is>
      </c>
      <c r="B440" t="inlineStr">
        <is>
          <t>购买决策与价格反馈</t>
        </is>
      </c>
      <c r="C440" t="inlineStr">
        <is>
          <t>PRJ001</t>
        </is>
      </c>
      <c r="D440" t="inlineStr">
        <is>
          <t>梅见｜白梅见原味青梅酒750ml</t>
        </is>
      </c>
      <c r="E440" t="inlineStr">
        <is>
          <t>价格非常实惠，味道甜甜的挺好喝的，女孩子会比较喜欢，好入口，晚上睡前微醺一下加点冰很不错，香气浓郁，酸酸甜甜，酒精度数也比较低，可以试试。</t>
        </is>
      </c>
      <c r="F440" t="inlineStr">
        <is>
          <t>品牌：梅见｜商品/规格：白梅见原味青梅酒750ml｜SKU：100013267874</t>
        </is>
      </c>
      <c r="G440" t="inlineStr">
        <is>
          <t>京东</t>
        </is>
      </c>
      <c r="H440" s="2" t="str">
        <f>=HYPERLINK("https://item.jd.com/100013267874.html", "https://item.jd.com/100013267874.html")</f>
        <v>https://item.jd.com/100013267874.html</v>
      </c>
      <c r="I440" s="3">
        <v>46160</v>
      </c>
      <c r="J440" s="4">
        <v>46243</v>
      </c>
      <c r="K440" t="inlineStr">
        <is>
          <t>梅见 青梅酒 商品评价</t>
        </is>
      </c>
      <c r="L440"/>
      <c r="M440" t="inlineStr">
        <is>
          <t>JD-U-20260809-054</t>
        </is>
      </c>
      <c r="N440" t="inlineStr">
        <is>
          <t>公开评论</t>
        </is>
      </c>
      <c r="O440"/>
      <c r="P440" t="inlineStr">
        <is>
          <t>情绪粗标：正面；主题粗标：价格；甜度；入口感；睡前小酌；加冰；香气；酸甜度；酒精感；京东商品评价弹层核验；已排除商家回复与用户名；评价页未展示评论点赞/有用数，点赞数留空</t>
        </is>
      </c>
      <c r="Q440" t="inlineStr">
        <is>
          <t>目标品牌</t>
        </is>
      </c>
      <c r="R440"/>
      <c r="S440"/>
    </row>
    <row r="441" ht="25.5" customHeight="1">
      <c r="A441" t="inlineStr">
        <is>
          <t>JD-20260809-055</t>
        </is>
      </c>
      <c r="B441" t="inlineStr">
        <is>
          <t>购买决策与价格反馈</t>
        </is>
      </c>
      <c r="C441" t="inlineStr">
        <is>
          <t>PRJ001</t>
        </is>
      </c>
      <c r="D441" t="inlineStr">
        <is>
          <t>梅见｜白梅见750ml*1瓶</t>
        </is>
      </c>
      <c r="E441" t="inlineStr">
        <is>
          <t>又够买了，这一次回够的很快。就几天功夫又回购了。上一次买的一支一个晚上就没有了。味道很不错的青梅酒。因为不喝啤酒，每一日晚上喝一点梅见酒，好入睡。值得推荐的梅酒。👍👍👍</t>
        </is>
      </c>
      <c r="F441" t="inlineStr">
        <is>
          <t>品牌：梅见｜商品/规格：白梅见750ml*1瓶｜SKU：100013267874</t>
        </is>
      </c>
      <c r="G441" t="inlineStr">
        <is>
          <t>京东</t>
        </is>
      </c>
      <c r="H441" s="2" t="str">
        <f>=HYPERLINK("https://item.jd.com/100013267874.html", "https://item.jd.com/100013267874.html")</f>
        <v>https://item.jd.com/100013267874.html</v>
      </c>
      <c r="I441" s="3">
        <v>45949</v>
      </c>
      <c r="J441" s="4">
        <v>46243</v>
      </c>
      <c r="K441" t="inlineStr">
        <is>
          <t>梅见 青梅酒 商品评价</t>
        </is>
      </c>
      <c r="L441"/>
      <c r="M441" t="inlineStr">
        <is>
          <t>JD-U-20260809-055</t>
        </is>
      </c>
      <c r="N441" t="inlineStr">
        <is>
          <t>公开评论</t>
        </is>
      </c>
      <c r="O441"/>
      <c r="P441" t="inlineStr">
        <is>
          <t>情绪粗标：正面；主题粗标：快速回购；替代啤酒；睡前饮用；京东商品评价弹层核验；已排除商家回复与用户名；评价页未展示评论点赞/有用数，点赞数留空</t>
        </is>
      </c>
      <c r="Q441" t="inlineStr">
        <is>
          <t>目标品牌</t>
        </is>
      </c>
      <c r="R441"/>
      <c r="S441"/>
    </row>
    <row r="442" ht="25.5" customHeight="1">
      <c r="A442" t="inlineStr">
        <is>
          <t>JD-20260809-057</t>
        </is>
      </c>
      <c r="B442" t="inlineStr">
        <is>
          <t>购买决策与价格反馈</t>
        </is>
      </c>
      <c r="C442" t="inlineStr">
        <is>
          <t>PRJ001</t>
        </is>
      </c>
      <c r="D442" t="inlineStr">
        <is>
          <t>梅见｜白梅见330ml*6瓶</t>
        </is>
      </c>
      <c r="E442" t="inlineStr">
        <is>
          <t>总体来说还是一款不错的酒水，小甜水，有酒劲儿，酸甜度都有，酒精度数也有，香气都有，但是感觉不是酒是的，价格也不便宜，现在女士喜欢，可能就赚这个出发点吧！</t>
        </is>
      </c>
      <c r="F442" t="inlineStr">
        <is>
          <t>品牌：梅见｜商品/规格：白梅见330ml*6瓶｜SKU：100013267874</t>
        </is>
      </c>
      <c r="G442" t="inlineStr">
        <is>
          <t>京东</t>
        </is>
      </c>
      <c r="H442" s="2" t="str">
        <f>=HYPERLINK("https://item.jd.com/100013267874.html", "https://item.jd.com/100013267874.html")</f>
        <v>https://item.jd.com/100013267874.html</v>
      </c>
      <c r="I442" s="3">
        <v>45982</v>
      </c>
      <c r="J442" s="4">
        <v>46243</v>
      </c>
      <c r="K442" t="inlineStr">
        <is>
          <t>梅见 青梅酒 商品评价</t>
        </is>
      </c>
      <c r="L442"/>
      <c r="M442" t="inlineStr">
        <is>
          <t>JD-U-20260809-057</t>
        </is>
      </c>
      <c r="N442" t="inlineStr">
        <is>
          <t>公开评论</t>
        </is>
      </c>
      <c r="O442"/>
      <c r="P442" t="inlineStr">
        <is>
          <t>情绪粗标：中性；主题粗标：小甜水；酒精感；酸甜度；香气；价格偏高；女性定位；京东商品评价弹层核验；已排除商家回复与用户名；评价页未展示评论点赞/有用数，点赞数留空</t>
        </is>
      </c>
      <c r="Q442" t="inlineStr">
        <is>
          <t>目标品牌</t>
        </is>
      </c>
      <c r="R442"/>
      <c r="S442"/>
    </row>
    <row r="443" ht="25.5" customHeight="1">
      <c r="A443" t="inlineStr">
        <is>
          <t>JD-20260809-058</t>
        </is>
      </c>
      <c r="B443" t="inlineStr">
        <is>
          <t>购买决策与价格反馈</t>
        </is>
      </c>
      <c r="C443" t="inlineStr">
        <is>
          <t>PRJ001</t>
        </is>
      </c>
      <c r="D443" t="inlineStr">
        <is>
          <t>梅见｜白梅见原味青梅酒750ml</t>
        </is>
      </c>
      <c r="E443" t="inlineStr">
        <is>
          <t>这次送的酒是青梅味，还行吧！买的散装六瓶比一箱六瓶还便宜些，这个味道的酒还可以，家里老人愿意喝，度数也不大，喝点也没事。</t>
        </is>
      </c>
      <c r="F443" t="inlineStr">
        <is>
          <t>品牌：梅见｜商品/规格：白梅见原味青梅酒750ml｜SKU：100013267874</t>
        </is>
      </c>
      <c r="G443" t="inlineStr">
        <is>
          <t>京东</t>
        </is>
      </c>
      <c r="H443" s="2" t="str">
        <f>=HYPERLINK("https://item.jd.com/100013267874.html", "https://item.jd.com/100013267874.html")</f>
        <v>https://item.jd.com/100013267874.html</v>
      </c>
      <c r="I443" s="3">
        <v>46163</v>
      </c>
      <c r="J443" s="4">
        <v>46243</v>
      </c>
      <c r="K443" t="inlineStr">
        <is>
          <t>梅见 青梅酒 商品评价</t>
        </is>
      </c>
      <c r="L443"/>
      <c r="M443" t="inlineStr">
        <is>
          <t>JD-U-20260809-058</t>
        </is>
      </c>
      <c r="N443" t="inlineStr">
        <is>
          <t>公开评论</t>
        </is>
      </c>
      <c r="O443"/>
      <c r="P443" t="inlineStr">
        <is>
          <t>情绪粗标：中性；主题粗标：赠品口味；规格比价；老人适饮；酒精感；京东商品评价弹层核验；已排除商家回复与用户名；评价页未展示评论点赞/有用数，点赞数留空</t>
        </is>
      </c>
      <c r="Q443" t="inlineStr">
        <is>
          <t>目标品牌</t>
        </is>
      </c>
      <c r="R443"/>
      <c r="S443"/>
    </row>
    <row r="444" ht="25.5" customHeight="1">
      <c r="A444" t="inlineStr">
        <is>
          <t>JD-20260809-065</t>
        </is>
      </c>
      <c r="B444" t="inlineStr">
        <is>
          <t>购买决策与价格反馈</t>
        </is>
      </c>
      <c r="C444" t="inlineStr">
        <is>
          <t>PRJ001</t>
        </is>
      </c>
      <c r="D444" t="inlineStr">
        <is>
          <t>梅见｜750ml*6瓶</t>
        </is>
      </c>
      <c r="E444" t="inlineStr">
        <is>
          <t>买了多次，350/320/290/270都买过，感觉价格太不稳了，哈哈，各种促销活动，有时接不上了就直接买了，不过很好喝，家人都喜欢喝这个饮料酒</t>
        </is>
      </c>
      <c r="F444" t="inlineStr">
        <is>
          <t>品牌：梅见｜商品/规格：750ml*6瓶｜SKU：100034280635</t>
        </is>
      </c>
      <c r="G444" t="inlineStr">
        <is>
          <t>京东</t>
        </is>
      </c>
      <c r="H444" s="2" t="str">
        <f>=HYPERLINK("https://item.jd.com/100034280635.html", "https://item.jd.com/100034280635.html")</f>
        <v>https://item.jd.com/100034280635.html</v>
      </c>
      <c r="I444" s="3">
        <v>46161</v>
      </c>
      <c r="J444" s="4">
        <v>46243</v>
      </c>
      <c r="K444" t="inlineStr">
        <is>
          <t>梅见 青梅酒 商品评价</t>
        </is>
      </c>
      <c r="L444"/>
      <c r="M444" t="inlineStr">
        <is>
          <t>JD-U-20260809-065</t>
        </is>
      </c>
      <c r="N444" t="inlineStr">
        <is>
          <t>公开评论</t>
        </is>
      </c>
      <c r="O444"/>
      <c r="P444" t="inlineStr">
        <is>
          <t>情绪粗标：中性；主题粗标：多次购买；价格波动；促销；家人喜好；饮料酒认知；京东商品评价弹层核验；已排除商家回复与用户名；评价页未展示评论点赞/有用数，点赞数留空</t>
        </is>
      </c>
      <c r="Q444" t="inlineStr">
        <is>
          <t>目标品牌</t>
        </is>
      </c>
      <c r="R444"/>
      <c r="S444"/>
    </row>
    <row r="445" ht="25.5" customHeight="1">
      <c r="A445" t="inlineStr">
        <is>
          <t>JD-20260809-066</t>
        </is>
      </c>
      <c r="B445" t="inlineStr">
        <is>
          <t>购买决策与价格反馈</t>
        </is>
      </c>
      <c r="C445" t="inlineStr">
        <is>
          <t>PRJ001</t>
        </is>
      </c>
      <c r="D445" t="inlineStr">
        <is>
          <t>梅见｜750ml*1瓶</t>
        </is>
      </c>
      <c r="E445" t="inlineStr">
        <is>
          <t>买了又买。是我喜欢的味道。价格可以接受。有时碰到东爸搞活动时，划算。👍
购后3天追评这款梅酒的可感极佳，可能是因为自己喜欢的味道，很不错。👍包装可以更加精美些，就更好。😘😘</t>
        </is>
      </c>
      <c r="F445" t="inlineStr">
        <is>
          <t>品牌：梅见｜商品/规格：750ml*1瓶｜SKU：100034280635</t>
        </is>
      </c>
      <c r="G445" t="inlineStr">
        <is>
          <t>京东</t>
        </is>
      </c>
      <c r="H445" s="2" t="str">
        <f>=HYPERLINK("https://item.jd.com/100034280635.html", "https://item.jd.com/100034280635.html")</f>
        <v>https://item.jd.com/100034280635.html</v>
      </c>
      <c r="I445" s="3">
        <v>45928</v>
      </c>
      <c r="J445" s="4">
        <v>46243</v>
      </c>
      <c r="K445" t="inlineStr">
        <is>
          <t>梅见 青梅酒 商品评价</t>
        </is>
      </c>
      <c r="L445"/>
      <c r="M445" t="inlineStr">
        <is>
          <t>JD-U-20260809-066</t>
        </is>
      </c>
      <c r="N445" t="inlineStr">
        <is>
          <t>公开评论</t>
        </is>
      </c>
      <c r="O445"/>
      <c r="P445" t="inlineStr">
        <is>
          <t>情绪粗标：中性；主题粗标：回购；活动价；口感；包装改进；京东商品评价弹层核验；已排除商家回复与用户名；评价页未展示评论点赞/有用数，点赞数留空；疑似模板化表达，仅作为原始语料导入，表2需人工复核</t>
        </is>
      </c>
      <c r="Q445" t="inlineStr">
        <is>
          <t>目标品牌</t>
        </is>
      </c>
      <c r="R445"/>
      <c r="S445"/>
    </row>
    <row r="446" ht="25.5" customHeight="1">
      <c r="A446" t="inlineStr">
        <is>
          <t>JD-20260809-067</t>
        </is>
      </c>
      <c r="B446" t="inlineStr">
        <is>
          <t>购买决策与价格反馈</t>
        </is>
      </c>
      <c r="C446" t="inlineStr">
        <is>
          <t>PRJ001</t>
        </is>
      </c>
      <c r="D446" t="inlineStr">
        <is>
          <t>梅见｜梅见金桂花750ml</t>
        </is>
      </c>
      <c r="E446" t="inlineStr">
        <is>
          <t>很喜欢这个牌子，然后上一次买的是青梅和杨梅的，这一次试试看。青梅和桂花的当时在超市买过小瓶装的，感觉挺好喝。这一次直接买一瓶大的。</t>
        </is>
      </c>
      <c r="F446" t="inlineStr">
        <is>
          <t>品牌：梅见｜商品/规格：梅见金桂花750ml｜SKU：100064573496</t>
        </is>
      </c>
      <c r="G446" t="inlineStr">
        <is>
          <t>京东</t>
        </is>
      </c>
      <c r="H446" s="2" t="str">
        <f>=HYPERLINK("https://item.jd.com/100064573496.html", "https://item.jd.com/100064573496.html")</f>
        <v>https://item.jd.com/100064573496.html</v>
      </c>
      <c r="I446" s="3">
        <v>46067</v>
      </c>
      <c r="J446" s="4">
        <v>46243</v>
      </c>
      <c r="K446" t="inlineStr">
        <is>
          <t>梅见 青梅酒 商品评价</t>
        </is>
      </c>
      <c r="L446"/>
      <c r="M446" t="inlineStr">
        <is>
          <t>JD-U-20260809-067</t>
        </is>
      </c>
      <c r="N446" t="inlineStr">
        <is>
          <t>公开评论</t>
        </is>
      </c>
      <c r="O446"/>
      <c r="P446" t="inlineStr">
        <is>
          <t>情绪粗标：中性；主题粗标：品牌偏好；口味换购；超市体验；规格升级；京东中评弹层核验；已排除商家回复与用户名；评价页未展示评论点赞/有用数，点赞数留空</t>
        </is>
      </c>
      <c r="Q446" t="inlineStr">
        <is>
          <t>目标品牌</t>
        </is>
      </c>
      <c r="R446"/>
      <c r="S446"/>
    </row>
    <row r="447" ht="25.5" customHeight="1">
      <c r="A447" t="inlineStr">
        <is>
          <t>JD-20260809-069</t>
        </is>
      </c>
      <c r="B447" t="inlineStr">
        <is>
          <t>购买决策与价格反馈</t>
        </is>
      </c>
      <c r="C447" t="inlineStr">
        <is>
          <t>PRJ001</t>
        </is>
      </c>
      <c r="D447" t="inlineStr">
        <is>
          <t>梅见｜750ml*1瓶</t>
        </is>
      </c>
      <c r="E447" t="inlineStr">
        <is>
          <t>小伙伴儿都喜欢喝，下次还买</t>
        </is>
      </c>
      <c r="F447" t="inlineStr">
        <is>
          <t>品牌：梅见｜商品/规格：750ml*1瓶｜SKU：100064573496</t>
        </is>
      </c>
      <c r="G447" t="inlineStr">
        <is>
          <t>京东</t>
        </is>
      </c>
      <c r="H447" s="2" t="str">
        <f>=HYPERLINK("https://item.jd.com/100064573496.html", "https://item.jd.com/100064573496.html")</f>
        <v>https://item.jd.com/100064573496.html</v>
      </c>
      <c r="I447" s="3">
        <v>45992</v>
      </c>
      <c r="J447" s="4">
        <v>46243</v>
      </c>
      <c r="K447" t="inlineStr">
        <is>
          <t>梅见 青梅酒 商品评价</t>
        </is>
      </c>
      <c r="L447"/>
      <c r="M447" t="inlineStr">
        <is>
          <t>JD-U-20260809-069</t>
        </is>
      </c>
      <c r="N447" t="inlineStr">
        <is>
          <t>公开评论</t>
        </is>
      </c>
      <c r="O447"/>
      <c r="P447" t="inlineStr">
        <is>
          <t>情绪粗标：中性；主题粗标：朋友喜好；复购意向；京东中评弹层核验；已排除商家回复与用户名；评价页未展示评论点赞/有用数，点赞数留空</t>
        </is>
      </c>
      <c r="Q447" t="inlineStr">
        <is>
          <t>目标品牌</t>
        </is>
      </c>
      <c r="R447"/>
      <c r="S447"/>
    </row>
    <row r="448" ht="25.5" customHeight="1">
      <c r="A448" t="inlineStr">
        <is>
          <t>TB-20260809-003</t>
        </is>
      </c>
      <c r="B448" t="inlineStr">
        <is>
          <t>购买决策与价格反馈</t>
        </is>
      </c>
      <c r="C448" t="inlineStr">
        <is>
          <t>PRJ001</t>
        </is>
      </c>
      <c r="D448" t="inlineStr">
        <is>
          <t>CHOYA俏雅｜带梅子本格梅酒700ml+赠梅酒杯</t>
        </is>
      </c>
      <c r="E448" t="inlineStr">
        <is>
          <t>日期挺新鲜 六月份产的 就是没想到有张贴纸盒马限定 吓我一跳 幸好比盒马下单便宜几块钱</t>
        </is>
      </c>
      <c r="F448" t="inlineStr">
        <is>
          <t>品牌：CHOYA俏雅｜商品/规格：带梅子本格梅酒700ml+赠梅酒杯｜SKU：873823229086</t>
        </is>
      </c>
      <c r="G448" t="inlineStr">
        <is>
          <t>淘宝</t>
        </is>
      </c>
      <c r="H448" s="2" t="str">
        <f>=HYPERLINK("https://detail.tmall.com/item.htm?id=873823229086", "https://detail.tmall.com/item.htm?id=873823229086")</f>
        <v>https://detail.tmall.com/item.htm?id=873823229086</v>
      </c>
      <c r="I448" s="3">
        <v>46232</v>
      </c>
      <c r="J448" s="4">
        <v>46243</v>
      </c>
      <c r="K448" t="inlineStr">
        <is>
          <t>CHOYA 俏雅 梅酒 商品评价</t>
        </is>
      </c>
      <c r="L448"/>
      <c r="M448" t="inlineStr">
        <is>
          <t>TB-U-20260809-003</t>
        </is>
      </c>
      <c r="N448" t="inlineStr">
        <is>
          <t>公开评论</t>
        </is>
      </c>
      <c r="O448"/>
      <c r="P448" t="inlineStr">
        <is>
          <t>情绪粗标：中性；主题粗标：生产日期；盒马限定；渠道价格比较；天猫CHOYA旗舰店商品评价；未记录用户名；评价页未展示评论点赞/有用数，点赞数留空</t>
        </is>
      </c>
      <c r="Q448" t="inlineStr">
        <is>
          <t>竞品</t>
        </is>
      </c>
      <c r="R448"/>
      <c r="S448"/>
    </row>
    <row r="449" ht="25.5" customHeight="1">
      <c r="A449" t="inlineStr">
        <is>
          <t>TB-20260809-016</t>
        </is>
      </c>
      <c r="B449" t="inlineStr">
        <is>
          <t>购买决策与价格反馈</t>
        </is>
      </c>
      <c r="C449" t="inlineStr">
        <is>
          <t>PRJ001</t>
        </is>
      </c>
      <c r="D449" t="inlineStr">
        <is>
          <t>RIO锐澳｜强爽系列多口味8度330ml*6罐</t>
        </is>
      </c>
      <c r="E449" t="inlineStr">
        <is>
          <t>跟线下超市买的一样，但价钱便宜很多。 我买了很多很多，各种口味，满足了我的味觉。 我感觉我的酒量变大了。 然后我这次发现冷藏之后风味更佳。 特别是最近夏天来临，温度越来越高，喝上这个冷藏的风味，别有一番滋味。</t>
        </is>
      </c>
      <c r="F449" t="inlineStr">
        <is>
          <t>品牌：RIO锐澳｜商品/规格：强爽系列多口味8度330ml*6罐｜SKU：678637031500</t>
        </is>
      </c>
      <c r="G449" t="inlineStr">
        <is>
          <t>淘宝</t>
        </is>
      </c>
      <c r="H449" s="2" t="str">
        <f>=HYPERLINK("https://chaoshi.detail.tmall.com/item.htm?id=678637031500", "https://chaoshi.detail.tmall.com/item.htm?id=678637031500")</f>
        <v>https://chaoshi.detail.tmall.com/item.htm?id=678637031500</v>
      </c>
      <c r="I449" s="3">
        <v>46178</v>
      </c>
      <c r="J449" s="4">
        <v>46243</v>
      </c>
      <c r="K449" t="inlineStr">
        <is>
          <t>RIO 锐澳 鸡尾酒 商品评价</t>
        </is>
      </c>
      <c r="L449"/>
      <c r="M449" t="inlineStr">
        <is>
          <t>TB-U-20260809-016</t>
        </is>
      </c>
      <c r="N449" t="inlineStr">
        <is>
          <t>公开评论</t>
        </is>
      </c>
      <c r="O449"/>
      <c r="P449" t="inlineStr">
        <is>
          <t>情绪粗标：中性；主题粗标：线下超市比价；多口味；酒量变化；冷藏；夏季饮用；天猫超市商品评价；未记录用户名；评价页未展示评论点赞/有用数，点赞数留空</t>
        </is>
      </c>
      <c r="Q449" t="inlineStr">
        <is>
          <t>竞品</t>
        </is>
      </c>
      <c r="R449"/>
      <c r="S449"/>
    </row>
    <row r="450" ht="25.5" customHeight="1">
      <c r="A450" t="inlineStr">
        <is>
          <t>TB-20260809-018</t>
        </is>
      </c>
      <c r="B450" t="inlineStr">
        <is>
          <t>购买决策与价格反馈</t>
        </is>
      </c>
      <c r="C450" t="inlineStr">
        <is>
          <t>PRJ001</t>
        </is>
      </c>
      <c r="D450" t="inlineStr">
        <is>
          <t>RIO锐澳｜强爽系列多口味8度330ml*6罐</t>
        </is>
      </c>
      <c r="E450" t="inlineStr">
        <is>
          <t>好喝爱喝经常来买。喜欢茉莉新口味和荔枝味。这俩是最爱</t>
        </is>
      </c>
      <c r="F450" t="inlineStr">
        <is>
          <t>品牌：RIO锐澳｜商品/规格：强爽系列多口味8度330ml*6罐｜SKU：678637031500</t>
        </is>
      </c>
      <c r="G450" t="inlineStr">
        <is>
          <t>淘宝</t>
        </is>
      </c>
      <c r="H450" s="2" t="str">
        <f>=HYPERLINK("https://chaoshi.detail.tmall.com/item.htm?id=678637031500", "https://chaoshi.detail.tmall.com/item.htm?id=678637031500")</f>
        <v>https://chaoshi.detail.tmall.com/item.htm?id=678637031500</v>
      </c>
      <c r="I450" s="3">
        <v>46196</v>
      </c>
      <c r="J450" s="4">
        <v>46243</v>
      </c>
      <c r="K450" t="inlineStr">
        <is>
          <t>RIO 锐澳 鸡尾酒 商品评价</t>
        </is>
      </c>
      <c r="L450"/>
      <c r="M450" t="inlineStr">
        <is>
          <t>TB-U-20260809-018</t>
        </is>
      </c>
      <c r="N450" t="inlineStr">
        <is>
          <t>公开评论</t>
        </is>
      </c>
      <c r="O450"/>
      <c r="P450" t="inlineStr">
        <is>
          <t>情绪粗标：正面；主题粗标：经常购买；茉莉口味；荔枝口味；天猫超市商品评价；未记录用户名；评价页未展示评论点赞/有用数，点赞数留空</t>
        </is>
      </c>
      <c r="Q450" t="inlineStr">
        <is>
          <t>竞品</t>
        </is>
      </c>
      <c r="R450"/>
      <c r="S450"/>
    </row>
    <row r="451" ht="25.5" customHeight="1">
      <c r="A451" t="inlineStr">
        <is>
          <t>TB-20260809-023</t>
        </is>
      </c>
      <c r="B451" t="inlineStr">
        <is>
          <t>购买决策与价格反馈</t>
        </is>
      </c>
      <c r="C451" t="inlineStr">
        <is>
          <t>PRJ001</t>
        </is>
      </c>
      <c r="D451" t="inlineStr">
        <is>
          <t>昆竹牌｜经典青梅酒450ml*6（赠小酒+杯）</t>
        </is>
      </c>
      <c r="E451" t="inlineStr">
        <is>
          <t>这款经典青梅酒真心值得推荐！450ml*6的规格刚好适配日常饮用需求，还附赠小酒与杯子，性价比拉满。它入口清爽，果味浓郁酒香醇厚，独酌或好友小聚都很合适。附赠的100ml昆竹青梅酒口感偏酸一点，我更爱经典款酸甜适中的风味，强烈安利！</t>
        </is>
      </c>
      <c r="F451" t="inlineStr">
        <is>
          <t>品牌：昆竹牌｜商品/规格：经典青梅酒450ml*6（赠小酒+杯）｜SKU：621878412430</t>
        </is>
      </c>
      <c r="G451" t="inlineStr">
        <is>
          <t>淘宝</t>
        </is>
      </c>
      <c r="H451" s="2" t="str">
        <f>=HYPERLINK("https://detail.tmall.com/item.htm?id=621878412430", "https://detail.tmall.com/item.htm?id=621878412430")</f>
        <v>https://detail.tmall.com/item.htm?id=621878412430</v>
      </c>
      <c r="I451" s="3">
        <v>46214</v>
      </c>
      <c r="J451" s="4">
        <v>46243</v>
      </c>
      <c r="K451" t="inlineStr">
        <is>
          <t>昆竹 青梅酒 商品评价</t>
        </is>
      </c>
      <c r="L451"/>
      <c r="M451" t="inlineStr">
        <is>
          <t>TB-U-20260809-023</t>
        </is>
      </c>
      <c r="N451" t="inlineStr">
        <is>
          <t>公开评论</t>
        </is>
      </c>
      <c r="O451"/>
      <c r="P451" t="inlineStr">
        <is>
          <t>情绪粗标：正面；主题粗标：性价比；包装礼赠；入口感；香气；酸甜度；规格比较；昆竹牌旗舰店商品评价；未记录用户名；评价页未展示评论点赞/有用数，点赞数留空</t>
        </is>
      </c>
      <c r="Q451" t="inlineStr">
        <is>
          <t>竞品</t>
        </is>
      </c>
      <c r="R451"/>
      <c r="S451"/>
    </row>
    <row r="452" ht="25.5" customHeight="1">
      <c r="A452" t="inlineStr">
        <is>
          <t>TB-20260809-026</t>
        </is>
      </c>
      <c r="B452" t="inlineStr">
        <is>
          <t>购买决策与价格反馈</t>
        </is>
      </c>
      <c r="C452" t="inlineStr">
        <is>
          <t>PRJ001</t>
        </is>
      </c>
      <c r="D452" t="inlineStr">
        <is>
          <t>昆竹牌｜3瓶畅享装（赠闻香杯)</t>
        </is>
      </c>
      <c r="E452" t="inlineStr">
        <is>
          <t>好喝，梅味道很足。入口顺滑回香，原料干净！一直回购的一款梅酒！价廉物美！惠州南昆山龙门原产地，这款酒推荐</t>
        </is>
      </c>
      <c r="F452" t="inlineStr">
        <is>
          <t>品牌：昆竹牌｜商品/规格：3瓶畅享装（赠闻香杯)｜SKU：621878412430</t>
        </is>
      </c>
      <c r="G452" t="inlineStr">
        <is>
          <t>淘宝</t>
        </is>
      </c>
      <c r="H452" s="2" t="str">
        <f>=HYPERLINK("https://detail.tmall.com/item.htm?id=621878412430", "https://detail.tmall.com/item.htm?id=621878412430")</f>
        <v>https://detail.tmall.com/item.htm?id=621878412430</v>
      </c>
      <c r="I452" s="3">
        <v>46237</v>
      </c>
      <c r="J452" s="4">
        <v>46243</v>
      </c>
      <c r="K452" t="inlineStr">
        <is>
          <t>昆竹 青梅酒 商品评价</t>
        </is>
      </c>
      <c r="L452"/>
      <c r="M452" t="inlineStr">
        <is>
          <t>TB-U-20260809-026</t>
        </is>
      </c>
      <c r="N452" t="inlineStr">
        <is>
          <t>公开评论</t>
        </is>
      </c>
      <c r="O452"/>
      <c r="P452" t="inlineStr">
        <is>
          <t>情绪粗标：正面；主题粗标：香气；入口感；配料；回购理由；性价比；产地认知；昆竹牌旗舰店商品评价；未记录用户名；评价页未展示评论点赞/有用数，点赞数留空</t>
        </is>
      </c>
      <c r="Q452" t="inlineStr">
        <is>
          <t>竞品</t>
        </is>
      </c>
      <c r="R452"/>
      <c r="S452"/>
    </row>
    <row r="453" ht="25.5" customHeight="1">
      <c r="A453" t="inlineStr">
        <is>
          <t>TB-20260809-031</t>
        </is>
      </c>
      <c r="B453" t="inlineStr">
        <is>
          <t>购买决策与价格反馈</t>
        </is>
      </c>
      <c r="C453" t="inlineStr">
        <is>
          <t>PRJ001</t>
        </is>
      </c>
      <c r="D453" t="inlineStr">
        <is>
          <t>昆竹牌｜3瓶畅享装（赠闻香杯)</t>
        </is>
      </c>
      <c r="E453" t="inlineStr">
        <is>
          <t>一直回购的，味道不错，度数也不高，还送了个杯子，适合女生小酌。</t>
        </is>
      </c>
      <c r="F453" t="inlineStr">
        <is>
          <t>品牌：昆竹牌｜商品/规格：3瓶畅享装（赠闻香杯)｜SKU：621878412430</t>
        </is>
      </c>
      <c r="G453" t="inlineStr">
        <is>
          <t>淘宝</t>
        </is>
      </c>
      <c r="H453" s="2" t="str">
        <f>=HYPERLINK("https://detail.tmall.com/item.htm?id=621878412430", "https://detail.tmall.com/item.htm?id=621878412430")</f>
        <v>https://detail.tmall.com/item.htm?id=621878412430</v>
      </c>
      <c r="I453" s="3">
        <v>46183</v>
      </c>
      <c r="J453" s="4">
        <v>46243</v>
      </c>
      <c r="K453" t="inlineStr">
        <is>
          <t>昆竹 青梅酒 商品评价</t>
        </is>
      </c>
      <c r="L453"/>
      <c r="M453" t="inlineStr">
        <is>
          <t>TB-U-20260809-031</t>
        </is>
      </c>
      <c r="N453" t="inlineStr">
        <is>
          <t>公开评论</t>
        </is>
      </c>
      <c r="O453"/>
      <c r="P453" t="inlineStr">
        <is>
          <t>情绪粗标：正面；主题粗标：回购理由；酒精感；包装礼赠；饮用场景；昆竹牌旗舰店商品评价；未记录用户名；评价页未展示评论点赞/有用数，点赞数留空</t>
        </is>
      </c>
      <c r="Q453" t="inlineStr">
        <is>
          <t>竞品</t>
        </is>
      </c>
      <c r="R453"/>
      <c r="S453"/>
    </row>
    <row r="454" ht="25.5" customHeight="1">
      <c r="A454" t="inlineStr">
        <is>
          <t>TB-20260809-034</t>
        </is>
      </c>
      <c r="B454" t="inlineStr">
        <is>
          <t>购买决策与价格反馈</t>
        </is>
      </c>
      <c r="C454" t="inlineStr">
        <is>
          <t>PRJ001</t>
        </is>
      </c>
      <c r="D454" t="inlineStr">
        <is>
          <t>梅见｜12度原味330ml</t>
        </is>
      </c>
      <c r="E454" t="inlineStr">
        <is>
          <t>喝了很多年 一直都很爱喝 口味也没变 会一直继续回购的</t>
        </is>
      </c>
      <c r="F454" t="inlineStr">
        <is>
          <t>品牌：梅见｜商品/规格：12度原味330ml｜SKU：681094845930</t>
        </is>
      </c>
      <c r="G454" t="inlineStr">
        <is>
          <t>淘宝</t>
        </is>
      </c>
      <c r="H454" s="2" t="str">
        <f>=HYPERLINK("https://detail.tmall.com/item.htm?id=681094845930", "https://detail.tmall.com/item.htm?id=681094845930")</f>
        <v>https://detail.tmall.com/item.htm?id=681094845930</v>
      </c>
      <c r="I454" s="3">
        <v>46237</v>
      </c>
      <c r="J454" s="4">
        <v>46243</v>
      </c>
      <c r="K454" t="inlineStr">
        <is>
          <t>梅见 青梅酒 商品评价</t>
        </is>
      </c>
      <c r="L454"/>
      <c r="M454" t="inlineStr">
        <is>
          <t>TB-U-20260809-034</t>
        </is>
      </c>
      <c r="N454" t="inlineStr">
        <is>
          <t>公开评论</t>
        </is>
      </c>
      <c r="O454"/>
      <c r="P454" t="inlineStr">
        <is>
          <t>情绪粗标：正面；主题粗标：长期饮用；口味稳定；回购理由；梅见旗舰店商品评价；未记录用户名；已排除商家回复；评价页未展示评论点赞/有用数，点赞数留空</t>
        </is>
      </c>
      <c r="Q454" t="inlineStr">
        <is>
          <t>目标品牌</t>
        </is>
      </c>
      <c r="R454"/>
      <c r="S454"/>
    </row>
    <row r="455" ht="25.5" customHeight="1">
      <c r="A455" t="inlineStr">
        <is>
          <t>TB-20260809-035</t>
        </is>
      </c>
      <c r="B455" t="inlineStr">
        <is>
          <t>购买决策与价格反馈</t>
        </is>
      </c>
      <c r="C455" t="inlineStr">
        <is>
          <t>PRJ001</t>
        </is>
      </c>
      <c r="D455" t="inlineStr">
        <is>
          <t>梅见｜12度发酵330ml</t>
        </is>
      </c>
      <c r="E455" t="inlineStr">
        <is>
          <t>不错，包装特别好，比实体店划算</t>
        </is>
      </c>
      <c r="F455" t="inlineStr">
        <is>
          <t>品牌：梅见｜商品/规格：12度发酵330ml｜SKU：681094845930</t>
        </is>
      </c>
      <c r="G455" t="inlineStr">
        <is>
          <t>淘宝</t>
        </is>
      </c>
      <c r="H455" s="2" t="str">
        <f>=HYPERLINK("https://detail.tmall.com/item.htm?id=681094845930", "https://detail.tmall.com/item.htm?id=681094845930")</f>
        <v>https://detail.tmall.com/item.htm?id=681094845930</v>
      </c>
      <c r="I455" s="3">
        <v>46214</v>
      </c>
      <c r="J455" s="4">
        <v>46243</v>
      </c>
      <c r="K455" t="inlineStr">
        <is>
          <t>梅见 青梅酒 商品评价</t>
        </is>
      </c>
      <c r="L455"/>
      <c r="M455" t="inlineStr">
        <is>
          <t>TB-U-20260809-035</t>
        </is>
      </c>
      <c r="N455" t="inlineStr">
        <is>
          <t>公开评论</t>
        </is>
      </c>
      <c r="O455"/>
      <c r="P455" t="inlineStr">
        <is>
          <t>情绪粗标：正面；主题粗标：包装；价格；渠道比较；性价比；梅见旗舰店商品评价；未记录用户名；已排除商家回复；评价页未展示评论点赞/有用数，点赞数留空</t>
        </is>
      </c>
      <c r="Q455" t="inlineStr">
        <is>
          <t>目标品牌</t>
        </is>
      </c>
      <c r="R455"/>
      <c r="S455"/>
    </row>
    <row r="456" ht="25.5" customHeight="1">
      <c r="A456" t="inlineStr">
        <is>
          <t>JD-RAW-0109</t>
        </is>
      </c>
      <c r="B456" t="inlineStr">
        <is>
          <t>购买决策与价格反馈</t>
        </is>
      </c>
      <c r="C456" t="inlineStr">
        <is>
          <t>PRJ001</t>
        </is>
      </c>
      <c r="D456" t="inlineStr">
        <is>
          <t>梅见</t>
        </is>
      </c>
      <c r="E456" t="inlineStr">
        <is>
          <t>多次回购好喝，但是必须冷藏才好喝。</t>
        </is>
      </c>
      <c r="F456" t="inlineStr">
        <is>
          <t>商品：12度发酵330ml；SKU：681094845930</t>
        </is>
      </c>
      <c r="G456" t="inlineStr">
        <is>
          <t>淘宝</t>
        </is>
      </c>
      <c r="H456" s="2" t="str">
        <f>=HYPERLINK("https://detail.tmall.com/item.htm?id=681094845930", "https://detail.tmall.com/item.htm?id=681094845930")</f>
        <v>https://detail.tmall.com/item.htm?id=681094845930</v>
      </c>
      <c r="I456" s="3">
        <v>46232</v>
      </c>
      <c r="J456" s="4">
        <v>46243</v>
      </c>
      <c r="K456" t="inlineStr">
        <is>
          <t>梅见 青梅酒</t>
        </is>
      </c>
      <c r="L456"/>
      <c r="M456" t="inlineStr">
        <is>
          <t>MJ-TB-U-001</t>
        </is>
      </c>
      <c r="N456" t="inlineStr">
        <is>
          <t>公开评论</t>
        </is>
      </c>
      <c r="O456"/>
      <c r="P456" t="inlineStr">
        <is>
          <t>梅见旗舰店商品评价；未记录用户名；已排除商家回复；情绪：中性；涉及主题：回购；冷藏；饮用限制</t>
        </is>
      </c>
      <c r="Q456" t="inlineStr">
        <is>
          <t>目标品牌</t>
        </is>
      </c>
      <c r="R456"/>
      <c r="S456"/>
    </row>
    <row r="457" ht="25.5" customHeight="1">
      <c r="A457" t="inlineStr">
        <is>
          <t>TB-20260809-042</t>
        </is>
      </c>
      <c r="B457" t="inlineStr">
        <is>
          <t>购买决策与价格反馈</t>
        </is>
      </c>
      <c r="C457" t="inlineStr">
        <is>
          <t>PRJ001</t>
        </is>
      </c>
      <c r="D457" t="inlineStr">
        <is>
          <t>梅见｜乌梅梅见150ml</t>
        </is>
      </c>
      <c r="E457" t="inlineStr">
        <is>
          <t>小酒150毫升，经常购买，好喝，度数不高，微醺正好！</t>
        </is>
      </c>
      <c r="F457" t="inlineStr">
        <is>
          <t>品牌：梅见｜商品/规格：乌梅梅见150ml｜SKU：935881887671</t>
        </is>
      </c>
      <c r="G457" t="inlineStr">
        <is>
          <t>淘宝</t>
        </is>
      </c>
      <c r="H457" s="2" t="str">
        <f>=HYPERLINK("https://detail.tmall.com/item.htm?id=935881887671", "https://detail.tmall.com/item.htm?id=935881887671")</f>
        <v>https://detail.tmall.com/item.htm?id=935881887671</v>
      </c>
      <c r="I457" s="3">
        <v>46165</v>
      </c>
      <c r="J457" s="4">
        <v>46243</v>
      </c>
      <c r="K457" t="inlineStr">
        <is>
          <t>梅见 青梅酒 商品评价</t>
        </is>
      </c>
      <c r="L457"/>
      <c r="M457" t="inlineStr">
        <is>
          <t>TB-U-20260809-042</t>
        </is>
      </c>
      <c r="N457" t="inlineStr">
        <is>
          <t>公开评论</t>
        </is>
      </c>
      <c r="O457"/>
      <c r="P457" t="inlineStr">
        <is>
          <t>情绪粗标：正面；主题粗标：150ml规格；回购；酒精感；微醺；时光梅旗舰店商品评价；日期按规则放宽；未记录用户名；已排除商家回复；评价页未展示评论点赞/有用数，点赞数留空</t>
        </is>
      </c>
      <c r="Q457" t="inlineStr">
        <is>
          <t>目标品牌</t>
        </is>
      </c>
      <c r="R457"/>
      <c r="S457"/>
    </row>
    <row r="458" ht="25.5" customHeight="1">
      <c r="A458" t="inlineStr">
        <is>
          <t>TB-20260809-045</t>
        </is>
      </c>
      <c r="B458" t="inlineStr">
        <is>
          <t>购买决策与价格反馈</t>
        </is>
      </c>
      <c r="C458" t="inlineStr">
        <is>
          <t>PRJ001</t>
        </is>
      </c>
      <c r="D458" t="inlineStr">
        <is>
          <t>梅见｜超酸梅见150ml</t>
        </is>
      </c>
      <c r="E458" t="inlineStr">
        <is>
          <t>我觉得挺好喝，已经买过很多梅见的口味了，都能接受</t>
        </is>
      </c>
      <c r="F458" t="inlineStr">
        <is>
          <t>品牌：梅见｜商品/规格：超酸梅见150ml｜SKU：935881887671</t>
        </is>
      </c>
      <c r="G458" t="inlineStr">
        <is>
          <t>淘宝</t>
        </is>
      </c>
      <c r="H458" s="2" t="str">
        <f>=HYPERLINK("https://detail.tmall.com/item.htm?id=935881887671", "https://detail.tmall.com/item.htm?id=935881887671")</f>
        <v>https://detail.tmall.com/item.htm?id=935881887671</v>
      </c>
      <c r="I458" s="3">
        <v>46139</v>
      </c>
      <c r="J458" s="4">
        <v>46243</v>
      </c>
      <c r="K458" t="inlineStr">
        <is>
          <t>梅见 青梅酒 商品评价</t>
        </is>
      </c>
      <c r="L458"/>
      <c r="M458" t="inlineStr">
        <is>
          <t>TB-U-20260809-045</t>
        </is>
      </c>
      <c r="N458" t="inlineStr">
        <is>
          <t>公开评论</t>
        </is>
      </c>
      <c r="O458"/>
      <c r="P458" t="inlineStr">
        <is>
          <t>情绪粗标：正面；主题粗标：多口味体验；复购；接受度；时光梅旗舰店商品评价；日期按规则放宽；未记录用户名；已排除商家回复；评价页未展示评论点赞/有用数，点赞数留空</t>
        </is>
      </c>
      <c r="Q458" t="inlineStr">
        <is>
          <t>目标品牌</t>
        </is>
      </c>
      <c r="R458"/>
      <c r="S458"/>
    </row>
    <row r="459" ht="25.5" customHeight="1">
      <c r="A459" t="inlineStr">
        <is>
          <t>TB-20260809-047</t>
        </is>
      </c>
      <c r="B459" t="inlineStr">
        <is>
          <t>购买决策与价格反馈</t>
        </is>
      </c>
      <c r="C459" t="inlineStr">
        <is>
          <t>PRJ001</t>
        </is>
      </c>
      <c r="D459" t="inlineStr">
        <is>
          <t>梅见｜乌梅梅见150ml</t>
        </is>
      </c>
      <c r="E459" t="inlineStr">
        <is>
          <t>多次购买的梅见青梅酒，和闺蜜小饮怡情，味道好，感觉更好。</t>
        </is>
      </c>
      <c r="F459" t="inlineStr">
        <is>
          <t>品牌：梅见｜商品/规格：乌梅梅见150ml｜SKU：935881887671</t>
        </is>
      </c>
      <c r="G459" t="inlineStr">
        <is>
          <t>淘宝</t>
        </is>
      </c>
      <c r="H459" s="2" t="str">
        <f>=HYPERLINK("https://detail.tmall.com/item.htm?id=935881887671", "https://detail.tmall.com/item.htm?id=935881887671")</f>
        <v>https://detail.tmall.com/item.htm?id=935881887671</v>
      </c>
      <c r="I459" s="3">
        <v>46133</v>
      </c>
      <c r="J459" s="4">
        <v>46243</v>
      </c>
      <c r="K459" t="inlineStr">
        <is>
          <t>梅见 青梅酒 商品评价</t>
        </is>
      </c>
      <c r="L459"/>
      <c r="M459" t="inlineStr">
        <is>
          <t>TB-U-20260809-047</t>
        </is>
      </c>
      <c r="N459" t="inlineStr">
        <is>
          <t>公开评论</t>
        </is>
      </c>
      <c r="O459"/>
      <c r="P459" t="inlineStr">
        <is>
          <t>情绪粗标：正面；主题粗标：复购；饮用场景；品牌；时光梅旗舰店商品评价；日期按规则放宽；未记录用户名；已排除商家回复；评价页未展示评论点赞/有用数，点赞数留空</t>
        </is>
      </c>
      <c r="Q459" t="inlineStr">
        <is>
          <t>目标品牌</t>
        </is>
      </c>
      <c r="R459"/>
      <c r="S459"/>
    </row>
    <row r="460" ht="25.5" customHeight="1">
      <c r="A460" t="inlineStr">
        <is>
          <t>TB-20260809-033</t>
        </is>
      </c>
      <c r="B460" t="inlineStr">
        <is>
          <t>饮法调配与内容共创</t>
        </is>
      </c>
      <c r="C460" t="inlineStr">
        <is>
          <t>PRJ001</t>
        </is>
      </c>
      <c r="D460" t="inlineStr">
        <is>
          <t>梅见｜12度发酵330ml</t>
        </is>
      </c>
      <c r="E460" t="inlineStr">
        <is>
          <t>口感不错，加冰更好，夏天来上一杯，比啤酒更爽</t>
        </is>
      </c>
      <c r="F460" t="inlineStr">
        <is>
          <t>品牌：梅见｜商品/规格：12度发酵330ml｜SKU：681094845930</t>
        </is>
      </c>
      <c r="G460" t="inlineStr">
        <is>
          <t>淘宝</t>
        </is>
      </c>
      <c r="H460" s="2" t="str">
        <f>=HYPERLINK("https://detail.tmall.com/item.htm?id=681094845930", "https://detail.tmall.com/item.htm?id=681094845930")</f>
        <v>https://detail.tmall.com/item.htm?id=681094845930</v>
      </c>
      <c r="I460" s="3">
        <v>46211</v>
      </c>
      <c r="J460" s="4">
        <v>46243</v>
      </c>
      <c r="K460" t="inlineStr">
        <is>
          <t>梅见 青梅酒 商品评价</t>
        </is>
      </c>
      <c r="L460"/>
      <c r="M460" t="inlineStr">
        <is>
          <t>TB-U-20260809-033</t>
        </is>
      </c>
      <c r="N460" t="inlineStr">
        <is>
          <t>公开评论</t>
        </is>
      </c>
      <c r="O460"/>
      <c r="P460" t="inlineStr">
        <is>
          <t>情绪粗标：正面；主题粗标：入口感；加冰；饮用场景；与啤酒比较；梅见旗舰店商品评价；未记录用户名；已排除商家回复；评价页未展示评论点赞/有用数，点赞数留空</t>
        </is>
      </c>
      <c r="Q460" t="inlineStr">
        <is>
          <t>目标品牌</t>
        </is>
      </c>
      <c r="R460"/>
      <c r="S460"/>
    </row>
    <row r="461" ht="25.5" customHeight="1">
      <c r="A461" t="inlineStr">
        <is>
          <t>XHS-SOC-0019</t>
        </is>
      </c>
      <c r="B461" t="inlineStr">
        <is>
          <t>饮法调配与内容共创</t>
        </is>
      </c>
      <c r="C461" t="inlineStr">
        <is>
          <t>PRJ001</t>
        </is>
      </c>
      <c r="D461" t="inlineStr">
        <is>
          <t>梅见</t>
        </is>
      </c>
      <c r="E461" t="inlineStr">
        <is>
          <t>看了一下梅见的成分表，第1位带水的都不要买。还有放浓缩果汁的那些通通都是勾兑的。</t>
        </is>
      </c>
      <c r="F461" t="inlineStr">
        <is>
          <t>梅见成分分析-浓缩汁勾兑｜2025-10-01｜小红书</t>
        </is>
      </c>
      <c r="G461" t="inlineStr">
        <is>
          <t>小红书</t>
        </is>
      </c>
      <c r="H461" s="2" t="str">
        <f>=HYPERLINK("https://www.xiaohongshu.com/search_result/梅见测评", "https://www.xiaohongshu.com/search_result/梅见测评")</f>
        <v>https://www.xiaohongshu.com/search_result/梅见测评</v>
      </c>
      <c r="I461" s="3">
        <v>45990</v>
      </c>
      <c r="J461" s="4">
        <v>46243</v>
      </c>
      <c r="K461" t="inlineStr">
        <is>
          <t>梅见测评</t>
        </is>
      </c>
      <c r="L461">
        <v>90</v>
      </c>
      <c r="M461" t="inlineStr">
        <is>
          <t>XHS-U0097</t>
        </is>
      </c>
      <c r="N461" t="inlineStr">
        <is>
          <t>公开评论</t>
        </is>
      </c>
      <c r="O461"/>
      <c r="P461" t="inlineStr">
        <is>
          <t>原始:2025-11-29·湖北；当前为搜索结果页链接，正式入库前需补原笔记链接</t>
        </is>
      </c>
      <c r="Q461" t="inlineStr">
        <is>
          <t>目标品牌</t>
        </is>
      </c>
      <c r="R461"/>
      <c r="S461"/>
    </row>
    <row r="462" ht="25.5" customHeight="1">
      <c r="A462" t="inlineStr">
        <is>
          <t>XHS-SOC-0034</t>
        </is>
      </c>
      <c r="B462" t="inlineStr">
        <is>
          <t>饮法调配与内容共创</t>
        </is>
      </c>
      <c r="C462" t="inlineStr">
        <is>
          <t>PRJ001</t>
        </is>
      </c>
      <c r="D462" t="inlineStr">
        <is>
          <t>梅见</t>
        </is>
      </c>
      <c r="E462" t="inlineStr">
        <is>
          <t>原来这种调酒都是酒50饮料200我一比一调的我说怎么不好喝</t>
        </is>
      </c>
      <c r="F462" t="inlineStr">
        <is>
          <t>梅见青梅酒调酒搭配｜2025-08-27｜小红书</t>
        </is>
      </c>
      <c r="G462" t="inlineStr">
        <is>
          <t>小红书</t>
        </is>
      </c>
      <c r="H462" s="2" t="str">
        <f>=HYPERLINK("https://www.xiaohongshu.com/search_result/梅见配什么", "https://www.xiaohongshu.com/search_result/梅见配什么")</f>
        <v>https://www.xiaohongshu.com/search_result/梅见配什么</v>
      </c>
      <c r="I462" s="3">
        <v>45999</v>
      </c>
      <c r="J462" s="4">
        <v>46243</v>
      </c>
      <c r="K462" t="inlineStr">
        <is>
          <t>梅见配什么</t>
        </is>
      </c>
      <c r="L462">
        <v>22</v>
      </c>
      <c r="M462" t="inlineStr">
        <is>
          <t>XHS-U0344</t>
        </is>
      </c>
      <c r="N462" t="inlineStr">
        <is>
          <t>公开评论</t>
        </is>
      </c>
      <c r="O462"/>
      <c r="P462" t="inlineStr">
        <is>
          <t>原始:2025-12-08·山东；当前为搜索结果页链接，正式入库前需补原笔记链接</t>
        </is>
      </c>
      <c r="Q462" t="inlineStr">
        <is>
          <t>目标品牌</t>
        </is>
      </c>
      <c r="R462"/>
      <c r="S462"/>
    </row>
    <row r="463" ht="25.5" customHeight="1">
      <c r="A463" t="inlineStr">
        <is>
          <t>DY-SOC-0135</t>
        </is>
      </c>
      <c r="B463" t="inlineStr">
        <is>
          <t>饮法调配与内容共创</t>
        </is>
      </c>
      <c r="C463" t="inlineStr">
        <is>
          <t>PRJ001</t>
        </is>
      </c>
      <c r="D463" t="inlineStr">
        <is>
          <t>梅见</t>
        </is>
      </c>
      <c r="E463" t="inlineStr">
        <is>
          <t>真露纯老酒精子兑香精[憨笑]</t>
        </is>
      </c>
      <c r="F463" t="inlineStr">
        <is>
          <t>超市小甜水上头测评｜2025-03-14｜抖音</t>
        </is>
      </c>
      <c r="G463" t="inlineStr">
        <is>
          <t>抖音</t>
        </is>
      </c>
      <c r="H463" s="2" t="str">
        <f>=HYPERLINK("https://www.douyin.com/video/7633357452931807473", "https://www.douyin.com/video/7633357452931807473")</f>
        <v>https://www.douyin.com/video/7633357452931807473</v>
      </c>
      <c r="I463" s="3">
        <v>45730</v>
      </c>
      <c r="J463" s="4">
        <v>46243</v>
      </c>
      <c r="K463" t="inlineStr">
        <is>
          <t>梅见难喝</t>
        </is>
      </c>
      <c r="L463"/>
      <c r="M463" t="inlineStr">
        <is>
          <t>DY-U0094</t>
        </is>
      </c>
      <c r="N463" t="inlineStr">
        <is>
          <t>公开评论</t>
        </is>
      </c>
      <c r="O463"/>
      <c r="P463" t="inlineStr">
        <is>
          <t>点赞数未成功识别，暂置空，禁止随机补值；当前日期来自视频发布时间，评论发布时间未识别</t>
        </is>
      </c>
      <c r="Q463" t="inlineStr">
        <is>
          <t>目标品牌</t>
        </is>
      </c>
      <c r="R463"/>
      <c r="S463"/>
    </row>
    <row r="464" ht="25.5" customHeight="1">
      <c r="A464" t="inlineStr">
        <is>
          <t>DY-SOC-0136</t>
        </is>
      </c>
      <c r="B464" t="inlineStr">
        <is>
          <t>饮法调配与内容共创</t>
        </is>
      </c>
      <c r="C464" t="inlineStr">
        <is>
          <t>PRJ001</t>
        </is>
      </c>
      <c r="D464" t="inlineStr">
        <is>
          <t>梅见</t>
        </is>
      </c>
      <c r="E464" t="inlineStr">
        <is>
          <t>加冰的肯定比不加冰的口感更好</t>
        </is>
      </c>
      <c r="F464" t="inlineStr">
        <is>
          <t>晚上独饮的时候｜2025-07-25｜抖音</t>
        </is>
      </c>
      <c r="G464" t="inlineStr">
        <is>
          <t>抖音</t>
        </is>
      </c>
      <c r="H464" s="2" t="str">
        <f>=HYPERLINK("https://www.douyin.com/video/7669008237697792110", "https://www.douyin.com/video/7669008237697792110")</f>
        <v>https://www.douyin.com/video/7669008237697792110</v>
      </c>
      <c r="I464" s="3">
        <v>45863</v>
      </c>
      <c r="J464" s="4">
        <v>46243</v>
      </c>
      <c r="K464" t="inlineStr">
        <is>
          <t>梅见独饮①</t>
        </is>
      </c>
      <c r="L464"/>
      <c r="M464" t="inlineStr">
        <is>
          <t>DY-U0174</t>
        </is>
      </c>
      <c r="N464" t="inlineStr">
        <is>
          <t>公开评论</t>
        </is>
      </c>
      <c r="O464"/>
      <c r="P464" t="inlineStr">
        <is>
          <t>点赞数未成功识别，暂置空，禁止随机补值</t>
        </is>
      </c>
      <c r="Q464" t="inlineStr">
        <is>
          <t>目标品牌</t>
        </is>
      </c>
      <c r="R464"/>
      <c r="S464"/>
    </row>
    <row r="465" ht="25.5" customHeight="1">
      <c r="A465" t="inlineStr">
        <is>
          <t>DY-SOC-0137</t>
        </is>
      </c>
      <c r="B465" t="inlineStr">
        <is>
          <t>饮法调配与内容共创</t>
        </is>
      </c>
      <c r="C465" t="inlineStr">
        <is>
          <t>PRJ001</t>
        </is>
      </c>
      <c r="D465" t="inlineStr">
        <is>
          <t>梅见</t>
        </is>
      </c>
      <c r="E465" t="inlineStr">
        <is>
          <t>梅见加冰夏天晚上的标配</t>
        </is>
      </c>
      <c r="F465" t="inlineStr">
        <is>
          <t>下班微醺这一刻太惬意｜2025-08-02｜抖音</t>
        </is>
      </c>
      <c r="G465" t="inlineStr">
        <is>
          <t>抖音</t>
        </is>
      </c>
      <c r="H465" s="2" t="str">
        <f>=HYPERLINK("https://www.douyin.com/video/7641146960553096778", "https://www.douyin.com/video/7641146960553096778")</f>
        <v>https://www.douyin.com/video/7641146960553096778</v>
      </c>
      <c r="I465" s="3">
        <v>45871</v>
      </c>
      <c r="J465" s="4">
        <v>46243</v>
      </c>
      <c r="K465" t="inlineStr">
        <is>
          <t>梅见独饮②</t>
        </is>
      </c>
      <c r="L465"/>
      <c r="M465" t="inlineStr">
        <is>
          <t>DY-U0182</t>
        </is>
      </c>
      <c r="N465" t="inlineStr">
        <is>
          <t>公开评论</t>
        </is>
      </c>
      <c r="O465"/>
      <c r="P465" t="inlineStr">
        <is>
          <t>点赞数未成功识别，暂置空，禁止随机补值</t>
        </is>
      </c>
      <c r="Q465" t="inlineStr">
        <is>
          <t>目标品牌</t>
        </is>
      </c>
      <c r="R465"/>
      <c r="S465"/>
    </row>
    <row r="466" ht="25.5" customHeight="1">
      <c r="A466" t="inlineStr">
        <is>
          <t>DY-SOC-0138</t>
        </is>
      </c>
      <c r="B466" t="inlineStr">
        <is>
          <t>饮法调配与内容共创</t>
        </is>
      </c>
      <c r="C466" t="inlineStr">
        <is>
          <t>PRJ001</t>
        </is>
      </c>
      <c r="D466" t="inlineStr">
        <is>
          <t>低度酒</t>
        </is>
      </c>
      <c r="E466" t="inlineStr">
        <is>
          <t>冰镇白酒最好喝喝起来是甜甜的阿咩快试试</t>
        </is>
      </c>
      <c r="F466" t="inlineStr">
        <is>
          <t>平价年度好酒Top10｜2025-01-03｜抖音</t>
        </is>
      </c>
      <c r="G466" t="inlineStr">
        <is>
          <t>抖音</t>
        </is>
      </c>
      <c r="H466" s="2" t="str">
        <f>=HYPERLINK("https://www.douyin.com/video/7592552745405085545", "https://www.douyin.com/video/7592552745405085545")</f>
        <v>https://www.douyin.com/video/7592552745405085545</v>
      </c>
      <c r="I466" s="3">
        <v>45660</v>
      </c>
      <c r="J466" s="4">
        <v>46243</v>
      </c>
      <c r="K466" t="inlineStr">
        <is>
          <t>低度酒推荐①</t>
        </is>
      </c>
      <c r="L466"/>
      <c r="M466" t="inlineStr">
        <is>
          <t>DY-U0292</t>
        </is>
      </c>
      <c r="N466" t="inlineStr">
        <is>
          <t>公开评论</t>
        </is>
      </c>
      <c r="O466"/>
      <c r="P466" t="inlineStr">
        <is>
          <t>点赞数未成功识别，暂置空，禁止随机补值；当前日期来自视频发布时间，评论发布时间未识别</t>
        </is>
      </c>
      <c r="Q466" t="inlineStr">
        <is>
          <t>低度酒品类</t>
        </is>
      </c>
      <c r="R466"/>
      <c r="S466"/>
    </row>
    <row r="467" ht="25.5" customHeight="1">
      <c r="A467" t="inlineStr">
        <is>
          <t>XHS-SOC-0184</t>
        </is>
      </c>
      <c r="B467" t="inlineStr">
        <is>
          <t>饮法调配与内容共创</t>
        </is>
      </c>
      <c r="C467" t="inlineStr">
        <is>
          <t>PRJ001</t>
        </is>
      </c>
      <c r="D467" t="inlineStr">
        <is>
          <t>梅见</t>
        </is>
      </c>
      <c r="E467" t="inlineStr">
        <is>
          <t>打开闻到味道我以为是藿香正气水。。。</t>
        </is>
      </c>
      <c r="F467" t="inlineStr">
        <is>
          <t>梅见成分分析-浓缩汁勾兑｜2025-10-01｜小红书</t>
        </is>
      </c>
      <c r="G467" t="inlineStr">
        <is>
          <t>小红书</t>
        </is>
      </c>
      <c r="H467" s="2" t="str">
        <f>=HYPERLINK("https://www.xiaohongshu.com/search_result/梅见测评", "https://www.xiaohongshu.com/search_result/梅见测评")</f>
        <v>https://www.xiaohongshu.com/search_result/梅见测评</v>
      </c>
      <c r="I467" s="3">
        <v>45978</v>
      </c>
      <c r="J467" s="4">
        <v>46243</v>
      </c>
      <c r="K467" t="inlineStr">
        <is>
          <t>梅见测评</t>
        </is>
      </c>
      <c r="L467">
        <v>9</v>
      </c>
      <c r="M467" t="inlineStr">
        <is>
          <t>XHS-U0109</t>
        </is>
      </c>
      <c r="N467" t="inlineStr">
        <is>
          <t>公开评论</t>
        </is>
      </c>
      <c r="O467"/>
      <c r="P467" t="inlineStr">
        <is>
          <t>原始:2025-11-17·广东；当前为搜索结果页链接，正式入库前需补原笔记链接</t>
        </is>
      </c>
      <c r="Q467" t="inlineStr">
        <is>
          <t>目标品牌</t>
        </is>
      </c>
      <c r="R467"/>
      <c r="S467"/>
    </row>
    <row r="468" ht="25.5" customHeight="1">
      <c r="A468" t="inlineStr">
        <is>
          <t>XHS-SOC-0186</t>
        </is>
      </c>
      <c r="B468" t="inlineStr">
        <is>
          <t>饮法调配与内容共创</t>
        </is>
      </c>
      <c r="C468" t="inlineStr">
        <is>
          <t>PRJ001</t>
        </is>
      </c>
      <c r="D468" t="inlineStr">
        <is>
          <t>梅见</t>
        </is>
      </c>
      <c r="E468" t="inlineStr">
        <is>
          <t>这些比例多少啊？是自己随便加么</t>
        </is>
      </c>
      <c r="F468" t="inlineStr">
        <is>
          <t>梅见青梅酒调酒搭配｜2025-08-27｜小红书</t>
        </is>
      </c>
      <c r="G468" t="inlineStr">
        <is>
          <t>小红书</t>
        </is>
      </c>
      <c r="H468" s="2" t="str">
        <f>=HYPERLINK("https://www.xiaohongshu.com/search_result/梅见配什么", "https://www.xiaohongshu.com/search_result/梅见配什么")</f>
        <v>https://www.xiaohongshu.com/search_result/梅见配什么</v>
      </c>
      <c r="I468" s="3">
        <v>45937</v>
      </c>
      <c r="J468" s="4">
        <v>46243</v>
      </c>
      <c r="K468" t="inlineStr">
        <is>
          <t>梅见配什么</t>
        </is>
      </c>
      <c r="L468">
        <v>8</v>
      </c>
      <c r="M468" t="inlineStr">
        <is>
          <t>XHS-U0340</t>
        </is>
      </c>
      <c r="N468" t="inlineStr">
        <is>
          <t>公开评论</t>
        </is>
      </c>
      <c r="O468"/>
      <c r="P468" t="inlineStr">
        <is>
          <t>原始:2025-10-07·黑龙江；当前为搜索结果页链接，正式入库前需补原笔记链接</t>
        </is>
      </c>
      <c r="Q468" t="inlineStr">
        <is>
          <t>目标品牌</t>
        </is>
      </c>
      <c r="R468"/>
      <c r="S468"/>
    </row>
    <row r="469" ht="25.5" customHeight="1">
      <c r="A469" t="inlineStr">
        <is>
          <t>DY-SOC-0206</t>
        </is>
      </c>
      <c r="B469" t="inlineStr">
        <is>
          <t>饮法调配与内容共创</t>
        </is>
      </c>
      <c r="C469" t="inlineStr">
        <is>
          <t>PRJ001</t>
        </is>
      </c>
      <c r="D469" t="inlineStr">
        <is>
          <t>低度酒</t>
        </is>
      </c>
      <c r="E469" t="inlineStr">
        <is>
          <t>梅见适合加冰</t>
        </is>
      </c>
      <c r="F469" t="inlineStr">
        <is>
          <t>喝完这三瓶谁是你心中的白月光｜2025-08-08｜抖音</t>
        </is>
      </c>
      <c r="G469" t="inlineStr">
        <is>
          <t>抖音</t>
        </is>
      </c>
      <c r="H469" s="2" t="str">
        <f>=HYPERLINK("https://www.douyin.com/video/7625642082769669382", "https://www.douyin.com/video/7625642082769669382")</f>
        <v>https://www.douyin.com/video/7625642082769669382</v>
      </c>
      <c r="I469" s="3">
        <v>45877</v>
      </c>
      <c r="J469" s="4">
        <v>46243</v>
      </c>
      <c r="K469" t="inlineStr">
        <is>
          <t>青梅酒推荐①</t>
        </is>
      </c>
      <c r="L469"/>
      <c r="M469" t="inlineStr">
        <is>
          <t>DY-U0275</t>
        </is>
      </c>
      <c r="N469" t="inlineStr">
        <is>
          <t>公开评论</t>
        </is>
      </c>
      <c r="O469"/>
      <c r="P469" t="inlineStr">
        <is>
          <t>点赞数未成功识别，暂置空，禁止随机补值</t>
        </is>
      </c>
      <c r="Q469" t="inlineStr">
        <is>
          <t>低度酒品类</t>
        </is>
      </c>
      <c r="R469"/>
      <c r="S469"/>
    </row>
    <row r="470" ht="25.5" customHeight="1">
      <c r="A470" t="inlineStr">
        <is>
          <t>XHS-SOC-0244</t>
        </is>
      </c>
      <c r="B470" t="inlineStr">
        <is>
          <t>饮法调配与内容共创</t>
        </is>
      </c>
      <c r="C470" t="inlineStr">
        <is>
          <t>PRJ001</t>
        </is>
      </c>
      <c r="D470" t="inlineStr">
        <is>
          <t>梅见</t>
        </is>
      </c>
      <c r="E470" t="inlineStr">
        <is>
          <t>勾兑假酒，喝了一口扔了</t>
        </is>
      </c>
      <c r="F470" t="inlineStr">
        <is>
          <t>梅见避雷-劣质香精味｜2025-04-03｜小红书</t>
        </is>
      </c>
      <c r="G470" t="inlineStr">
        <is>
          <t>小红书</t>
        </is>
      </c>
      <c r="H470" s="2" t="str">
        <f>=HYPERLINK("https://www.xiaohongshu.com/search_result/梅见值不值得买", "https://www.xiaohongshu.com/search_result/梅见值不值得买")</f>
        <v>https://www.xiaohongshu.com/search_result/梅见值不值得买</v>
      </c>
      <c r="I470" s="3">
        <v>46191</v>
      </c>
      <c r="J470" s="4">
        <v>46243</v>
      </c>
      <c r="K470" t="inlineStr">
        <is>
          <t>梅见值不值得买</t>
        </is>
      </c>
      <c r="L470">
        <v>0</v>
      </c>
      <c r="M470" t="inlineStr">
        <is>
          <t>XHS-U0318</t>
        </is>
      </c>
      <c r="N470" t="inlineStr">
        <is>
          <t>公开评论</t>
        </is>
      </c>
      <c r="O470"/>
      <c r="P470" t="inlineStr">
        <is>
          <t>原始:06-18;年份推定·福建；当前为搜索结果页链接，正式入库前需补原笔记链接</t>
        </is>
      </c>
      <c r="Q470" t="inlineStr">
        <is>
          <t>目标品牌</t>
        </is>
      </c>
      <c r="R470"/>
      <c r="S470"/>
    </row>
    <row r="471" ht="25.5" customHeight="1">
      <c r="A471" t="inlineStr">
        <is>
          <t>XHS-SOC-0245</t>
        </is>
      </c>
      <c r="B471" t="inlineStr">
        <is>
          <t>饮法调配与内容共创</t>
        </is>
      </c>
      <c r="C471" t="inlineStr">
        <is>
          <t>PRJ001</t>
        </is>
      </c>
      <c r="D471" t="inlineStr">
        <is>
          <t>梅见</t>
        </is>
      </c>
      <c r="E471" t="inlineStr">
        <is>
          <t>桂花款真不错 一定要加冰</t>
        </is>
      </c>
      <c r="F471" t="inlineStr">
        <is>
          <t>给梅见道歉-会回购｜2025-07-03｜小红书</t>
        </is>
      </c>
      <c r="G471" t="inlineStr">
        <is>
          <t>小红书</t>
        </is>
      </c>
      <c r="H471" s="2" t="str">
        <f>=HYPERLINK("https://www.xiaohongshu.com/search_result/梅见回购", "https://www.xiaohongshu.com/search_result/梅见回购")</f>
        <v>https://www.xiaohongshu.com/search_result/梅见回购</v>
      </c>
      <c r="I471" s="3">
        <v>46171</v>
      </c>
      <c r="J471" s="4">
        <v>46243</v>
      </c>
      <c r="K471" t="inlineStr">
        <is>
          <t>梅见回购</t>
        </is>
      </c>
      <c r="L471">
        <v>0</v>
      </c>
      <c r="M471" t="inlineStr">
        <is>
          <t>XHS-U0333</t>
        </is>
      </c>
      <c r="N471" t="inlineStr">
        <is>
          <t>公开评论</t>
        </is>
      </c>
      <c r="O471"/>
      <c r="P471" t="inlineStr">
        <is>
          <t>原始:05-29;年份推定·山东；当前为搜索结果页链接，正式入库前需补原笔记链接</t>
        </is>
      </c>
      <c r="Q471" t="inlineStr">
        <is>
          <t>目标品牌</t>
        </is>
      </c>
      <c r="R471"/>
      <c r="S471"/>
    </row>
    <row r="472" ht="25.5" customHeight="1">
      <c r="A472" t="inlineStr">
        <is>
          <t>XHS-SOC-0246</t>
        </is>
      </c>
      <c r="B472" t="inlineStr">
        <is>
          <t>饮法调配与内容共创</t>
        </is>
      </c>
      <c r="C472" t="inlineStr">
        <is>
          <t>PRJ001</t>
        </is>
      </c>
      <c r="D472" t="inlineStr">
        <is>
          <t>梅见</t>
        </is>
      </c>
      <c r="E472" t="inlineStr">
        <is>
          <t>一点都好喝 浓缩液兑</t>
        </is>
      </c>
      <c r="F472" t="inlineStr">
        <is>
          <t>给梅见道歉-会回购｜2025-07-03｜小红书</t>
        </is>
      </c>
      <c r="G472" t="inlineStr">
        <is>
          <t>小红书</t>
        </is>
      </c>
      <c r="H472" s="2" t="str">
        <f>=HYPERLINK("https://www.xiaohongshu.com/search_result/梅见回购", "https://www.xiaohongshu.com/search_result/梅见回购")</f>
        <v>https://www.xiaohongshu.com/search_result/梅见回购</v>
      </c>
      <c r="I472" s="3">
        <v>46122</v>
      </c>
      <c r="J472" s="4">
        <v>46243</v>
      </c>
      <c r="K472" t="inlineStr">
        <is>
          <t>梅见回购</t>
        </is>
      </c>
      <c r="L472">
        <v>0</v>
      </c>
      <c r="M472" t="inlineStr">
        <is>
          <t>XHS-U0337</t>
        </is>
      </c>
      <c r="N472" t="inlineStr">
        <is>
          <t>公开评论</t>
        </is>
      </c>
      <c r="O472"/>
      <c r="P472" t="inlineStr">
        <is>
          <t>原始:04-10;年份推定·广东；当前为搜索结果页链接，正式入库前需补原笔记链接</t>
        </is>
      </c>
      <c r="Q472" t="inlineStr">
        <is>
          <t>目标品牌</t>
        </is>
      </c>
      <c r="R472"/>
      <c r="S472"/>
    </row>
    <row r="473" ht="25.5" customHeight="1">
      <c r="A473" t="inlineStr">
        <is>
          <t>XHS-SOC-0247</t>
        </is>
      </c>
      <c r="B473" t="inlineStr">
        <is>
          <t>饮法调配与内容共创</t>
        </is>
      </c>
      <c r="C473" t="inlineStr">
        <is>
          <t>PRJ001</t>
        </is>
      </c>
      <c r="D473" t="inlineStr">
        <is>
          <t>梅见</t>
        </is>
      </c>
      <c r="E473" t="inlineStr">
        <is>
          <t>梅见和养乐多兑有点不对劲，有点乳清分离</t>
        </is>
      </c>
      <c r="F473" t="inlineStr">
        <is>
          <t>梅见青梅酒调酒搭配｜2025-08-27｜小红书</t>
        </is>
      </c>
      <c r="G473" t="inlineStr">
        <is>
          <t>小红书</t>
        </is>
      </c>
      <c r="H473" s="2" t="str">
        <f>=HYPERLINK("https://www.xiaohongshu.com/search_result/梅见配什么", "https://www.xiaohongshu.com/search_result/梅见配什么")</f>
        <v>https://www.xiaohongshu.com/search_result/梅见配什么</v>
      </c>
      <c r="I473" s="3">
        <v>46172</v>
      </c>
      <c r="J473" s="4">
        <v>46243</v>
      </c>
      <c r="K473" t="inlineStr">
        <is>
          <t>梅见配什么</t>
        </is>
      </c>
      <c r="L473">
        <v>0</v>
      </c>
      <c r="M473" t="inlineStr">
        <is>
          <t>XHS-U0342</t>
        </is>
      </c>
      <c r="N473" t="inlineStr">
        <is>
          <t>公开评论</t>
        </is>
      </c>
      <c r="O473"/>
      <c r="P473" t="inlineStr">
        <is>
          <t>原始:05-30;年份推定·内蒙古；当前为搜索结果页链接，正式入库前需补原笔记链接</t>
        </is>
      </c>
      <c r="Q473" t="inlineStr">
        <is>
          <t>目标品牌</t>
        </is>
      </c>
      <c r="R473"/>
      <c r="S473"/>
    </row>
    <row r="474" ht="25.5" customHeight="1">
      <c r="A474" t="inlineStr">
        <is>
          <t>JD-20260809-005</t>
        </is>
      </c>
      <c r="B474" t="inlineStr">
        <is>
          <t>饮法调配与内容共创</t>
        </is>
      </c>
      <c r="C474" t="inlineStr">
        <is>
          <t>PRJ001</t>
        </is>
      </c>
      <c r="D474" t="inlineStr">
        <is>
          <t>CHOYA俏雅｜带梅子本格梅酒430mL</t>
        </is>
      </c>
      <c r="E474" t="inlineStr">
        <is>
          <t>以前吃日料总是习惯配清酒，
自打吃了一次居酒屋搭配了这款梅酒
感觉是解锁了新技能
冰球配梅酒，随着冰的溶解，梅酒的风味
也想茶一样会有渐变 值得推荐</t>
        </is>
      </c>
      <c r="F474" t="inlineStr">
        <is>
          <t>品牌：CHOYA俏雅｜商品/规格：带梅子本格梅酒430mL｜SKU：100049386783</t>
        </is>
      </c>
      <c r="G474" t="inlineStr">
        <is>
          <t>京东</t>
        </is>
      </c>
      <c r="H474" s="2" t="str">
        <f>=HYPERLINK("https://item.jd.com/100049386783.html", "https://item.jd.com/100049386783.html")</f>
        <v>https://item.jd.com/100049386783.html</v>
      </c>
      <c r="I474" s="3">
        <v>45924</v>
      </c>
      <c r="J474" s="4">
        <v>46243</v>
      </c>
      <c r="K474" t="inlineStr">
        <is>
          <t>CHOYA 俏雅 梅酒 商品评价</t>
        </is>
      </c>
      <c r="L474"/>
      <c r="M474" t="inlineStr">
        <is>
          <t>JD-U-20260809-005</t>
        </is>
      </c>
      <c r="N474" t="inlineStr">
        <is>
          <t>公开评论</t>
        </is>
      </c>
      <c r="O474"/>
      <c r="P474" t="inlineStr">
        <is>
          <t>情绪粗标：正面；主题粗标：加冰；搭餐；风味变化；京东商品评价弹层核验；未记录用户名；评价页未展示评论点赞/有用数，点赞数留空</t>
        </is>
      </c>
      <c r="Q474" t="inlineStr">
        <is>
          <t>竞品</t>
        </is>
      </c>
      <c r="R474"/>
      <c r="S474"/>
    </row>
    <row r="475" ht="25.5" customHeight="1">
      <c r="A475" t="inlineStr">
        <is>
          <t>JD-20260809-008</t>
        </is>
      </c>
      <c r="B475" t="inlineStr">
        <is>
          <t>饮法调配与内容共创</t>
        </is>
      </c>
      <c r="C475" t="inlineStr">
        <is>
          <t>PRJ001</t>
        </is>
      </c>
      <c r="D475" t="inlineStr">
        <is>
          <t>CHOYA俏雅｜带梅子本格梅酒160ml*5</t>
        </is>
      </c>
      <c r="E475" t="inlineStr">
        <is>
          <t>冰过后太好喝了，好👍🏻</t>
        </is>
      </c>
      <c r="F475" t="inlineStr">
        <is>
          <t>品牌：CHOYA俏雅｜商品/规格：带梅子本格梅酒160ml*5｜SKU：100049386783</t>
        </is>
      </c>
      <c r="G475" t="inlineStr">
        <is>
          <t>京东</t>
        </is>
      </c>
      <c r="H475" s="2" t="str">
        <f>=HYPERLINK("https://item.jd.com/100049386783.html", "https://item.jd.com/100049386783.html")</f>
        <v>https://item.jd.com/100049386783.html</v>
      </c>
      <c r="I475" s="3">
        <v>46155</v>
      </c>
      <c r="J475" s="4">
        <v>46243</v>
      </c>
      <c r="K475" t="inlineStr">
        <is>
          <t>CHOYA 俏雅 梅酒 商品评价</t>
        </is>
      </c>
      <c r="L475"/>
      <c r="M475" t="inlineStr">
        <is>
          <t>JD-U-20260809-008</t>
        </is>
      </c>
      <c r="N475" t="inlineStr">
        <is>
          <t>公开评论</t>
        </is>
      </c>
      <c r="O475"/>
      <c r="P475" t="inlineStr">
        <is>
          <t>情绪粗标：正面；主题粗标：冰镇；京东商品评价弹层核验；未记录用户名；评价页未展示评论点赞/有用数，点赞数留空</t>
        </is>
      </c>
      <c r="Q475" t="inlineStr">
        <is>
          <t>竞品</t>
        </is>
      </c>
      <c r="R475"/>
      <c r="S475"/>
    </row>
    <row r="476" ht="25.5" customHeight="1">
      <c r="A476" t="inlineStr">
        <is>
          <t>JD-20260809-011</t>
        </is>
      </c>
      <c r="B476" t="inlineStr">
        <is>
          <t>饮法调配与内容共创</t>
        </is>
      </c>
      <c r="C476" t="inlineStr">
        <is>
          <t>PRJ001</t>
        </is>
      </c>
      <c r="D476" t="inlineStr">
        <is>
          <t>CHOYA俏雅｜黑金本格梅酒14度60mL</t>
        </is>
      </c>
      <c r="E476" t="inlineStr">
        <is>
          <t>非常好喝，加冰的效果更好喝，加苏打水调制个饮料也好喝，小瓶的量足够了，用完的小瓶还可以做装饰，挺好，配料表干净，京东物流快速送达。</t>
        </is>
      </c>
      <c r="F476" t="inlineStr">
        <is>
          <t>品牌：CHOYA俏雅｜商品/规格：黑金本格梅酒14度60mL｜SKU：100049386775</t>
        </is>
      </c>
      <c r="G476" t="inlineStr">
        <is>
          <t>京东</t>
        </is>
      </c>
      <c r="H476" s="2" t="str">
        <f>=HYPERLINK("https://item.jd.com/100049386775.html", "https://item.jd.com/100049386775.html")</f>
        <v>https://item.jd.com/100049386775.html</v>
      </c>
      <c r="I476" s="3">
        <v>45948</v>
      </c>
      <c r="J476" s="4">
        <v>46243</v>
      </c>
      <c r="K476" t="inlineStr">
        <is>
          <t>CHOYA 俏雅 梅酒 商品评价</t>
        </is>
      </c>
      <c r="L476"/>
      <c r="M476" t="inlineStr">
        <is>
          <t>JD-U-20260809-011</t>
        </is>
      </c>
      <c r="N476" t="inlineStr">
        <is>
          <t>公开评论</t>
        </is>
      </c>
      <c r="O476"/>
      <c r="P476" t="inlineStr">
        <is>
          <t>情绪粗标：正面；主题粗标：加冰；苏打水调配；包装再利用；配料；京东商品评价弹层核验；未记录用户名；评价页未展示评论点赞/有用数，点赞数留空</t>
        </is>
      </c>
      <c r="Q476" t="inlineStr">
        <is>
          <t>竞品</t>
        </is>
      </c>
      <c r="R476"/>
      <c r="S476"/>
    </row>
    <row r="477" ht="25.5" customHeight="1">
      <c r="A477" t="inlineStr">
        <is>
          <t>JD-20260809-016</t>
        </is>
      </c>
      <c r="B477" t="inlineStr">
        <is>
          <t>饮法调配与内容共创</t>
        </is>
      </c>
      <c r="C477" t="inlineStr">
        <is>
          <t>PRJ001</t>
        </is>
      </c>
      <c r="D477" t="inlineStr">
        <is>
          <t>CHOYA俏雅｜纪州本格梅酒14度1000ml纸盒装</t>
        </is>
      </c>
      <c r="E477" t="inlineStr">
        <is>
          <t>自从去了日本玩就爱上了梅子酒。甜甜的梅子味道加上浓郁的酒味道真的是太好喝了。最近买的这款稍微带点甜味，很好喝。梅子酒味道会比较甜所以需要配冰块或者对水喝。</t>
        </is>
      </c>
      <c r="F477" t="inlineStr">
        <is>
          <t>品牌：CHOYA俏雅｜商品/规格：纪州本格梅酒14度1000ml纸盒装｜SKU：100015875649</t>
        </is>
      </c>
      <c r="G477" t="inlineStr">
        <is>
          <t>京东</t>
        </is>
      </c>
      <c r="H477" s="2" t="str">
        <f>=HYPERLINK("https://item.jd.com/100015875649.html", "https://item.jd.com/100015875649.html")</f>
        <v>https://item.jd.com/100015875649.html</v>
      </c>
      <c r="I477" s="3">
        <v>46067</v>
      </c>
      <c r="J477" s="4">
        <v>46243</v>
      </c>
      <c r="K477" t="inlineStr">
        <is>
          <t>CHOYA 俏雅 梅酒 商品评价</t>
        </is>
      </c>
      <c r="L477"/>
      <c r="M477" t="inlineStr">
        <is>
          <t>JD-U-20260809-016</t>
        </is>
      </c>
      <c r="N477" t="inlineStr">
        <is>
          <t>公开评论</t>
        </is>
      </c>
      <c r="O477"/>
      <c r="P477" t="inlineStr">
        <is>
          <t>情绪粗标：中性；主题粗标：甜度；酒精感；加冰；兑水；京东商品评价弹层核验；未记录用户名；评价页未展示评论点赞/有用数，点赞数留空</t>
        </is>
      </c>
      <c r="Q477" t="inlineStr">
        <is>
          <t>竞品</t>
        </is>
      </c>
      <c r="R477"/>
      <c r="S477"/>
    </row>
    <row r="478" ht="25.5" customHeight="1">
      <c r="A478" t="inlineStr">
        <is>
          <t>JD-20260809-037</t>
        </is>
      </c>
      <c r="B478" t="inlineStr">
        <is>
          <t>饮法调配与内容共创</t>
        </is>
      </c>
      <c r="C478" t="inlineStr">
        <is>
          <t>PRJ001</t>
        </is>
      </c>
      <c r="D478" t="inlineStr">
        <is>
          <t>昆竹牌｜青梅酒450ml*6瓶</t>
        </is>
      </c>
      <c r="E478" t="inlineStr">
        <is>
          <t>这是非常熟悉的果酒了，物美价廉值得购买，以前从厂家买，现在走京东物流就更快了。梅子香味很美好，当然业务之人无从分辨是泡出来的还是调出来的，稍微有点甜，所以可以配一点白兰地</t>
        </is>
      </c>
      <c r="F478" t="inlineStr">
        <is>
          <t>品牌：昆竹牌｜商品/规格：青梅酒450ml*6瓶｜SKU：100348071270</t>
        </is>
      </c>
      <c r="G478" t="inlineStr">
        <is>
          <t>京东</t>
        </is>
      </c>
      <c r="H478" s="2" t="str">
        <f>=HYPERLINK("https://item.jd.com/100348071270.html", "https://item.jd.com/100348071270.html")</f>
        <v>https://item.jd.com/100348071270.html</v>
      </c>
      <c r="I478" s="3">
        <v>46160</v>
      </c>
      <c r="J478" s="4">
        <v>46243</v>
      </c>
      <c r="K478" t="inlineStr">
        <is>
          <t>昆竹 青梅酒 商品评价</t>
        </is>
      </c>
      <c r="L478"/>
      <c r="M478" t="inlineStr">
        <is>
          <t>JD-U-20260809-037</t>
        </is>
      </c>
      <c r="N478" t="inlineStr">
        <is>
          <t>公开评论</t>
        </is>
      </c>
      <c r="O478"/>
      <c r="P478" t="inlineStr">
        <is>
          <t>情绪粗标：中性；主题粗标：性价比；购买渠道；香气；甜度；兑白兰地；京东商品评价弹层核验；已排除商家回复与用户名；评价页未展示评论点赞/有用数，点赞数留空</t>
        </is>
      </c>
      <c r="Q478" t="inlineStr">
        <is>
          <t>竞品</t>
        </is>
      </c>
      <c r="R478"/>
      <c r="S478"/>
    </row>
    <row r="479" ht="25.5" customHeight="1">
      <c r="A479" t="inlineStr">
        <is>
          <t>TB-20260809-002</t>
        </is>
      </c>
      <c r="B479" t="inlineStr">
        <is>
          <t>饮法调配与内容共创</t>
        </is>
      </c>
      <c r="C479" t="inlineStr">
        <is>
          <t>PRJ001</t>
        </is>
      </c>
      <c r="D479" t="inlineStr">
        <is>
          <t>CHOYA俏雅｜带梅子梅酒430ml+赠梅酒杯</t>
        </is>
      </c>
      <c r="E479" t="inlineStr">
        <is>
          <t>梅酒一直都喝这个牌子的 很喜欢这个装酒的瓶子 之前喝完的一直拿来当水杯用了好多年了 这次买个小瓶装的 酒的话建议冰镇一下口感更佳</t>
        </is>
      </c>
      <c r="F479" t="inlineStr">
        <is>
          <t>品牌：CHOYA俏雅｜商品/规格：带梅子梅酒430ml+赠梅酒杯｜SKU：873823229086</t>
        </is>
      </c>
      <c r="G479" t="inlineStr">
        <is>
          <t>淘宝</t>
        </is>
      </c>
      <c r="H479" s="2" t="str">
        <f>=HYPERLINK("https://detail.tmall.com/item.htm?id=873823229086", "https://detail.tmall.com/item.htm?id=873823229086")</f>
        <v>https://detail.tmall.com/item.htm?id=873823229086</v>
      </c>
      <c r="I479" s="3">
        <v>46225</v>
      </c>
      <c r="J479" s="4">
        <v>46243</v>
      </c>
      <c r="K479" t="inlineStr">
        <is>
          <t>CHOYA 俏雅 梅酒 商品评价</t>
        </is>
      </c>
      <c r="L479"/>
      <c r="M479" t="inlineStr">
        <is>
          <t>TB-U-20260809-002</t>
        </is>
      </c>
      <c r="N479" t="inlineStr">
        <is>
          <t>公开评论</t>
        </is>
      </c>
      <c r="O479"/>
      <c r="P479" t="inlineStr">
        <is>
          <t>情绪粗标：正面；主题粗标：品牌偏好；瓶子再利用；规格；冰镇；天猫CHOYA旗舰店商品评价；未记录用户名；评价页未展示评论点赞/有用数，点赞数留空</t>
        </is>
      </c>
      <c r="Q479" t="inlineStr">
        <is>
          <t>竞品</t>
        </is>
      </c>
      <c r="R479"/>
      <c r="S479"/>
    </row>
    <row r="480" ht="25.5" customHeight="1">
      <c r="A480" t="inlineStr">
        <is>
          <t>TB-20260809-004</t>
        </is>
      </c>
      <c r="B480" t="inlineStr">
        <is>
          <t>饮法调配与内容共创</t>
        </is>
      </c>
      <c r="C480" t="inlineStr">
        <is>
          <t>PRJ001</t>
        </is>
      </c>
      <c r="D480" t="inlineStr">
        <is>
          <t>CHOYA俏雅｜带梅子梅酒430ml+赠梅酒杯</t>
        </is>
      </c>
      <c r="E480" t="inlineStr">
        <is>
          <t>整体评价：挺好 包装品质：还可以 外观品相：非常好 口感味道：我个人比较喜欢 我就放了一点点，和其他的兑在一起喝</t>
        </is>
      </c>
      <c r="F480" t="inlineStr">
        <is>
          <t>品牌：CHOYA俏雅｜商品/规格：带梅子梅酒430ml+赠梅酒杯｜SKU：873823229086</t>
        </is>
      </c>
      <c r="G480" t="inlineStr">
        <is>
          <t>淘宝</t>
        </is>
      </c>
      <c r="H480" s="2" t="str">
        <f>=HYPERLINK("https://detail.tmall.com/item.htm?id=873823229086", "https://detail.tmall.com/item.htm?id=873823229086")</f>
        <v>https://detail.tmall.com/item.htm?id=873823229086</v>
      </c>
      <c r="I480" s="3">
        <v>46225</v>
      </c>
      <c r="J480" s="4">
        <v>46243</v>
      </c>
      <c r="K480" t="inlineStr">
        <is>
          <t>CHOYA 俏雅 梅酒 商品评价</t>
        </is>
      </c>
      <c r="L480"/>
      <c r="M480" t="inlineStr">
        <is>
          <t>TB-U-20260809-004</t>
        </is>
      </c>
      <c r="N480" t="inlineStr">
        <is>
          <t>公开评论</t>
        </is>
      </c>
      <c r="O480"/>
      <c r="P480" t="inlineStr">
        <is>
          <t>情绪粗标：正面；主题粗标：包装；外观；口感；混饮调配；天猫CHOYA旗舰店商品评价；未记录用户名；评价页未展示评论点赞/有用数，点赞数留空</t>
        </is>
      </c>
      <c r="Q480" t="inlineStr">
        <is>
          <t>竞品</t>
        </is>
      </c>
      <c r="R480"/>
      <c r="S480"/>
    </row>
    <row r="481" ht="25.5" customHeight="1">
      <c r="A481" t="inlineStr">
        <is>
          <t>TB-20260809-008</t>
        </is>
      </c>
      <c r="B481" t="inlineStr">
        <is>
          <t>饮法调配与内容共创</t>
        </is>
      </c>
      <c r="C481" t="inlineStr">
        <is>
          <t>PRJ001</t>
        </is>
      </c>
      <c r="D481" t="inlineStr">
        <is>
          <t>CHOYA俏雅｜带梅子本格梅酒750ml*2+赠梅酒杯</t>
        </is>
      </c>
      <c r="E481" t="inlineStr">
        <is>
          <t>酒精感不浓，酸甜偏甜，一定要加冰🧊，买过好多次了，挺好喝的</t>
        </is>
      </c>
      <c r="F481" t="inlineStr">
        <is>
          <t>品牌：CHOYA俏雅｜商品/规格：带梅子本格梅酒750ml*2+赠梅酒杯｜SKU：873823229086</t>
        </is>
      </c>
      <c r="G481" t="inlineStr">
        <is>
          <t>淘宝</t>
        </is>
      </c>
      <c r="H481" s="2" t="str">
        <f>=HYPERLINK("https://detail.tmall.com/item.htm?id=873823229086", "https://detail.tmall.com/item.htm?id=873823229086")</f>
        <v>https://detail.tmall.com/item.htm?id=873823229086</v>
      </c>
      <c r="I481" s="3">
        <v>46194</v>
      </c>
      <c r="J481" s="4">
        <v>46243</v>
      </c>
      <c r="K481" t="inlineStr">
        <is>
          <t>CHOYA 俏雅 梅酒 商品评价</t>
        </is>
      </c>
      <c r="L481"/>
      <c r="M481" t="inlineStr">
        <is>
          <t>TB-U-20260809-008</t>
        </is>
      </c>
      <c r="N481" t="inlineStr">
        <is>
          <t>公开评论</t>
        </is>
      </c>
      <c r="O481"/>
      <c r="P481" t="inlineStr">
        <is>
          <t>情绪粗标：中性；主题粗标：酒精感；酸甜偏甜；加冰；多次回购；天猫CHOYA旗舰店商品评价；未记录用户名；评价页未展示评论点赞/有用数，点赞数留空</t>
        </is>
      </c>
      <c r="Q481" t="inlineStr">
        <is>
          <t>竞品</t>
        </is>
      </c>
      <c r="R481"/>
      <c r="S481"/>
    </row>
    <row r="482" ht="25.5" customHeight="1">
      <c r="A482" t="inlineStr">
        <is>
          <t>TB-20260809-010</t>
        </is>
      </c>
      <c r="B482" t="inlineStr">
        <is>
          <t>饮法调配与内容共创</t>
        </is>
      </c>
      <c r="C482" t="inlineStr">
        <is>
          <t>PRJ001</t>
        </is>
      </c>
      <c r="D482" t="inlineStr">
        <is>
          <t>CHOYA俏雅｜带梅子本格梅酒750ml+赠至极梅酒</t>
        </is>
      </c>
      <c r="E482" t="inlineStr">
        <is>
          <t>瓶身很好看 梅子味道非常清甜 调配着喝也很好！</t>
        </is>
      </c>
      <c r="F482" t="inlineStr">
        <is>
          <t>品牌：CHOYA俏雅｜商品/规格：带梅子本格梅酒750ml+赠至极梅酒｜SKU：873823229086</t>
        </is>
      </c>
      <c r="G482" t="inlineStr">
        <is>
          <t>淘宝</t>
        </is>
      </c>
      <c r="H482" s="2" t="str">
        <f>=HYPERLINK("https://detail.tmall.com/item.htm?id=873823229086", "https://detail.tmall.com/item.htm?id=873823229086")</f>
        <v>https://detail.tmall.com/item.htm?id=873823229086</v>
      </c>
      <c r="I482" s="3">
        <v>46193</v>
      </c>
      <c r="J482" s="4">
        <v>46243</v>
      </c>
      <c r="K482" t="inlineStr">
        <is>
          <t>CHOYA 俏雅 梅酒 商品评价</t>
        </is>
      </c>
      <c r="L482"/>
      <c r="M482" t="inlineStr">
        <is>
          <t>TB-U-20260809-010</t>
        </is>
      </c>
      <c r="N482" t="inlineStr">
        <is>
          <t>公开评论</t>
        </is>
      </c>
      <c r="O482"/>
      <c r="P482" t="inlineStr">
        <is>
          <t>情绪粗标：正面；主题粗标：瓶身设计；甜度；调配；天猫CHOYA旗舰店商品评价；未记录用户名；评价页未展示评论点赞/有用数，点赞数留空</t>
        </is>
      </c>
      <c r="Q482" t="inlineStr">
        <is>
          <t>竞品</t>
        </is>
      </c>
      <c r="R482"/>
      <c r="S482"/>
    </row>
    <row r="483" ht="25.5" customHeight="1">
      <c r="A483" t="inlineStr">
        <is>
          <t>TB-20260809-024</t>
        </is>
      </c>
      <c r="B483" t="inlineStr">
        <is>
          <t>饮法调配与内容共创</t>
        </is>
      </c>
      <c r="C483" t="inlineStr">
        <is>
          <t>PRJ001</t>
        </is>
      </c>
      <c r="D483" t="inlineStr">
        <is>
          <t>昆竹牌｜酒版组合100ml*4瓶</t>
        </is>
      </c>
      <c r="E483" t="inlineStr">
        <is>
          <t>挺好的，性价比很高，酸甜口味，很容易接受，被这干净的配料表圈粉了！只有青梅、白酒、糖和蜂蜜，没乱七八糟的添加。13度加冰块喝，酒味淡了，满嘴都是梅子酸甜，像喝冰镇果汁。广东30多年的老牌子，二十几块钱一瓶，性价比绝了，必须囤！</t>
        </is>
      </c>
      <c r="F483" t="inlineStr">
        <is>
          <t>品牌：昆竹牌｜商品/规格：酒版组合100ml*4瓶｜SKU：621878412430</t>
        </is>
      </c>
      <c r="G483" t="inlineStr">
        <is>
          <t>淘宝</t>
        </is>
      </c>
      <c r="H483" s="2" t="str">
        <f>=HYPERLINK("https://detail.tmall.com/item.htm?id=621878412430", "https://detail.tmall.com/item.htm?id=621878412430")</f>
        <v>https://detail.tmall.com/item.htm?id=621878412430</v>
      </c>
      <c r="I483" s="3">
        <v>46206</v>
      </c>
      <c r="J483" s="4">
        <v>46243</v>
      </c>
      <c r="K483" t="inlineStr">
        <is>
          <t>昆竹 青梅酒 商品评价</t>
        </is>
      </c>
      <c r="L483"/>
      <c r="M483" t="inlineStr">
        <is>
          <t>TB-U-20260809-024</t>
        </is>
      </c>
      <c r="N483" t="inlineStr">
        <is>
          <t>公开评论</t>
        </is>
      </c>
      <c r="O483"/>
      <c r="P483" t="inlineStr">
        <is>
          <t>情绪粗标：正面；主题粗标：性价比；酸甜度；配料；酒精感；加冰；品牌认知；昆竹牌旗舰店商品评价；未记录用户名；评价页未展示评论点赞/有用数，点赞数留空</t>
        </is>
      </c>
      <c r="Q483" t="inlineStr">
        <is>
          <t>竞品</t>
        </is>
      </c>
      <c r="R483"/>
      <c r="S483"/>
    </row>
    <row r="484" ht="25.5" customHeight="1">
      <c r="A484" t="inlineStr">
        <is>
          <t>JD-RAW-0102</t>
        </is>
      </c>
      <c r="B484" t="inlineStr">
        <is>
          <t>饮法调配与内容共创</t>
        </is>
      </c>
      <c r="C484" t="inlineStr">
        <is>
          <t>PRJ001</t>
        </is>
      </c>
      <c r="D484" t="inlineStr">
        <is>
          <t>梅见</t>
        </is>
      </c>
      <c r="E484" t="inlineStr">
        <is>
          <t>口感不错，加冰更好，夏天来上一杯，比啤酒更爽</t>
        </is>
      </c>
      <c r="F484" t="inlineStr">
        <is>
          <t>商品：12度发酵330ml；SKU：681094845930</t>
        </is>
      </c>
      <c r="G484" t="inlineStr">
        <is>
          <t>淘宝</t>
        </is>
      </c>
      <c r="H484" s="2" t="str">
        <f>=HYPERLINK("https://detail.tmall.com/item.htm?id=681094845930", "https://detail.tmall.com/item.htm?id=681094845930")</f>
        <v>https://detail.tmall.com/item.htm?id=681094845930</v>
      </c>
      <c r="I484" s="3">
        <v>46211</v>
      </c>
      <c r="J484" s="4">
        <v>46243</v>
      </c>
      <c r="K484" t="inlineStr">
        <is>
          <t>梅见 青梅酒</t>
        </is>
      </c>
      <c r="L484"/>
      <c r="M484" t="inlineStr">
        <is>
          <t>MJ-TB-U-002</t>
        </is>
      </c>
      <c r="N484" t="inlineStr">
        <is>
          <t>公开评论</t>
        </is>
      </c>
      <c r="O484"/>
      <c r="P484" t="inlineStr">
        <is>
          <t>梅见旗舰店商品评价；未记录用户名；已排除商家回复；情绪：正面；涉及主题：入口感；加冰；饮用场景；与啤酒比较</t>
        </is>
      </c>
      <c r="Q484" t="inlineStr">
        <is>
          <t>目标品牌</t>
        </is>
      </c>
      <c r="R484"/>
      <c r="S484"/>
    </row>
    <row r="485" ht="25.5" customHeight="1">
      <c r="A485" t="inlineStr">
        <is>
          <t>TB-20260809-051</t>
        </is>
      </c>
      <c r="B485" t="inlineStr">
        <is>
          <t>饮法调配与内容共创</t>
        </is>
      </c>
      <c r="C485" t="inlineStr">
        <is>
          <t>PRJ001</t>
        </is>
      </c>
      <c r="D485" t="inlineStr">
        <is>
          <t>梅见｜超酸梅见150ml</t>
        </is>
      </c>
      <c r="E485" t="inlineStr">
        <is>
          <t>物流很快东西很好很不错蛮喜欢可以对水溶c好喝的</t>
        </is>
      </c>
      <c r="F485" t="inlineStr">
        <is>
          <t>品牌：梅见｜商品/规格：超酸梅见150ml｜SKU：935881887671</t>
        </is>
      </c>
      <c r="G485" t="inlineStr">
        <is>
          <t>淘宝</t>
        </is>
      </c>
      <c r="H485" s="2" t="str">
        <f>=HYPERLINK("https://detail.tmall.com/item.htm?id=935881887671", "https://detail.tmall.com/item.htm?id=935881887671")</f>
        <v>https://detail.tmall.com/item.htm?id=935881887671</v>
      </c>
      <c r="I485" s="3">
        <v>46126</v>
      </c>
      <c r="J485" s="4">
        <v>46243</v>
      </c>
      <c r="K485" t="inlineStr">
        <is>
          <t>梅见 青梅酒 商品评价</t>
        </is>
      </c>
      <c r="L485"/>
      <c r="M485" t="inlineStr">
        <is>
          <t>TB-U-20260809-051</t>
        </is>
      </c>
      <c r="N485" t="inlineStr">
        <is>
          <t>公开评论</t>
        </is>
      </c>
      <c r="O485"/>
      <c r="P485" t="inlineStr">
        <is>
          <t>情绪粗标：正面；主题粗标：调配方法；水溶C；时光梅旗舰店商品评价；日期按规则放宽；未记录用户名；已排除商家回复；评价页未展示评论点赞/有用数，点赞数留空</t>
        </is>
      </c>
      <c r="Q485" t="inlineStr">
        <is>
          <t>目标品牌</t>
        </is>
      </c>
      <c r="R485"/>
      <c r="S485"/>
    </row>
  </sheetData>
  <dataValidations count="4">
    <dataValidation allowBlank="false" sqref="B2:B484" type="list">
      <formula1>"梅见产品体验反馈,梅见品牌认知与传播反馈,竞品产品体验反馈,竞品选择与替代理由,低度酒品类态度,饮酒情绪与身体负担,社交关系与饮酒边界,消费场景与使用行为,购买决策与价格反馈,饮法调配与内容共创"</formula1>
    </dataValidation>
    <dataValidation allowBlank="false" sqref="G2:G484" type="list">
      <formula1>"小红书,抖音,B站,电商评论,微博,淘宝,线下访谈,京东"</formula1>
    </dataValidation>
    <dataValidation allowBlank="false" sqref="N2:N484" type="list">
      <formula1>"公开评论,真人访谈,模拟语料"</formula1>
    </dataValidation>
    <dataValidation allowBlank="false" sqref="Q2:Q484" type="list">
      <formula1>"目标品牌,竞品,低度酒品类,饮酒文化或社交话题,无关或待判断"</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s>
  <sheetData>
    <row r="1" ht="13" customHeight="1">
      <c r="A1" s="1" t="inlineStr">
        <is>
          <t>清洗编号</t>
        </is>
      </c>
      <c r="B1" s="1" t="inlineStr">
        <is>
          <t>清洗后文本</t>
        </is>
      </c>
      <c r="C1" s="1" t="inlineStr">
        <is>
          <t>是否重复</t>
        </is>
      </c>
      <c r="D1" s="1" t="inlineStr">
        <is>
          <t>重复语料编号</t>
        </is>
      </c>
      <c r="E1" s="1" t="inlineStr">
        <is>
          <t>是否广告</t>
        </is>
      </c>
      <c r="F1" s="1" t="inlineStr">
        <is>
          <t>是否与研究主题相关</t>
        </is>
      </c>
      <c r="G1" s="1" t="inlineStr">
        <is>
          <t>是否包含有效信息</t>
        </is>
      </c>
      <c r="H1" s="1" t="inlineStr">
        <is>
          <t>是否依赖上下文</t>
        </is>
      </c>
      <c r="I1" s="1" t="inlineStr">
        <is>
          <t>上下文是否完整</t>
        </is>
      </c>
      <c r="J1" s="1" t="inlineStr">
        <is>
          <t>是否包含敏感信息</t>
        </is>
      </c>
      <c r="K1" s="1" t="inlineStr">
        <is>
          <t>数据质量评分</t>
        </is>
      </c>
      <c r="L1" s="1" t="inlineStr">
        <is>
          <t>初筛结果</t>
        </is>
      </c>
      <c r="M1" s="1" t="inlineStr">
        <is>
          <t>排除原因</t>
        </is>
      </c>
      <c r="N1" s="1" t="inlineStr">
        <is>
          <t>初筛人员</t>
        </is>
      </c>
      <c r="O1" s="1" t="inlineStr">
        <is>
          <t>复核人员</t>
        </is>
      </c>
      <c r="P1" s="1" t="inlineStr">
        <is>
          <t>复核结果</t>
        </is>
      </c>
      <c r="Q1" s="1" t="inlineStr">
        <is>
          <t>分歧处理说明</t>
        </is>
      </c>
      <c r="R1" s="1" t="inlineStr">
        <is>
          <t>清洗日期</t>
        </is>
      </c>
      <c r="S1" s="1" t="inlineStr">
        <is>
          <t>语料编号</t>
        </is>
      </c>
      <c r="T1" s="1" t="inlineStr">
        <is>
          <t>清洗规则版本</t>
        </is>
      </c>
      <c r="U1" s="1" t="inlineStr">
        <is>
          <t>AI初筛结果</t>
        </is>
      </c>
      <c r="V1" s="1" t="inlineStr">
        <is>
          <t>人工最终结果</t>
        </is>
      </c>
      <c r="W1" s="1" t="inlineStr">
        <is>
          <t>处理时间</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s>
  <sheetData>
    <row r="1" ht="13" customHeight="1">
      <c r="A1" s="1" t="inlineStr">
        <is>
          <t>标签编号</t>
        </is>
      </c>
      <c r="B1" s="1" t="inlineStr">
        <is>
          <t>分析维度</t>
        </is>
      </c>
      <c r="C1" s="1" t="inlineStr">
        <is>
          <t>标签名称</t>
        </is>
      </c>
      <c r="D1" s="1" t="inlineStr">
        <is>
          <t>标签定义</t>
        </is>
      </c>
      <c r="E1" s="1" t="inlineStr">
        <is>
          <t>纳入标准</t>
        </is>
      </c>
      <c r="F1" s="1" t="inlineStr">
        <is>
          <t>排除标准</t>
        </is>
      </c>
      <c r="G1" s="1" t="inlineStr">
        <is>
          <t>正面示例</t>
        </is>
      </c>
      <c r="H1" s="1" t="inlineStr">
        <is>
          <t>反面示例</t>
        </is>
      </c>
      <c r="I1" s="1" t="inlineStr">
        <is>
          <t>边界案例</t>
        </is>
      </c>
      <c r="J1" s="1" t="inlineStr">
        <is>
          <t>是否允许多选</t>
        </is>
      </c>
      <c r="K1" s="1" t="inlineStr">
        <is>
          <t>关联上级标签</t>
        </is>
      </c>
      <c r="L1" s="1" t="inlineStr">
        <is>
          <t>适用对象</t>
        </is>
      </c>
      <c r="M1" s="1" t="inlineStr">
        <is>
          <t>标签状态</t>
        </is>
      </c>
      <c r="N1" s="1" t="inlineStr">
        <is>
          <t>规则版本</t>
        </is>
      </c>
      <c r="O1" s="1" t="inlineStr">
        <is>
          <t>制定人员</t>
        </is>
      </c>
      <c r="P1" s="1" t="inlineStr">
        <is>
          <t>修改日期</t>
        </is>
      </c>
      <c r="Q1" s="1" t="inlineStr">
        <is>
          <t>备注</t>
        </is>
      </c>
    </row>
    <row r="2" ht="25.5" customHeight="1">
      <c r="A2" t="inlineStr">
        <is>
          <t>UT-001</t>
        </is>
      </c>
      <c r="B2" t="inlineStr">
        <is>
          <t>用户类型</t>
        </is>
      </c>
      <c r="C2" t="inlineStr">
        <is>
          <t>低度酒稳定用户</t>
        </is>
      </c>
      <c r="D2"/>
      <c r="E2"/>
      <c r="F2"/>
      <c r="G2"/>
      <c r="H2"/>
      <c r="I2"/>
      <c r="J2" t="inlineStr">
        <is>
          <t>0</t>
        </is>
      </c>
      <c r="K2"/>
      <c r="L2"/>
      <c r="M2" t="inlineStr">
        <is>
          <t>启用</t>
        </is>
      </c>
      <c r="N2" t="inlineStr">
        <is>
          <t>V1.0</t>
        </is>
      </c>
      <c r="O2"/>
      <c r="P2" s="4"/>
      <c r="Q2"/>
    </row>
    <row r="3" ht="25.5" customHeight="1">
      <c r="A3" t="inlineStr">
        <is>
          <t>UT-002</t>
        </is>
      </c>
      <c r="B3" t="inlineStr">
        <is>
          <t>用户类型</t>
        </is>
      </c>
      <c r="C3" t="inlineStr">
        <is>
          <t>偶尔饮酒者</t>
        </is>
      </c>
      <c r="D3"/>
      <c r="E3"/>
      <c r="F3"/>
      <c r="G3"/>
      <c r="H3"/>
      <c r="I3"/>
      <c r="J3" t="inlineStr">
        <is>
          <t>0</t>
        </is>
      </c>
      <c r="K3"/>
      <c r="L3"/>
      <c r="M3" t="inlineStr">
        <is>
          <t>启用</t>
        </is>
      </c>
      <c r="N3" t="inlineStr">
        <is>
          <t>V1.0</t>
        </is>
      </c>
      <c r="O3"/>
      <c r="P3" s="4"/>
      <c r="Q3"/>
    </row>
    <row r="4" ht="25.5" customHeight="1">
      <c r="A4" t="inlineStr">
        <is>
          <t>UT-003</t>
        </is>
      </c>
      <c r="B4" t="inlineStr">
        <is>
          <t>用户类型</t>
        </is>
      </c>
      <c r="C4" t="inlineStr">
        <is>
          <t>饮酒小白</t>
        </is>
      </c>
      <c r="D4"/>
      <c r="E4"/>
      <c r="F4"/>
      <c r="G4"/>
      <c r="H4"/>
      <c r="I4"/>
      <c r="J4" t="inlineStr">
        <is>
          <t>0</t>
        </is>
      </c>
      <c r="K4"/>
      <c r="L4"/>
      <c r="M4" t="inlineStr">
        <is>
          <t>启用</t>
        </is>
      </c>
      <c r="N4" t="inlineStr">
        <is>
          <t>V1.0</t>
        </is>
      </c>
      <c r="O4"/>
      <c r="P4" s="4"/>
      <c r="Q4"/>
    </row>
    <row r="5" ht="25.5" customHeight="1">
      <c r="A5" t="inlineStr">
        <is>
          <t>UT-004</t>
        </is>
      </c>
      <c r="B5" t="inlineStr">
        <is>
          <t>用户类型</t>
        </is>
      </c>
      <c r="C5" t="inlineStr">
        <is>
          <t>高度酒用户</t>
        </is>
      </c>
      <c r="D5"/>
      <c r="E5"/>
      <c r="F5"/>
      <c r="G5"/>
      <c r="H5"/>
      <c r="I5"/>
      <c r="J5" t="inlineStr">
        <is>
          <t>0</t>
        </is>
      </c>
      <c r="K5"/>
      <c r="L5"/>
      <c r="M5" t="inlineStr">
        <is>
          <t>启用</t>
        </is>
      </c>
      <c r="N5" t="inlineStr">
        <is>
          <t>V1.0</t>
        </is>
      </c>
      <c r="O5"/>
      <c r="P5" s="4"/>
      <c r="Q5"/>
    </row>
    <row r="6" ht="25.5" customHeight="1">
      <c r="A6" t="inlineStr">
        <is>
          <t>UT-005</t>
        </is>
      </c>
      <c r="B6" t="inlineStr">
        <is>
          <t>用户类型</t>
        </is>
      </c>
      <c r="C6" t="inlineStr">
        <is>
          <t>有顾虑的尝试者</t>
        </is>
      </c>
      <c r="D6"/>
      <c r="E6"/>
      <c r="F6"/>
      <c r="G6"/>
      <c r="H6"/>
      <c r="I6"/>
      <c r="J6" t="inlineStr">
        <is>
          <t>0</t>
        </is>
      </c>
      <c r="K6"/>
      <c r="L6"/>
      <c r="M6" t="inlineStr">
        <is>
          <t>启用</t>
        </is>
      </c>
      <c r="N6" t="inlineStr">
        <is>
          <t>V1.0</t>
        </is>
      </c>
      <c r="O6"/>
      <c r="P6" s="4"/>
      <c r="Q6"/>
    </row>
    <row r="7" ht="25.5" customHeight="1">
      <c r="A7" t="inlineStr">
        <is>
          <t>UT-006</t>
        </is>
      </c>
      <c r="B7" t="inlineStr">
        <is>
          <t>用户类型</t>
        </is>
      </c>
      <c r="C7" t="inlineStr">
        <is>
          <t>明确拒酒者</t>
        </is>
      </c>
      <c r="D7"/>
      <c r="E7"/>
      <c r="F7"/>
      <c r="G7"/>
      <c r="H7"/>
      <c r="I7"/>
      <c r="J7" t="inlineStr">
        <is>
          <t>0</t>
        </is>
      </c>
      <c r="K7"/>
      <c r="L7"/>
      <c r="M7" t="inlineStr">
        <is>
          <t>启用</t>
        </is>
      </c>
      <c r="N7" t="inlineStr">
        <is>
          <t>V1.0</t>
        </is>
      </c>
      <c r="O7"/>
      <c r="P7" s="4"/>
      <c r="Q7"/>
    </row>
    <row r="8" ht="25.5" customHeight="1">
      <c r="A8" t="inlineStr">
        <is>
          <t>UT-007</t>
        </is>
      </c>
      <c r="B8" t="inlineStr">
        <is>
          <t>用户类型</t>
        </is>
      </c>
      <c r="C8" t="inlineStr">
        <is>
          <t>无法判断</t>
        </is>
      </c>
      <c r="D8"/>
      <c r="E8"/>
      <c r="F8"/>
      <c r="G8"/>
      <c r="H8"/>
      <c r="I8"/>
      <c r="J8" t="inlineStr">
        <is>
          <t>0</t>
        </is>
      </c>
      <c r="K8"/>
      <c r="L8"/>
      <c r="M8" t="inlineStr">
        <is>
          <t>启用</t>
        </is>
      </c>
      <c r="N8" t="inlineStr">
        <is>
          <t>V1.0</t>
        </is>
      </c>
      <c r="O8"/>
      <c r="P8" s="4"/>
      <c r="Q8"/>
    </row>
    <row r="9" ht="25.5" customHeight="1">
      <c r="A9" t="inlineStr">
        <is>
          <t>SC-001</t>
        </is>
      </c>
      <c r="B9" t="inlineStr">
        <is>
          <t>用户场景</t>
        </is>
      </c>
      <c r="C9" t="inlineStr">
        <is>
          <t>下班独饮</t>
        </is>
      </c>
      <c r="D9"/>
      <c r="E9"/>
      <c r="F9"/>
      <c r="G9"/>
      <c r="H9"/>
      <c r="I9"/>
      <c r="J9" t="inlineStr">
        <is>
          <t>1</t>
        </is>
      </c>
      <c r="K9"/>
      <c r="L9"/>
      <c r="M9" t="inlineStr">
        <is>
          <t>启用</t>
        </is>
      </c>
      <c r="N9" t="inlineStr">
        <is>
          <t>V1.0</t>
        </is>
      </c>
      <c r="O9"/>
      <c r="P9" s="4"/>
      <c r="Q9"/>
    </row>
    <row r="10" ht="25.5" customHeight="1">
      <c r="A10" t="inlineStr">
        <is>
          <t>SC-002</t>
        </is>
      </c>
      <c r="B10" t="inlineStr">
        <is>
          <t>用户场景</t>
        </is>
      </c>
      <c r="C10" t="inlineStr">
        <is>
          <t>居家追剧</t>
        </is>
      </c>
      <c r="D10"/>
      <c r="E10"/>
      <c r="F10"/>
      <c r="G10"/>
      <c r="H10"/>
      <c r="I10"/>
      <c r="J10" t="inlineStr">
        <is>
          <t>1</t>
        </is>
      </c>
      <c r="K10"/>
      <c r="L10"/>
      <c r="M10" t="inlineStr">
        <is>
          <t>启用</t>
        </is>
      </c>
      <c r="N10" t="inlineStr">
        <is>
          <t>V1.0</t>
        </is>
      </c>
      <c r="O10"/>
      <c r="P10" s="4"/>
      <c r="Q10"/>
    </row>
    <row r="11" ht="25.5" customHeight="1">
      <c r="A11" t="inlineStr">
        <is>
          <t>SC-003</t>
        </is>
      </c>
      <c r="B11" t="inlineStr">
        <is>
          <t>用户场景</t>
        </is>
      </c>
      <c r="C11" t="inlineStr">
        <is>
          <t>朋友小聚</t>
        </is>
      </c>
      <c r="D11"/>
      <c r="E11"/>
      <c r="F11"/>
      <c r="G11"/>
      <c r="H11"/>
      <c r="I11"/>
      <c r="J11" t="inlineStr">
        <is>
          <t>1</t>
        </is>
      </c>
      <c r="K11"/>
      <c r="L11"/>
      <c r="M11" t="inlineStr">
        <is>
          <t>启用</t>
        </is>
      </c>
      <c r="N11" t="inlineStr">
        <is>
          <t>V1.0</t>
        </is>
      </c>
      <c r="O11"/>
      <c r="P11" s="4"/>
      <c r="Q11"/>
    </row>
    <row r="12" ht="25.5" customHeight="1">
      <c r="A12" t="inlineStr">
        <is>
          <t>SC-004</t>
        </is>
      </c>
      <c r="B12" t="inlineStr">
        <is>
          <t>用户场景</t>
        </is>
      </c>
      <c r="C12" t="inlineStr">
        <is>
          <t>女生局</t>
        </is>
      </c>
      <c r="D12"/>
      <c r="E12"/>
      <c r="F12"/>
      <c r="G12"/>
      <c r="H12"/>
      <c r="I12"/>
      <c r="J12" t="inlineStr">
        <is>
          <t>1</t>
        </is>
      </c>
      <c r="K12"/>
      <c r="L12"/>
      <c r="M12" t="inlineStr">
        <is>
          <t>启用</t>
        </is>
      </c>
      <c r="N12" t="inlineStr">
        <is>
          <t>V1.0</t>
        </is>
      </c>
      <c r="O12"/>
      <c r="P12" s="4"/>
      <c r="Q12"/>
    </row>
    <row r="13" ht="25.5" customHeight="1">
      <c r="A13" t="inlineStr">
        <is>
          <t>SC-005</t>
        </is>
      </c>
      <c r="B13" t="inlineStr">
        <is>
          <t>用户场景</t>
        </is>
      </c>
      <c r="C13" t="inlineStr">
        <is>
          <t>聚餐</t>
        </is>
      </c>
      <c r="D13"/>
      <c r="E13"/>
      <c r="F13"/>
      <c r="G13"/>
      <c r="H13"/>
      <c r="I13"/>
      <c r="J13" t="inlineStr">
        <is>
          <t>1</t>
        </is>
      </c>
      <c r="K13"/>
      <c r="L13"/>
      <c r="M13" t="inlineStr">
        <is>
          <t>启用</t>
        </is>
      </c>
      <c r="N13" t="inlineStr">
        <is>
          <t>V1.0</t>
        </is>
      </c>
      <c r="O13"/>
      <c r="P13" s="4"/>
      <c r="Q13"/>
    </row>
    <row r="14" ht="25.5" customHeight="1">
      <c r="A14" t="inlineStr">
        <is>
          <t>SC-006</t>
        </is>
      </c>
      <c r="B14" t="inlineStr">
        <is>
          <t>用户场景</t>
        </is>
      </c>
      <c r="C14" t="inlineStr">
        <is>
          <t>职场饭局</t>
        </is>
      </c>
      <c r="D14"/>
      <c r="E14"/>
      <c r="F14"/>
      <c r="G14"/>
      <c r="H14"/>
      <c r="I14"/>
      <c r="J14" t="inlineStr">
        <is>
          <t>1</t>
        </is>
      </c>
      <c r="K14"/>
      <c r="L14"/>
      <c r="M14" t="inlineStr">
        <is>
          <t>启用</t>
        </is>
      </c>
      <c r="N14" t="inlineStr">
        <is>
          <t>V1.0</t>
        </is>
      </c>
      <c r="O14"/>
      <c r="P14" s="4"/>
      <c r="Q14"/>
    </row>
    <row r="15" ht="25.5" customHeight="1">
      <c r="A15" t="inlineStr">
        <is>
          <t>SC-007</t>
        </is>
      </c>
      <c r="B15" t="inlineStr">
        <is>
          <t>用户场景</t>
        </is>
      </c>
      <c r="C15" t="inlineStr">
        <is>
          <t>家宴</t>
        </is>
      </c>
      <c r="D15"/>
      <c r="E15"/>
      <c r="F15"/>
      <c r="G15"/>
      <c r="H15"/>
      <c r="I15"/>
      <c r="J15" t="inlineStr">
        <is>
          <t>1</t>
        </is>
      </c>
      <c r="K15"/>
      <c r="L15"/>
      <c r="M15" t="inlineStr">
        <is>
          <t>启用</t>
        </is>
      </c>
      <c r="N15" t="inlineStr">
        <is>
          <t>V1.0</t>
        </is>
      </c>
      <c r="O15"/>
      <c r="P15" s="4"/>
      <c r="Q15"/>
    </row>
    <row r="16" ht="25.5" customHeight="1">
      <c r="A16" t="inlineStr">
        <is>
          <t>SC-008</t>
        </is>
      </c>
      <c r="B16" t="inlineStr">
        <is>
          <t>用户场景</t>
        </is>
      </c>
      <c r="C16" t="inlineStr">
        <is>
          <t>火锅烧烤</t>
        </is>
      </c>
      <c r="D16"/>
      <c r="E16"/>
      <c r="F16"/>
      <c r="G16"/>
      <c r="H16"/>
      <c r="I16"/>
      <c r="J16" t="inlineStr">
        <is>
          <t>1</t>
        </is>
      </c>
      <c r="K16"/>
      <c r="L16"/>
      <c r="M16" t="inlineStr">
        <is>
          <t>启用</t>
        </is>
      </c>
      <c r="N16" t="inlineStr">
        <is>
          <t>V1.0</t>
        </is>
      </c>
      <c r="O16"/>
      <c r="P16" s="4"/>
      <c r="Q16"/>
    </row>
    <row r="17" ht="25.5" customHeight="1">
      <c r="A17" t="inlineStr">
        <is>
          <t>SC-009</t>
        </is>
      </c>
      <c r="B17" t="inlineStr">
        <is>
          <t>用户场景</t>
        </is>
      </c>
      <c r="C17" t="inlineStr">
        <is>
          <t>露营小聚</t>
        </is>
      </c>
      <c r="D17"/>
      <c r="E17"/>
      <c r="F17"/>
      <c r="G17"/>
      <c r="H17"/>
      <c r="I17"/>
      <c r="J17" t="inlineStr">
        <is>
          <t>1</t>
        </is>
      </c>
      <c r="K17"/>
      <c r="L17"/>
      <c r="M17" t="inlineStr">
        <is>
          <t>启用</t>
        </is>
      </c>
      <c r="N17" t="inlineStr">
        <is>
          <t>V1.0</t>
        </is>
      </c>
      <c r="O17"/>
      <c r="P17" s="4"/>
      <c r="Q17"/>
    </row>
    <row r="18" ht="25.5" customHeight="1">
      <c r="A18" t="inlineStr">
        <is>
          <t>SC-010</t>
        </is>
      </c>
      <c r="B18" t="inlineStr">
        <is>
          <t>用户场景</t>
        </is>
      </c>
      <c r="C18" t="inlineStr">
        <is>
          <t>轻约会</t>
        </is>
      </c>
      <c r="D18"/>
      <c r="E18"/>
      <c r="F18"/>
      <c r="G18"/>
      <c r="H18"/>
      <c r="I18"/>
      <c r="J18" t="inlineStr">
        <is>
          <t>1</t>
        </is>
      </c>
      <c r="K18"/>
      <c r="L18"/>
      <c r="M18" t="inlineStr">
        <is>
          <t>启用</t>
        </is>
      </c>
      <c r="N18" t="inlineStr">
        <is>
          <t>V1.0</t>
        </is>
      </c>
      <c r="O18"/>
      <c r="P18" s="4"/>
      <c r="Q18"/>
    </row>
    <row r="19" ht="25.5" customHeight="1">
      <c r="A19" t="inlineStr">
        <is>
          <t>SC-011</t>
        </is>
      </c>
      <c r="B19" t="inlineStr">
        <is>
          <t>用户场景</t>
        </is>
      </c>
      <c r="C19" t="inlineStr">
        <is>
          <t>节日礼赠</t>
        </is>
      </c>
      <c r="D19"/>
      <c r="E19"/>
      <c r="F19"/>
      <c r="G19"/>
      <c r="H19"/>
      <c r="I19"/>
      <c r="J19" t="inlineStr">
        <is>
          <t>1</t>
        </is>
      </c>
      <c r="K19"/>
      <c r="L19"/>
      <c r="M19" t="inlineStr">
        <is>
          <t>启用</t>
        </is>
      </c>
      <c r="N19" t="inlineStr">
        <is>
          <t>V1.0</t>
        </is>
      </c>
      <c r="O19"/>
      <c r="P19" s="4"/>
      <c r="Q19"/>
    </row>
    <row r="20" ht="25.5" customHeight="1">
      <c r="A20" t="inlineStr">
        <is>
          <t>SC-012</t>
        </is>
      </c>
      <c r="B20" t="inlineStr">
        <is>
          <t>用户场景</t>
        </is>
      </c>
      <c r="C20" t="inlineStr">
        <is>
          <t>便利店调饮</t>
        </is>
      </c>
      <c r="D20"/>
      <c r="E20"/>
      <c r="F20"/>
      <c r="G20"/>
      <c r="H20"/>
      <c r="I20"/>
      <c r="J20" t="inlineStr">
        <is>
          <t>1</t>
        </is>
      </c>
      <c r="K20"/>
      <c r="L20"/>
      <c r="M20" t="inlineStr">
        <is>
          <t>启用</t>
        </is>
      </c>
      <c r="N20" t="inlineStr">
        <is>
          <t>V1.0</t>
        </is>
      </c>
      <c r="O20"/>
      <c r="P20" s="4"/>
      <c r="Q20"/>
    </row>
    <row r="21" ht="25.5" customHeight="1">
      <c r="A21" t="inlineStr">
        <is>
          <t>SC-013</t>
        </is>
      </c>
      <c r="B21" t="inlineStr">
        <is>
          <t>用户场景</t>
        </is>
      </c>
      <c r="C21" t="inlineStr">
        <is>
          <t>其他</t>
        </is>
      </c>
      <c r="D21"/>
      <c r="E21"/>
      <c r="F21"/>
      <c r="G21"/>
      <c r="H21"/>
      <c r="I21"/>
      <c r="J21" t="inlineStr">
        <is>
          <t>1</t>
        </is>
      </c>
      <c r="K21"/>
      <c r="L21"/>
      <c r="M21" t="inlineStr">
        <is>
          <t>启用</t>
        </is>
      </c>
      <c r="N21" t="inlineStr">
        <is>
          <t>V1.0</t>
        </is>
      </c>
      <c r="O21"/>
      <c r="P21" s="4"/>
      <c r="Q21"/>
    </row>
    <row r="22" ht="25.5" customHeight="1">
      <c r="A22" t="inlineStr">
        <is>
          <t>EM-001</t>
        </is>
      </c>
      <c r="B22" t="inlineStr">
        <is>
          <t>真实情绪</t>
        </is>
      </c>
      <c r="C22" t="inlineStr">
        <is>
          <t>轻松放松</t>
        </is>
      </c>
      <c r="D22"/>
      <c r="E22"/>
      <c r="F22"/>
      <c r="G22"/>
      <c r="H22"/>
      <c r="I22"/>
      <c r="J22" t="inlineStr">
        <is>
          <t>1</t>
        </is>
      </c>
      <c r="K22"/>
      <c r="L22"/>
      <c r="M22" t="inlineStr">
        <is>
          <t>启用</t>
        </is>
      </c>
      <c r="N22" t="inlineStr">
        <is>
          <t>V1.0</t>
        </is>
      </c>
      <c r="O22"/>
      <c r="P22" s="4"/>
      <c r="Q22"/>
    </row>
    <row r="23" ht="25.5" customHeight="1">
      <c r="A23" t="inlineStr">
        <is>
          <t>EM-002</t>
        </is>
      </c>
      <c r="B23" t="inlineStr">
        <is>
          <t>真实情绪</t>
        </is>
      </c>
      <c r="C23" t="inlineStr">
        <is>
          <t>害怕失控</t>
        </is>
      </c>
      <c r="D23"/>
      <c r="E23"/>
      <c r="F23"/>
      <c r="G23"/>
      <c r="H23"/>
      <c r="I23"/>
      <c r="J23" t="inlineStr">
        <is>
          <t>1</t>
        </is>
      </c>
      <c r="K23"/>
      <c r="L23"/>
      <c r="M23" t="inlineStr">
        <is>
          <t>启用</t>
        </is>
      </c>
      <c r="N23" t="inlineStr">
        <is>
          <t>V1.0</t>
        </is>
      </c>
      <c r="O23"/>
      <c r="P23" s="4"/>
      <c r="Q23"/>
    </row>
    <row r="24" ht="25.5" customHeight="1">
      <c r="A24" t="inlineStr">
        <is>
          <t>EM-003</t>
        </is>
      </c>
      <c r="B24" t="inlineStr">
        <is>
          <t>真实情绪</t>
        </is>
      </c>
      <c r="C24" t="inlineStr">
        <is>
          <t>害怕踩雷</t>
        </is>
      </c>
      <c r="D24"/>
      <c r="E24"/>
      <c r="F24"/>
      <c r="G24"/>
      <c r="H24"/>
      <c r="I24"/>
      <c r="J24" t="inlineStr">
        <is>
          <t>1</t>
        </is>
      </c>
      <c r="K24"/>
      <c r="L24"/>
      <c r="M24" t="inlineStr">
        <is>
          <t>启用</t>
        </is>
      </c>
      <c r="N24" t="inlineStr">
        <is>
          <t>V1.0</t>
        </is>
      </c>
      <c r="O24"/>
      <c r="P24" s="4"/>
      <c r="Q24"/>
    </row>
    <row r="25" ht="25.5" customHeight="1">
      <c r="A25" t="inlineStr">
        <is>
          <t>EM-004</t>
        </is>
      </c>
      <c r="B25" t="inlineStr">
        <is>
          <t>真实情绪</t>
        </is>
      </c>
      <c r="C25" t="inlineStr">
        <is>
          <t>社交尴尬</t>
        </is>
      </c>
      <c r="D25"/>
      <c r="E25"/>
      <c r="F25"/>
      <c r="G25"/>
      <c r="H25"/>
      <c r="I25"/>
      <c r="J25" t="inlineStr">
        <is>
          <t>1</t>
        </is>
      </c>
      <c r="K25"/>
      <c r="L25"/>
      <c r="M25" t="inlineStr">
        <is>
          <t>启用</t>
        </is>
      </c>
      <c r="N25" t="inlineStr">
        <is>
          <t>V1.0</t>
        </is>
      </c>
      <c r="O25"/>
      <c r="P25" s="4"/>
      <c r="Q25"/>
    </row>
    <row r="26" ht="25.5" customHeight="1">
      <c r="A26" t="inlineStr">
        <is>
          <t>EM-005</t>
        </is>
      </c>
      <c r="B26" t="inlineStr">
        <is>
          <t>真实情绪</t>
        </is>
      </c>
      <c r="C26" t="inlineStr">
        <is>
          <t>想要合群</t>
        </is>
      </c>
      <c r="D26"/>
      <c r="E26"/>
      <c r="F26"/>
      <c r="G26"/>
      <c r="H26"/>
      <c r="I26"/>
      <c r="J26" t="inlineStr">
        <is>
          <t>1</t>
        </is>
      </c>
      <c r="K26"/>
      <c r="L26"/>
      <c r="M26" t="inlineStr">
        <is>
          <t>启用</t>
        </is>
      </c>
      <c r="N26" t="inlineStr">
        <is>
          <t>V1.0</t>
        </is>
      </c>
      <c r="O26"/>
      <c r="P26" s="4"/>
      <c r="Q26"/>
    </row>
    <row r="27" ht="25.5" customHeight="1">
      <c r="A27" t="inlineStr">
        <is>
          <t>EM-006</t>
        </is>
      </c>
      <c r="B27" t="inlineStr">
        <is>
          <t>真实情绪</t>
        </is>
      </c>
      <c r="C27" t="inlineStr">
        <is>
          <t>保留边界</t>
        </is>
      </c>
      <c r="D27"/>
      <c r="E27"/>
      <c r="F27"/>
      <c r="G27"/>
      <c r="H27"/>
      <c r="I27"/>
      <c r="J27" t="inlineStr">
        <is>
          <t>1</t>
        </is>
      </c>
      <c r="K27"/>
      <c r="L27"/>
      <c r="M27" t="inlineStr">
        <is>
          <t>启用</t>
        </is>
      </c>
      <c r="N27" t="inlineStr">
        <is>
          <t>V1.0</t>
        </is>
      </c>
      <c r="O27"/>
      <c r="P27" s="4"/>
      <c r="Q27"/>
    </row>
    <row r="28" ht="25.5" customHeight="1">
      <c r="A28" t="inlineStr">
        <is>
          <t>EM-007</t>
        </is>
      </c>
      <c r="B28" t="inlineStr">
        <is>
          <t>真实情绪</t>
        </is>
      </c>
      <c r="C28" t="inlineStr">
        <is>
          <t>审美满足</t>
        </is>
      </c>
      <c r="D28"/>
      <c r="E28"/>
      <c r="F28"/>
      <c r="G28"/>
      <c r="H28"/>
      <c r="I28"/>
      <c r="J28" t="inlineStr">
        <is>
          <t>1</t>
        </is>
      </c>
      <c r="K28"/>
      <c r="L28"/>
      <c r="M28" t="inlineStr">
        <is>
          <t>启用</t>
        </is>
      </c>
      <c r="N28" t="inlineStr">
        <is>
          <t>V1.0</t>
        </is>
      </c>
      <c r="O28"/>
      <c r="P28" s="4"/>
      <c r="Q28"/>
    </row>
    <row r="29" ht="25.5" customHeight="1">
      <c r="A29" t="inlineStr">
        <is>
          <t>EM-008</t>
        </is>
      </c>
      <c r="B29" t="inlineStr">
        <is>
          <t>真实情绪</t>
        </is>
      </c>
      <c r="C29" t="inlineStr">
        <is>
          <t>追求体面</t>
        </is>
      </c>
      <c r="D29"/>
      <c r="E29"/>
      <c r="F29"/>
      <c r="G29"/>
      <c r="H29"/>
      <c r="I29"/>
      <c r="J29" t="inlineStr">
        <is>
          <t>1</t>
        </is>
      </c>
      <c r="K29"/>
      <c r="L29"/>
      <c r="M29" t="inlineStr">
        <is>
          <t>启用</t>
        </is>
      </c>
      <c r="N29" t="inlineStr">
        <is>
          <t>V1.0</t>
        </is>
      </c>
      <c r="O29"/>
      <c r="P29" s="4"/>
      <c r="Q29"/>
    </row>
    <row r="30" ht="25.5" customHeight="1">
      <c r="A30" t="inlineStr">
        <is>
          <t>EM-009</t>
        </is>
      </c>
      <c r="B30" t="inlineStr">
        <is>
          <t>真实情绪</t>
        </is>
      </c>
      <c r="C30" t="inlineStr">
        <is>
          <t>好奇尝试</t>
        </is>
      </c>
      <c r="D30"/>
      <c r="E30"/>
      <c r="F30"/>
      <c r="G30"/>
      <c r="H30"/>
      <c r="I30"/>
      <c r="J30" t="inlineStr">
        <is>
          <t>1</t>
        </is>
      </c>
      <c r="K30"/>
      <c r="L30"/>
      <c r="M30" t="inlineStr">
        <is>
          <t>启用</t>
        </is>
      </c>
      <c r="N30" t="inlineStr">
        <is>
          <t>V1.0</t>
        </is>
      </c>
      <c r="O30"/>
      <c r="P30" s="4"/>
      <c r="Q30"/>
    </row>
    <row r="31" ht="25.5" customHeight="1">
      <c r="A31" t="inlineStr">
        <is>
          <t>EM-010</t>
        </is>
      </c>
      <c r="B31" t="inlineStr">
        <is>
          <t>真实情绪</t>
        </is>
      </c>
      <c r="C31" t="inlineStr">
        <is>
          <t>失望后悔</t>
        </is>
      </c>
      <c r="D31"/>
      <c r="E31"/>
      <c r="F31"/>
      <c r="G31"/>
      <c r="H31"/>
      <c r="I31"/>
      <c r="J31" t="inlineStr">
        <is>
          <t>1</t>
        </is>
      </c>
      <c r="K31"/>
      <c r="L31"/>
      <c r="M31" t="inlineStr">
        <is>
          <t>启用</t>
        </is>
      </c>
      <c r="N31" t="inlineStr">
        <is>
          <t>V1.0</t>
        </is>
      </c>
      <c r="O31"/>
      <c r="P31" s="4"/>
      <c r="Q31"/>
    </row>
    <row r="32" ht="25.5" customHeight="1">
      <c r="A32" t="inlineStr">
        <is>
          <t>EM-011</t>
        </is>
      </c>
      <c r="B32" t="inlineStr">
        <is>
          <t>真实情绪</t>
        </is>
      </c>
      <c r="C32" t="inlineStr">
        <is>
          <t>身体负担焦虑</t>
        </is>
      </c>
      <c r="D32"/>
      <c r="E32"/>
      <c r="F32"/>
      <c r="G32"/>
      <c r="H32"/>
      <c r="I32"/>
      <c r="J32" t="inlineStr">
        <is>
          <t>1</t>
        </is>
      </c>
      <c r="K32"/>
      <c r="L32"/>
      <c r="M32" t="inlineStr">
        <is>
          <t>启用</t>
        </is>
      </c>
      <c r="N32" t="inlineStr">
        <is>
          <t>V1.0</t>
        </is>
      </c>
      <c r="O32"/>
      <c r="P32" s="4"/>
      <c r="Q32"/>
    </row>
    <row r="33" ht="25.5" customHeight="1">
      <c r="A33" t="inlineStr">
        <is>
          <t>EM-012</t>
        </is>
      </c>
      <c r="B33" t="inlineStr">
        <is>
          <t>真实情绪</t>
        </is>
      </c>
      <c r="C33" t="inlineStr">
        <is>
          <t>仪式感</t>
        </is>
      </c>
      <c r="D33"/>
      <c r="E33"/>
      <c r="F33"/>
      <c r="G33"/>
      <c r="H33"/>
      <c r="I33"/>
      <c r="J33" t="inlineStr">
        <is>
          <t>1</t>
        </is>
      </c>
      <c r="K33"/>
      <c r="L33"/>
      <c r="M33" t="inlineStr">
        <is>
          <t>启用</t>
        </is>
      </c>
      <c r="N33" t="inlineStr">
        <is>
          <t>V1.0</t>
        </is>
      </c>
      <c r="O33"/>
      <c r="P33" s="4"/>
      <c r="Q33"/>
    </row>
    <row r="34" ht="25.5" customHeight="1">
      <c r="A34" t="inlineStr">
        <is>
          <t>ID-001</t>
        </is>
      </c>
      <c r="B34" t="inlineStr">
        <is>
          <t>身份需求</t>
        </is>
      </c>
      <c r="C34" t="inlineStr">
        <is>
          <t>有边界感</t>
        </is>
      </c>
      <c r="D34"/>
      <c r="E34"/>
      <c r="F34"/>
      <c r="G34"/>
      <c r="H34"/>
      <c r="I34"/>
      <c r="J34" t="inlineStr">
        <is>
          <t>1</t>
        </is>
      </c>
      <c r="K34"/>
      <c r="L34"/>
      <c r="M34" t="inlineStr">
        <is>
          <t>启用</t>
        </is>
      </c>
      <c r="N34" t="inlineStr">
        <is>
          <t>V1.0</t>
        </is>
      </c>
      <c r="O34"/>
      <c r="P34" s="4"/>
      <c r="Q34"/>
    </row>
    <row r="35" ht="25.5" customHeight="1">
      <c r="A35" t="inlineStr">
        <is>
          <t>ID-002</t>
        </is>
      </c>
      <c r="B35" t="inlineStr">
        <is>
          <t>身份需求</t>
        </is>
      </c>
      <c r="C35" t="inlineStr">
        <is>
          <t>有审美</t>
        </is>
      </c>
      <c r="D35"/>
      <c r="E35"/>
      <c r="F35"/>
      <c r="G35"/>
      <c r="H35"/>
      <c r="I35"/>
      <c r="J35" t="inlineStr">
        <is>
          <t>1</t>
        </is>
      </c>
      <c r="K35"/>
      <c r="L35"/>
      <c r="M35" t="inlineStr">
        <is>
          <t>启用</t>
        </is>
      </c>
      <c r="N35" t="inlineStr">
        <is>
          <t>V1.0</t>
        </is>
      </c>
      <c r="O35"/>
      <c r="P35" s="4"/>
      <c r="Q35"/>
    </row>
    <row r="36" ht="25.5" customHeight="1">
      <c r="A36" t="inlineStr">
        <is>
          <t>ID-003</t>
        </is>
      </c>
      <c r="B36" t="inlineStr">
        <is>
          <t>身份需求</t>
        </is>
      </c>
      <c r="C36" t="inlineStr">
        <is>
          <t>不迎合传统酒局</t>
        </is>
      </c>
      <c r="D36"/>
      <c r="E36"/>
      <c r="F36"/>
      <c r="G36"/>
      <c r="H36"/>
      <c r="I36"/>
      <c r="J36" t="inlineStr">
        <is>
          <t>1</t>
        </is>
      </c>
      <c r="K36"/>
      <c r="L36"/>
      <c r="M36" t="inlineStr">
        <is>
          <t>启用</t>
        </is>
      </c>
      <c r="N36" t="inlineStr">
        <is>
          <t>V1.0</t>
        </is>
      </c>
      <c r="O36"/>
      <c r="P36" s="4"/>
      <c r="Q36"/>
    </row>
    <row r="37" ht="25.5" customHeight="1">
      <c r="A37" t="inlineStr">
        <is>
          <t>ID-004</t>
        </is>
      </c>
      <c r="B37" t="inlineStr">
        <is>
          <t>身份需求</t>
        </is>
      </c>
      <c r="C37" t="inlineStr">
        <is>
          <t>懂得适量</t>
        </is>
      </c>
      <c r="D37"/>
      <c r="E37"/>
      <c r="F37"/>
      <c r="G37"/>
      <c r="H37"/>
      <c r="I37"/>
      <c r="J37" t="inlineStr">
        <is>
          <t>1</t>
        </is>
      </c>
      <c r="K37"/>
      <c r="L37"/>
      <c r="M37" t="inlineStr">
        <is>
          <t>启用</t>
        </is>
      </c>
      <c r="N37" t="inlineStr">
        <is>
          <t>V1.0</t>
        </is>
      </c>
      <c r="O37"/>
      <c r="P37" s="4"/>
      <c r="Q37"/>
    </row>
    <row r="38" ht="25.5" customHeight="1">
      <c r="A38" t="inlineStr">
        <is>
          <t>ID-005</t>
        </is>
      </c>
      <c r="B38" t="inlineStr">
        <is>
          <t>身份需求</t>
        </is>
      </c>
      <c r="C38" t="inlineStr">
        <is>
          <t>会挑选口味</t>
        </is>
      </c>
      <c r="D38"/>
      <c r="E38"/>
      <c r="F38"/>
      <c r="G38"/>
      <c r="H38"/>
      <c r="I38"/>
      <c r="J38" t="inlineStr">
        <is>
          <t>1</t>
        </is>
      </c>
      <c r="K38"/>
      <c r="L38"/>
      <c r="M38" t="inlineStr">
        <is>
          <t>启用</t>
        </is>
      </c>
      <c r="N38" t="inlineStr">
        <is>
          <t>V1.0</t>
        </is>
      </c>
      <c r="O38"/>
      <c r="P38" s="4"/>
      <c r="Q38"/>
    </row>
    <row r="39" ht="25.5" customHeight="1">
      <c r="A39" t="inlineStr">
        <is>
          <t>ID-006</t>
        </is>
      </c>
      <c r="B39" t="inlineStr">
        <is>
          <t>身份需求</t>
        </is>
      </c>
      <c r="C39" t="inlineStr">
        <is>
          <t>重视性价比</t>
        </is>
      </c>
      <c r="D39"/>
      <c r="E39"/>
      <c r="F39"/>
      <c r="G39"/>
      <c r="H39"/>
      <c r="I39"/>
      <c r="J39" t="inlineStr">
        <is>
          <t>1</t>
        </is>
      </c>
      <c r="K39"/>
      <c r="L39"/>
      <c r="M39" t="inlineStr">
        <is>
          <t>启用</t>
        </is>
      </c>
      <c r="N39" t="inlineStr">
        <is>
          <t>V1.0</t>
        </is>
      </c>
      <c r="O39"/>
      <c r="P39" s="4"/>
      <c r="Q39"/>
    </row>
    <row r="40" ht="25.5" customHeight="1">
      <c r="A40" t="inlineStr">
        <is>
          <t>ID-007</t>
        </is>
      </c>
      <c r="B40" t="inlineStr">
        <is>
          <t>身份需求</t>
        </is>
      </c>
      <c r="C40" t="inlineStr">
        <is>
          <t>重视产品品质</t>
        </is>
      </c>
      <c r="D40"/>
      <c r="E40"/>
      <c r="F40"/>
      <c r="G40"/>
      <c r="H40"/>
      <c r="I40"/>
      <c r="J40" t="inlineStr">
        <is>
          <t>1</t>
        </is>
      </c>
      <c r="K40"/>
      <c r="L40"/>
      <c r="M40" t="inlineStr">
        <is>
          <t>启用</t>
        </is>
      </c>
      <c r="N40" t="inlineStr">
        <is>
          <t>V1.0</t>
        </is>
      </c>
      <c r="O40"/>
      <c r="P40" s="4"/>
      <c r="Q40"/>
    </row>
    <row r="41" ht="25.5" customHeight="1">
      <c r="A41" t="inlineStr">
        <is>
          <t>ID-008</t>
        </is>
      </c>
      <c r="B41" t="inlineStr">
        <is>
          <t>身份需求</t>
        </is>
      </c>
      <c r="C41" t="inlineStr">
        <is>
          <t>愿意创造和分享喝法</t>
        </is>
      </c>
      <c r="D41"/>
      <c r="E41"/>
      <c r="F41"/>
      <c r="G41"/>
      <c r="H41"/>
      <c r="I41"/>
      <c r="J41" t="inlineStr">
        <is>
          <t>1</t>
        </is>
      </c>
      <c r="K41"/>
      <c r="L41"/>
      <c r="M41" t="inlineStr">
        <is>
          <t>启用</t>
        </is>
      </c>
      <c r="N41" t="inlineStr">
        <is>
          <t>V1.0</t>
        </is>
      </c>
      <c r="O41"/>
      <c r="P41" s="4"/>
      <c r="Q41"/>
    </row>
    <row r="42" ht="25.5" customHeight="1">
      <c r="A42" t="inlineStr">
        <is>
          <t>AT-001</t>
        </is>
      </c>
      <c r="B42" t="inlineStr">
        <is>
          <t>饮酒态度</t>
        </is>
      </c>
      <c r="C42" t="inlineStr">
        <is>
          <t>接受低度</t>
        </is>
      </c>
      <c r="D42"/>
      <c r="E42"/>
      <c r="F42"/>
      <c r="G42"/>
      <c r="H42"/>
      <c r="I42"/>
      <c r="J42" t="inlineStr">
        <is>
          <t>0</t>
        </is>
      </c>
      <c r="K42"/>
      <c r="L42"/>
      <c r="M42" t="inlineStr">
        <is>
          <t>启用</t>
        </is>
      </c>
      <c r="N42" t="inlineStr">
        <is>
          <t>V1.0</t>
        </is>
      </c>
      <c r="O42"/>
      <c r="P42" s="4"/>
      <c r="Q42"/>
    </row>
    <row r="43" ht="25.5" customHeight="1">
      <c r="A43" t="inlineStr">
        <is>
          <t>AT-002</t>
        </is>
      </c>
      <c r="B43" t="inlineStr">
        <is>
          <t>饮酒态度</t>
        </is>
      </c>
      <c r="C43" t="inlineStr">
        <is>
          <t>喜欢微醺</t>
        </is>
      </c>
      <c r="D43"/>
      <c r="E43"/>
      <c r="F43"/>
      <c r="G43"/>
      <c r="H43"/>
      <c r="I43"/>
      <c r="J43" t="inlineStr">
        <is>
          <t>0</t>
        </is>
      </c>
      <c r="K43"/>
      <c r="L43"/>
      <c r="M43" t="inlineStr">
        <is>
          <t>启用</t>
        </is>
      </c>
      <c r="N43" t="inlineStr">
        <is>
          <t>V1.0</t>
        </is>
      </c>
      <c r="O43"/>
      <c r="P43" s="4"/>
      <c r="Q43"/>
    </row>
    <row r="44" ht="25.5" customHeight="1">
      <c r="A44" t="inlineStr">
        <is>
          <t>AT-003</t>
        </is>
      </c>
      <c r="B44" t="inlineStr">
        <is>
          <t>饮酒态度</t>
        </is>
      </c>
      <c r="C44" t="inlineStr">
        <is>
          <t>偶尔小酌</t>
        </is>
      </c>
      <c r="D44"/>
      <c r="E44"/>
      <c r="F44"/>
      <c r="G44"/>
      <c r="H44"/>
      <c r="I44"/>
      <c r="J44" t="inlineStr">
        <is>
          <t>0</t>
        </is>
      </c>
      <c r="K44"/>
      <c r="L44"/>
      <c r="M44" t="inlineStr">
        <is>
          <t>启用</t>
        </is>
      </c>
      <c r="N44" t="inlineStr">
        <is>
          <t>V1.0</t>
        </is>
      </c>
      <c r="O44"/>
      <c r="P44" s="4"/>
      <c r="Q44"/>
    </row>
    <row r="45" ht="25.5" customHeight="1">
      <c r="A45" t="inlineStr">
        <is>
          <t>AT-004</t>
        </is>
      </c>
      <c r="B45" t="inlineStr">
        <is>
          <t>饮酒态度</t>
        </is>
      </c>
      <c r="C45" t="inlineStr">
        <is>
          <t>担心失控</t>
        </is>
      </c>
      <c r="D45"/>
      <c r="E45"/>
      <c r="F45"/>
      <c r="G45"/>
      <c r="H45"/>
      <c r="I45"/>
      <c r="J45" t="inlineStr">
        <is>
          <t>0</t>
        </is>
      </c>
      <c r="K45"/>
      <c r="L45"/>
      <c r="M45" t="inlineStr">
        <is>
          <t>启用</t>
        </is>
      </c>
      <c r="N45" t="inlineStr">
        <is>
          <t>V1.0</t>
        </is>
      </c>
      <c r="O45"/>
      <c r="P45" s="4"/>
      <c r="Q45"/>
    </row>
    <row r="46" ht="25.5" customHeight="1">
      <c r="A46" t="inlineStr">
        <is>
          <t>AT-005</t>
        </is>
      </c>
      <c r="B46" t="inlineStr">
        <is>
          <t>饮酒态度</t>
        </is>
      </c>
      <c r="C46" t="inlineStr">
        <is>
          <t>不喜欢酒味</t>
        </is>
      </c>
      <c r="D46"/>
      <c r="E46"/>
      <c r="F46"/>
      <c r="G46"/>
      <c r="H46"/>
      <c r="I46"/>
      <c r="J46" t="inlineStr">
        <is>
          <t>0</t>
        </is>
      </c>
      <c r="K46"/>
      <c r="L46"/>
      <c r="M46" t="inlineStr">
        <is>
          <t>启用</t>
        </is>
      </c>
      <c r="N46" t="inlineStr">
        <is>
          <t>V1.0</t>
        </is>
      </c>
      <c r="O46"/>
      <c r="P46" s="4"/>
      <c r="Q46"/>
    </row>
    <row r="47" ht="25.5" customHeight="1">
      <c r="A47" t="inlineStr">
        <is>
          <t>AT-006</t>
        </is>
      </c>
      <c r="B47" t="inlineStr">
        <is>
          <t>饮酒态度</t>
        </is>
      </c>
      <c r="C47" t="inlineStr">
        <is>
          <t>不主动喝酒</t>
        </is>
      </c>
      <c r="D47"/>
      <c r="E47"/>
      <c r="F47"/>
      <c r="G47"/>
      <c r="H47"/>
      <c r="I47"/>
      <c r="J47" t="inlineStr">
        <is>
          <t>0</t>
        </is>
      </c>
      <c r="K47"/>
      <c r="L47"/>
      <c r="M47" t="inlineStr">
        <is>
          <t>启用</t>
        </is>
      </c>
      <c r="N47" t="inlineStr">
        <is>
          <t>V1.0</t>
        </is>
      </c>
      <c r="O47"/>
      <c r="P47" s="4"/>
      <c r="Q47"/>
    </row>
    <row r="48" ht="25.5" customHeight="1">
      <c r="A48" t="inlineStr">
        <is>
          <t>AT-007</t>
        </is>
      </c>
      <c r="B48" t="inlineStr">
        <is>
          <t>饮酒态度</t>
        </is>
      </c>
      <c r="C48" t="inlineStr">
        <is>
          <t>明确拒酒</t>
        </is>
      </c>
      <c r="D48"/>
      <c r="E48"/>
      <c r="F48"/>
      <c r="G48"/>
      <c r="H48"/>
      <c r="I48"/>
      <c r="J48" t="inlineStr">
        <is>
          <t>0</t>
        </is>
      </c>
      <c r="K48"/>
      <c r="L48"/>
      <c r="M48" t="inlineStr">
        <is>
          <t>启用</t>
        </is>
      </c>
      <c r="N48" t="inlineStr">
        <is>
          <t>V1.0</t>
        </is>
      </c>
      <c r="O48"/>
      <c r="P48" s="4"/>
      <c r="Q48"/>
    </row>
    <row r="49" ht="25.5" customHeight="1">
      <c r="A49" t="inlineStr">
        <is>
          <t>AT-008</t>
        </is>
      </c>
      <c r="B49" t="inlineStr">
        <is>
          <t>饮酒态度</t>
        </is>
      </c>
      <c r="C49" t="inlineStr">
        <is>
          <t>习惯高度酒</t>
        </is>
      </c>
      <c r="D49"/>
      <c r="E49"/>
      <c r="F49"/>
      <c r="G49"/>
      <c r="H49"/>
      <c r="I49"/>
      <c r="J49" t="inlineStr">
        <is>
          <t>0</t>
        </is>
      </c>
      <c r="K49"/>
      <c r="L49"/>
      <c r="M49" t="inlineStr">
        <is>
          <t>启用</t>
        </is>
      </c>
      <c r="N49" t="inlineStr">
        <is>
          <t>V1.0</t>
        </is>
      </c>
      <c r="O49"/>
      <c r="P49" s="4"/>
      <c r="Q49"/>
    </row>
    <row r="50" ht="25.5" customHeight="1">
      <c r="A50" t="inlineStr">
        <is>
          <t>CO-001</t>
        </is>
      </c>
      <c r="B50" t="inlineStr">
        <is>
          <t>产品顾虑</t>
        </is>
      </c>
      <c r="C50" t="inlineStr">
        <is>
          <t>单喝难入口</t>
        </is>
      </c>
      <c r="D50"/>
      <c r="E50"/>
      <c r="F50"/>
      <c r="G50"/>
      <c r="H50"/>
      <c r="I50"/>
      <c r="J50" t="inlineStr">
        <is>
          <t>1</t>
        </is>
      </c>
      <c r="K50"/>
      <c r="L50"/>
      <c r="M50" t="inlineStr">
        <is>
          <t>启用</t>
        </is>
      </c>
      <c r="N50" t="inlineStr">
        <is>
          <t>V1.0</t>
        </is>
      </c>
      <c r="O50"/>
      <c r="P50" s="4"/>
      <c r="Q50"/>
    </row>
    <row r="51" ht="25.5" customHeight="1">
      <c r="A51" t="inlineStr">
        <is>
          <t>CO-002</t>
        </is>
      </c>
      <c r="B51" t="inlineStr">
        <is>
          <t>产品顾虑</t>
        </is>
      </c>
      <c r="C51" t="inlineStr">
        <is>
          <t>口味偏甜</t>
        </is>
      </c>
      <c r="D51"/>
      <c r="E51"/>
      <c r="F51"/>
      <c r="G51"/>
      <c r="H51"/>
      <c r="I51"/>
      <c r="J51" t="inlineStr">
        <is>
          <t>1</t>
        </is>
      </c>
      <c r="K51"/>
      <c r="L51"/>
      <c r="M51" t="inlineStr">
        <is>
          <t>启用</t>
        </is>
      </c>
      <c r="N51" t="inlineStr">
        <is>
          <t>V1.0</t>
        </is>
      </c>
      <c r="O51"/>
      <c r="P51" s="4"/>
      <c r="Q51"/>
    </row>
    <row r="52" ht="25.5" customHeight="1">
      <c r="A52" t="inlineStr">
        <is>
          <t>CO-003</t>
        </is>
      </c>
      <c r="B52" t="inlineStr">
        <is>
          <t>产品顾虑</t>
        </is>
      </c>
      <c r="C52" t="inlineStr">
        <is>
          <t>药味或草本味</t>
        </is>
      </c>
      <c r="D52"/>
      <c r="E52"/>
      <c r="F52"/>
      <c r="G52"/>
      <c r="H52"/>
      <c r="I52"/>
      <c r="J52" t="inlineStr">
        <is>
          <t>1</t>
        </is>
      </c>
      <c r="K52"/>
      <c r="L52"/>
      <c r="M52" t="inlineStr">
        <is>
          <t>启用</t>
        </is>
      </c>
      <c r="N52" t="inlineStr">
        <is>
          <t>V1.0</t>
        </is>
      </c>
      <c r="O52"/>
      <c r="P52" s="4"/>
      <c r="Q52"/>
    </row>
    <row r="53" ht="25.5" customHeight="1">
      <c r="A53" t="inlineStr">
        <is>
          <t>CO-004</t>
        </is>
      </c>
      <c r="B53" t="inlineStr">
        <is>
          <t>产品顾虑</t>
        </is>
      </c>
      <c r="C53" t="inlineStr">
        <is>
          <t>苦涩后味</t>
        </is>
      </c>
      <c r="D53"/>
      <c r="E53"/>
      <c r="F53"/>
      <c r="G53"/>
      <c r="H53"/>
      <c r="I53"/>
      <c r="J53" t="inlineStr">
        <is>
          <t>1</t>
        </is>
      </c>
      <c r="K53"/>
      <c r="L53"/>
      <c r="M53" t="inlineStr">
        <is>
          <t>启用</t>
        </is>
      </c>
      <c r="N53" t="inlineStr">
        <is>
          <t>V1.0</t>
        </is>
      </c>
      <c r="O53"/>
      <c r="P53" s="4"/>
      <c r="Q53"/>
    </row>
    <row r="54" ht="25.5" customHeight="1">
      <c r="A54" t="inlineStr">
        <is>
          <t>CO-005</t>
        </is>
      </c>
      <c r="B54" t="inlineStr">
        <is>
          <t>产品顾虑</t>
        </is>
      </c>
      <c r="C54" t="inlineStr">
        <is>
          <t>酒精感明显</t>
        </is>
      </c>
      <c r="D54"/>
      <c r="E54"/>
      <c r="F54"/>
      <c r="G54"/>
      <c r="H54"/>
      <c r="I54"/>
      <c r="J54" t="inlineStr">
        <is>
          <t>1</t>
        </is>
      </c>
      <c r="K54"/>
      <c r="L54"/>
      <c r="M54" t="inlineStr">
        <is>
          <t>启用</t>
        </is>
      </c>
      <c r="N54" t="inlineStr">
        <is>
          <t>V1.0</t>
        </is>
      </c>
      <c r="O54"/>
      <c r="P54" s="4"/>
      <c r="Q54"/>
    </row>
    <row r="55" ht="25.5" customHeight="1">
      <c r="A55" t="inlineStr">
        <is>
          <t>CO-006</t>
        </is>
      </c>
      <c r="B55" t="inlineStr">
        <is>
          <t>产品顾虑</t>
        </is>
      </c>
      <c r="C55" t="inlineStr">
        <is>
          <t>辣喉</t>
        </is>
      </c>
      <c r="D55"/>
      <c r="E55"/>
      <c r="F55"/>
      <c r="G55"/>
      <c r="H55"/>
      <c r="I55"/>
      <c r="J55" t="inlineStr">
        <is>
          <t>1</t>
        </is>
      </c>
      <c r="K55"/>
      <c r="L55"/>
      <c r="M55" t="inlineStr">
        <is>
          <t>启用</t>
        </is>
      </c>
      <c r="N55" t="inlineStr">
        <is>
          <t>V1.0</t>
        </is>
      </c>
      <c r="O55"/>
      <c r="P55" s="4"/>
      <c r="Q55"/>
    </row>
    <row r="56" ht="25.5" customHeight="1">
      <c r="A56" t="inlineStr">
        <is>
          <t>CO-007</t>
        </is>
      </c>
      <c r="B56" t="inlineStr">
        <is>
          <t>产品顾虑</t>
        </is>
      </c>
      <c r="C56" t="inlineStr">
        <is>
          <t>容易上头</t>
        </is>
      </c>
      <c r="D56"/>
      <c r="E56"/>
      <c r="F56"/>
      <c r="G56"/>
      <c r="H56"/>
      <c r="I56"/>
      <c r="J56" t="inlineStr">
        <is>
          <t>1</t>
        </is>
      </c>
      <c r="K56"/>
      <c r="L56"/>
      <c r="M56" t="inlineStr">
        <is>
          <t>启用</t>
        </is>
      </c>
      <c r="N56" t="inlineStr">
        <is>
          <t>V1.0</t>
        </is>
      </c>
      <c r="O56"/>
      <c r="P56" s="4"/>
      <c r="Q56"/>
    </row>
    <row r="57" ht="25.5" customHeight="1">
      <c r="A57" t="inlineStr">
        <is>
          <t>CO-008</t>
        </is>
      </c>
      <c r="B57" t="inlineStr">
        <is>
          <t>产品顾虑</t>
        </is>
      </c>
      <c r="C57" t="inlineStr">
        <is>
          <t>第二天头疼</t>
        </is>
      </c>
      <c r="D57"/>
      <c r="E57"/>
      <c r="F57"/>
      <c r="G57"/>
      <c r="H57"/>
      <c r="I57"/>
      <c r="J57" t="inlineStr">
        <is>
          <t>1</t>
        </is>
      </c>
      <c r="K57"/>
      <c r="L57"/>
      <c r="M57" t="inlineStr">
        <is>
          <t>启用</t>
        </is>
      </c>
      <c r="N57" t="inlineStr">
        <is>
          <t>V1.0</t>
        </is>
      </c>
      <c r="O57"/>
      <c r="P57" s="4"/>
      <c r="Q57"/>
    </row>
    <row r="58" ht="25.5" customHeight="1">
      <c r="A58" t="inlineStr">
        <is>
          <t>CO-009</t>
        </is>
      </c>
      <c r="B58" t="inlineStr">
        <is>
          <t>产品顾虑</t>
        </is>
      </c>
      <c r="C58" t="inlineStr">
        <is>
          <t>风味融合不足</t>
        </is>
      </c>
      <c r="D58"/>
      <c r="E58"/>
      <c r="F58"/>
      <c r="G58"/>
      <c r="H58"/>
      <c r="I58"/>
      <c r="J58" t="inlineStr">
        <is>
          <t>1</t>
        </is>
      </c>
      <c r="K58"/>
      <c r="L58"/>
      <c r="M58" t="inlineStr">
        <is>
          <t>启用</t>
        </is>
      </c>
      <c r="N58" t="inlineStr">
        <is>
          <t>V1.0</t>
        </is>
      </c>
      <c r="O58"/>
      <c r="P58" s="4"/>
      <c r="Q58"/>
    </row>
    <row r="59" ht="25.5" customHeight="1">
      <c r="A59" t="inlineStr">
        <is>
          <t>CO-010</t>
        </is>
      </c>
      <c r="B59" t="inlineStr">
        <is>
          <t>产品顾虑</t>
        </is>
      </c>
      <c r="C59" t="inlineStr">
        <is>
          <t>配料不可信</t>
        </is>
      </c>
      <c r="D59"/>
      <c r="E59"/>
      <c r="F59"/>
      <c r="G59"/>
      <c r="H59"/>
      <c r="I59"/>
      <c r="J59" t="inlineStr">
        <is>
          <t>1</t>
        </is>
      </c>
      <c r="K59"/>
      <c r="L59"/>
      <c r="M59" t="inlineStr">
        <is>
          <t>启用</t>
        </is>
      </c>
      <c r="N59" t="inlineStr">
        <is>
          <t>V1.0</t>
        </is>
      </c>
      <c r="O59"/>
      <c r="P59" s="4"/>
      <c r="Q59"/>
    </row>
    <row r="60" ht="25.5" customHeight="1">
      <c r="A60" t="inlineStr">
        <is>
          <t>CO-011</t>
        </is>
      </c>
      <c r="B60" t="inlineStr">
        <is>
          <t>产品顾虑</t>
        </is>
      </c>
      <c r="C60" t="inlineStr">
        <is>
          <t>价格偏高</t>
        </is>
      </c>
      <c r="D60"/>
      <c r="E60"/>
      <c r="F60"/>
      <c r="G60"/>
      <c r="H60"/>
      <c r="I60"/>
      <c r="J60" t="inlineStr">
        <is>
          <t>1</t>
        </is>
      </c>
      <c r="K60"/>
      <c r="L60"/>
      <c r="M60" t="inlineStr">
        <is>
          <t>启用</t>
        </is>
      </c>
      <c r="N60" t="inlineStr">
        <is>
          <t>V1.0</t>
        </is>
      </c>
      <c r="O60"/>
      <c r="P60" s="4"/>
      <c r="Q60"/>
    </row>
    <row r="61" ht="25.5" customHeight="1">
      <c r="A61" t="inlineStr">
        <is>
          <t>CO-012</t>
        </is>
      </c>
      <c r="B61" t="inlineStr">
        <is>
          <t>产品顾虑</t>
        </is>
      </c>
      <c r="C61" t="inlineStr">
        <is>
          <t>不知道怎么选择</t>
        </is>
      </c>
      <c r="D61"/>
      <c r="E61"/>
      <c r="F61"/>
      <c r="G61"/>
      <c r="H61"/>
      <c r="I61"/>
      <c r="J61" t="inlineStr">
        <is>
          <t>1</t>
        </is>
      </c>
      <c r="K61"/>
      <c r="L61"/>
      <c r="M61" t="inlineStr">
        <is>
          <t>启用</t>
        </is>
      </c>
      <c r="N61" t="inlineStr">
        <is>
          <t>V1.0</t>
        </is>
      </c>
      <c r="O61"/>
      <c r="P61" s="4"/>
      <c r="Q61"/>
    </row>
    <row r="62" ht="25.5" customHeight="1">
      <c r="A62" t="inlineStr">
        <is>
          <t>CO-013</t>
        </is>
      </c>
      <c r="B62" t="inlineStr">
        <is>
          <t>产品顾虑</t>
        </is>
      </c>
      <c r="C62" t="inlineStr">
        <is>
          <t>需要调饮</t>
        </is>
      </c>
      <c r="D62"/>
      <c r="E62"/>
      <c r="F62"/>
      <c r="G62"/>
      <c r="H62"/>
      <c r="I62"/>
      <c r="J62" t="inlineStr">
        <is>
          <t>1</t>
        </is>
      </c>
      <c r="K62"/>
      <c r="L62"/>
      <c r="M62" t="inlineStr">
        <is>
          <t>启用</t>
        </is>
      </c>
      <c r="N62" t="inlineStr">
        <is>
          <t>V1.0</t>
        </is>
      </c>
      <c r="O62"/>
      <c r="P62" s="4"/>
      <c r="Q62"/>
    </row>
    <row r="63" ht="25.5" customHeight="1">
      <c r="A63" t="inlineStr">
        <is>
          <t>CF-001</t>
        </is>
      </c>
      <c r="B63" t="inlineStr">
        <is>
          <t>核心冲突</t>
        </is>
      </c>
      <c r="C63" t="inlineStr">
        <is>
          <t>想微醺但不想真醉</t>
        </is>
      </c>
      <c r="D63"/>
      <c r="E63"/>
      <c r="F63"/>
      <c r="G63"/>
      <c r="H63"/>
      <c r="I63"/>
      <c r="J63" t="inlineStr">
        <is>
          <t>1</t>
        </is>
      </c>
      <c r="K63"/>
      <c r="L63"/>
      <c r="M63" t="inlineStr">
        <is>
          <t>启用</t>
        </is>
      </c>
      <c r="N63" t="inlineStr">
        <is>
          <t>V1.0</t>
        </is>
      </c>
      <c r="O63"/>
      <c r="P63" s="4"/>
      <c r="Q63"/>
    </row>
    <row r="64" ht="25.5" customHeight="1">
      <c r="A64" t="inlineStr">
        <is>
          <t>CF-002</t>
        </is>
      </c>
      <c r="B64" t="inlineStr">
        <is>
          <t>核心冲突</t>
        </is>
      </c>
      <c r="C64" t="inlineStr">
        <is>
          <t>想参与社交但不想被劝酒</t>
        </is>
      </c>
      <c r="D64"/>
      <c r="E64"/>
      <c r="F64"/>
      <c r="G64"/>
      <c r="H64"/>
      <c r="I64"/>
      <c r="J64" t="inlineStr">
        <is>
          <t>1</t>
        </is>
      </c>
      <c r="K64"/>
      <c r="L64"/>
      <c r="M64" t="inlineStr">
        <is>
          <t>启用</t>
        </is>
      </c>
      <c r="N64" t="inlineStr">
        <is>
          <t>V1.0</t>
        </is>
      </c>
      <c r="O64"/>
      <c r="P64" s="4"/>
      <c r="Q64"/>
    </row>
    <row r="65" ht="25.5" customHeight="1">
      <c r="A65" t="inlineStr">
        <is>
          <t>CF-003</t>
        </is>
      </c>
      <c r="B65" t="inlineStr">
        <is>
          <t>核心冲突</t>
        </is>
      </c>
      <c r="C65" t="inlineStr">
        <is>
          <t>想有氛围但不想失去边界</t>
        </is>
      </c>
      <c r="D65"/>
      <c r="E65"/>
      <c r="F65"/>
      <c r="G65"/>
      <c r="H65"/>
      <c r="I65"/>
      <c r="J65" t="inlineStr">
        <is>
          <t>1</t>
        </is>
      </c>
      <c r="K65"/>
      <c r="L65"/>
      <c r="M65" t="inlineStr">
        <is>
          <t>启用</t>
        </is>
      </c>
      <c r="N65" t="inlineStr">
        <is>
          <t>V1.0</t>
        </is>
      </c>
      <c r="O65"/>
      <c r="P65" s="4"/>
      <c r="Q65"/>
    </row>
    <row r="66" ht="25.5" customHeight="1">
      <c r="A66" t="inlineStr">
        <is>
          <t>CF-004</t>
        </is>
      </c>
      <c r="B66" t="inlineStr">
        <is>
          <t>核心冲突</t>
        </is>
      </c>
      <c r="C66" t="inlineStr">
        <is>
          <t>想好入口但害怕怪味</t>
        </is>
      </c>
      <c r="D66"/>
      <c r="E66"/>
      <c r="F66"/>
      <c r="G66"/>
      <c r="H66"/>
      <c r="I66"/>
      <c r="J66" t="inlineStr">
        <is>
          <t>1</t>
        </is>
      </c>
      <c r="K66"/>
      <c r="L66"/>
      <c r="M66" t="inlineStr">
        <is>
          <t>启用</t>
        </is>
      </c>
      <c r="N66" t="inlineStr">
        <is>
          <t>V1.0</t>
        </is>
      </c>
      <c r="O66"/>
      <c r="P66" s="4"/>
      <c r="Q66"/>
    </row>
    <row r="67" ht="25.5" customHeight="1">
      <c r="A67" t="inlineStr">
        <is>
          <t>CF-005</t>
        </is>
      </c>
      <c r="B67" t="inlineStr">
        <is>
          <t>核心冲突</t>
        </is>
      </c>
      <c r="C67" t="inlineStr">
        <is>
          <t>想放松但不想承担饮后负担</t>
        </is>
      </c>
      <c r="D67"/>
      <c r="E67"/>
      <c r="F67"/>
      <c r="G67"/>
      <c r="H67"/>
      <c r="I67"/>
      <c r="J67" t="inlineStr">
        <is>
          <t>1</t>
        </is>
      </c>
      <c r="K67"/>
      <c r="L67"/>
      <c r="M67" t="inlineStr">
        <is>
          <t>启用</t>
        </is>
      </c>
      <c r="N67" t="inlineStr">
        <is>
          <t>V1.0</t>
        </is>
      </c>
      <c r="O67"/>
      <c r="P67" s="4"/>
      <c r="Q67"/>
    </row>
    <row r="68" ht="25.5" customHeight="1">
      <c r="A68" t="inlineStr">
        <is>
          <t>CF-006</t>
        </is>
      </c>
      <c r="B68" t="inlineStr">
        <is>
          <t>核心冲突</t>
        </is>
      </c>
      <c r="C68" t="inlineStr">
        <is>
          <t>想尝试但害怕踩雷</t>
        </is>
      </c>
      <c r="D68"/>
      <c r="E68"/>
      <c r="F68"/>
      <c r="G68"/>
      <c r="H68"/>
      <c r="I68"/>
      <c r="J68" t="inlineStr">
        <is>
          <t>1</t>
        </is>
      </c>
      <c r="K68"/>
      <c r="L68"/>
      <c r="M68" t="inlineStr">
        <is>
          <t>启用</t>
        </is>
      </c>
      <c r="N68" t="inlineStr">
        <is>
          <t>V1.0</t>
        </is>
      </c>
      <c r="O68"/>
      <c r="P68" s="4"/>
      <c r="Q68"/>
    </row>
    <row r="69" ht="25.5" customHeight="1">
      <c r="A69" t="inlineStr">
        <is>
          <t>CF-007</t>
        </is>
      </c>
      <c r="B69" t="inlineStr">
        <is>
          <t>核心冲突</t>
        </is>
      </c>
      <c r="C69" t="inlineStr">
        <is>
          <t>想要颜值但口味必须可信</t>
        </is>
      </c>
      <c r="D69"/>
      <c r="E69"/>
      <c r="F69"/>
      <c r="G69"/>
      <c r="H69"/>
      <c r="I69"/>
      <c r="J69" t="inlineStr">
        <is>
          <t>1</t>
        </is>
      </c>
      <c r="K69"/>
      <c r="L69"/>
      <c r="M69" t="inlineStr">
        <is>
          <t>启用</t>
        </is>
      </c>
      <c r="N69" t="inlineStr">
        <is>
          <t>V1.0</t>
        </is>
      </c>
      <c r="O69"/>
      <c r="P69" s="4"/>
      <c r="Q69"/>
    </row>
    <row r="70" ht="25.5" customHeight="1">
      <c r="A70" t="inlineStr">
        <is>
          <t>CF-008</t>
        </is>
      </c>
      <c r="B70" t="inlineStr">
        <is>
          <t>核心冲突</t>
        </is>
      </c>
      <c r="C70" t="inlineStr">
        <is>
          <t>想调饮分享但不想过于复杂</t>
        </is>
      </c>
      <c r="D70"/>
      <c r="E70"/>
      <c r="F70"/>
      <c r="G70"/>
      <c r="H70"/>
      <c r="I70"/>
      <c r="J70" t="inlineStr">
        <is>
          <t>1</t>
        </is>
      </c>
      <c r="K70"/>
      <c r="L70"/>
      <c r="M70" t="inlineStr">
        <is>
          <t>启用</t>
        </is>
      </c>
      <c r="N70" t="inlineStr">
        <is>
          <t>V1.0</t>
        </is>
      </c>
      <c r="O70"/>
      <c r="P70" s="4"/>
      <c r="Q70"/>
    </row>
  </sheetData>
  <dataValidations count="2">
    <dataValidation allowBlank="false" sqref="B2:B69" type="list">
      <formula1>"用户类型,用户场景,真实情绪,身份需求,用户想要,用户拒绝,饮酒态度,产品顾虑,品牌反馈,核心冲突"</formula1>
    </dataValidation>
    <dataValidation allowBlank="false" sqref="M2:M69" type="list">
      <formula1>"草稿,启用,待修改,停用"</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s>
  <sheetData>
    <row r="1" ht="13" customHeight="1">
      <c r="A1" s="1" t="inlineStr">
        <is>
          <t>分析编号</t>
        </is>
      </c>
      <c r="B1" s="1" t="inlineStr">
        <is>
          <t>清洗后文本</t>
        </is>
      </c>
      <c r="C1" s="1" t="inlineStr">
        <is>
          <t>用户类型</t>
        </is>
      </c>
      <c r="D1" s="1" t="inlineStr">
        <is>
          <t>用户场景</t>
        </is>
      </c>
      <c r="E1" s="1" t="inlineStr">
        <is>
          <t>表层需求</t>
        </is>
      </c>
      <c r="F1" s="1" t="inlineStr">
        <is>
          <t>真实情绪</t>
        </is>
      </c>
      <c r="G1" s="1" t="inlineStr">
        <is>
          <t>身份需求</t>
        </is>
      </c>
      <c r="H1" s="1" t="inlineStr">
        <is>
          <t>用户想要</t>
        </is>
      </c>
      <c r="I1" s="1" t="inlineStr">
        <is>
          <t>用户拒绝</t>
        </is>
      </c>
      <c r="J1" s="1" t="inlineStr">
        <is>
          <t>核心冲突</t>
        </is>
      </c>
      <c r="K1" s="1" t="inlineStr">
        <is>
          <t>饮酒态度</t>
        </is>
      </c>
      <c r="L1" s="1" t="inlineStr">
        <is>
          <t>产品顾虑</t>
        </is>
      </c>
      <c r="M1" s="1" t="inlineStr">
        <is>
          <t>目标品牌反馈</t>
        </is>
      </c>
      <c r="N1" s="1" t="inlineStr">
        <is>
          <t>竞品品牌</t>
        </is>
      </c>
      <c r="O1" s="1" t="inlineStr">
        <is>
          <t>竞品反馈</t>
        </is>
      </c>
      <c r="P1" s="1" t="inlineStr">
        <is>
          <t>局部品牌启发</t>
        </is>
      </c>
      <c r="Q1" s="1" t="inlineStr">
        <is>
          <t>有效证据原句</t>
        </is>
      </c>
      <c r="R1" s="1" t="inlineStr">
        <is>
          <t>信息有效等级</t>
        </is>
      </c>
      <c r="S1" s="1" t="inlineStr">
        <is>
          <t>AI置信度</t>
        </is>
      </c>
      <c r="T1" s="1" t="inlineStr">
        <is>
          <t>AI分析版本</t>
        </is>
      </c>
      <c r="U1" s="1" t="inlineStr">
        <is>
          <t>人工复核结果</t>
        </is>
      </c>
      <c r="V1" s="1" t="inlineStr">
        <is>
          <t>人工修改内容</t>
        </is>
      </c>
      <c r="W1" s="1" t="inlineStr">
        <is>
          <t>复核人员</t>
        </is>
      </c>
      <c r="X1" s="1" t="inlineStr">
        <is>
          <t>语料编号</t>
        </is>
      </c>
      <c r="Y1" s="1" t="inlineStr">
        <is>
          <t>对应洞察编号</t>
        </is>
      </c>
      <c r="Z1" s="1" t="inlineStr">
        <is>
          <t>匹配洞察编号</t>
        </is>
      </c>
      <c r="AA1" s="1" t="inlineStr">
        <is>
          <t>增量关系</t>
        </is>
      </c>
      <c r="AB1" s="1" t="inlineStr">
        <is>
          <t>新增价值</t>
        </is>
      </c>
      <c r="AC1" s="1" t="inlineStr">
        <is>
          <t>修正建议</t>
        </is>
      </c>
      <c r="AD1" s="1" t="inlineStr">
        <is>
          <t>是否进入新需求候选池</t>
        </is>
      </c>
      <c r="AE1" s="1" t="inlineStr">
        <is>
          <t>候选需求名称</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s>
  <sheetData>
    <row r="1" ht="13" customHeight="1">
      <c r="A1" s="1" t="inlineStr">
        <is>
          <t>洞察编号</t>
        </is>
      </c>
      <c r="B1" s="1" t="inlineStr">
        <is>
          <t>洞察名称</t>
        </is>
      </c>
      <c r="C1" s="1" t="inlineStr">
        <is>
          <t>核心冲突描述</t>
        </is>
      </c>
      <c r="D1" s="1" t="inlineStr">
        <is>
          <t>核心用户类型</t>
        </is>
      </c>
      <c r="E1" s="1" t="inlineStr">
        <is>
          <t>主要使用场景</t>
        </is>
      </c>
      <c r="F1" s="1" t="inlineStr">
        <is>
          <t>主要情绪</t>
        </is>
      </c>
      <c r="G1" s="1" t="inlineStr">
        <is>
          <t>身份需求</t>
        </is>
      </c>
      <c r="H1" s="1" t="inlineStr">
        <is>
          <t>支持语料数量</t>
        </is>
      </c>
      <c r="I1" s="1" t="inlineStr">
        <is>
          <t>独立用户数量</t>
        </is>
      </c>
      <c r="J1" s="1" t="inlineStr">
        <is>
          <t>语料占比</t>
        </is>
      </c>
      <c r="K1" s="1" t="inlineStr">
        <is>
          <t>来源平台分布</t>
        </is>
      </c>
      <c r="L1" s="1" t="inlineStr">
        <is>
          <t>代表性原话</t>
        </is>
      </c>
      <c r="M1" s="1" t="inlineStr">
        <is>
          <t>反例数量</t>
        </is>
      </c>
      <c r="N1" s="1" t="inlineStr">
        <is>
          <t>反例说明</t>
        </is>
      </c>
      <c r="O1" s="1" t="inlineStr">
        <is>
          <t>可能的其他解释</t>
        </is>
      </c>
      <c r="P1" s="1" t="inlineStr">
        <is>
          <t>洞察置信度</t>
        </is>
      </c>
      <c r="Q1" s="1" t="inlineStr">
        <is>
          <t>对市场的意义</t>
        </is>
      </c>
      <c r="R1" s="1" t="inlineStr">
        <is>
          <t>对目标品牌的意义</t>
        </is>
      </c>
      <c r="S1" s="1" t="inlineStr">
        <is>
          <t>适用业务模块</t>
        </is>
      </c>
      <c r="T1" s="1" t="inlineStr">
        <is>
          <t>当前状态</t>
        </is>
      </c>
      <c r="U1" s="1" t="inlineStr">
        <is>
          <t>人工判断</t>
        </is>
      </c>
      <c r="V1" s="1" t="inlineStr">
        <is>
          <t>对应分析记录</t>
        </is>
      </c>
      <c r="W1" s="1" t="inlineStr">
        <is>
          <t>支持语料编号</t>
        </is>
      </c>
      <c r="X1" s="1" t="inlineStr">
        <is>
          <t>反例语料编号</t>
        </is>
      </c>
      <c r="Y1" s="1" t="inlineStr">
        <is>
          <t>聚类版本</t>
        </is>
      </c>
      <c r="Z1" s="1" t="inlineStr">
        <is>
          <t>生成日期</t>
        </is>
      </c>
      <c r="AA1" s="1" t="inlineStr">
        <is>
          <t>相对上一版本变化</t>
        </is>
      </c>
      <c r="AB1" s="1" t="inlineStr">
        <is>
          <t>变化原因</t>
        </is>
      </c>
      <c r="AC1" s="1" t="inlineStr">
        <is>
          <t>关联叙事机会</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13" customHeight="1">
      <c r="A1" s="1" t="inlineStr">
        <is>
          <t>机会编号</t>
        </is>
      </c>
      <c r="B1" s="1" t="inlineStr">
        <is>
          <t>叙事机会名称</t>
        </is>
      </c>
      <c r="C1" s="1" t="inlineStr">
        <is>
          <t>支撑语料数量</t>
        </is>
      </c>
      <c r="D1" s="1" t="inlineStr">
        <is>
          <t>核心人群</t>
        </is>
      </c>
      <c r="E1" s="1" t="inlineStr">
        <is>
          <t>核心用户冲突</t>
        </is>
      </c>
      <c r="F1" s="1" t="inlineStr">
        <is>
          <t>未被满足的价值</t>
        </is>
      </c>
      <c r="G1" s="1" t="inlineStr">
        <is>
          <t>目标品牌现有资产</t>
        </is>
      </c>
      <c r="H1" s="1" t="inlineStr">
        <is>
          <t>目标品牌角色</t>
        </is>
      </c>
      <c r="I1" s="1" t="inlineStr">
        <is>
          <t>竞品已占据方向</t>
        </is>
      </c>
      <c r="J1" s="1" t="inlineStr">
        <is>
          <t>竞品未解决问题</t>
        </is>
      </c>
      <c r="K1" s="1" t="inlineStr">
        <is>
          <t>品牌差异来源</t>
        </is>
      </c>
      <c r="L1" s="1" t="inlineStr">
        <is>
          <t>候选品牌世界观</t>
        </is>
      </c>
      <c r="M1" s="1" t="inlineStr">
        <is>
          <t>候选品牌主张</t>
        </is>
      </c>
      <c r="N1" s="1" t="inlineStr">
        <is>
          <t>场景意义</t>
        </is>
      </c>
      <c r="O1" s="1" t="inlineStr">
        <is>
          <t>内容母题</t>
        </is>
      </c>
      <c r="P1" s="1" t="inlineStr">
        <is>
          <t>Campaign Idea</t>
        </is>
      </c>
      <c r="Q1" s="1" t="inlineStr">
        <is>
          <t>产品或体验前提</t>
        </is>
      </c>
      <c r="R1" s="1" t="inlineStr">
        <is>
          <t>不适合表达的方向</t>
        </is>
      </c>
      <c r="S1" s="1" t="inlineStr">
        <is>
          <t>反例与潜在风险</t>
        </is>
      </c>
      <c r="T1" s="1" t="inlineStr">
        <is>
          <t>数据局限</t>
        </is>
      </c>
      <c r="U1" s="1" t="inlineStr">
        <is>
          <t>生成版本</t>
        </is>
      </c>
      <c r="V1" s="1" t="inlineStr">
        <is>
          <t>当前状态</t>
        </is>
      </c>
      <c r="W1" s="1" t="inlineStr">
        <is>
          <t>人工判断</t>
        </is>
      </c>
      <c r="X1" s="1" t="inlineStr">
        <is>
          <t>支撑洞察编号</t>
        </is>
      </c>
      <c r="Y1" s="1" t="inlineStr">
        <is>
          <t>支撑语料编号</t>
        </is>
      </c>
      <c r="Z1" s="1" t="inlineStr">
        <is>
          <t>关联压力测试</t>
        </is>
      </c>
      <c r="AA1" s="1" t="inlineStr">
        <is>
          <t>关联反模板检查</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测试记录编号</t>
        </is>
      </c>
      <c r="B1" s="1" t="inlineStr">
        <is>
          <t>叙事机会名称</t>
        </is>
      </c>
      <c r="C1" s="1" t="inlineStr">
        <is>
          <t>测试类型</t>
        </is>
      </c>
      <c r="D1" s="1" t="inlineStr">
        <is>
          <t>核心测试问题</t>
        </is>
      </c>
      <c r="E1" s="1" t="inlineStr">
        <is>
          <t>支持证据</t>
        </is>
      </c>
      <c r="F1" s="1" t="inlineStr">
        <is>
          <t>反对证据</t>
        </is>
      </c>
      <c r="G1" s="1" t="inlineStr">
        <is>
          <t>测试评分</t>
        </is>
      </c>
      <c r="H1" s="1" t="inlineStr">
        <is>
          <t>通过标准</t>
        </is>
      </c>
      <c r="I1" s="1" t="inlineStr">
        <is>
          <t>测试结果</t>
        </is>
      </c>
      <c r="J1" s="1" t="inlineStr">
        <is>
          <t>主要问题</t>
        </is>
      </c>
      <c r="K1" s="1" t="inlineStr">
        <is>
          <t>修改建议</t>
        </is>
      </c>
      <c r="L1" s="1" t="inlineStr">
        <is>
          <t>修改后方向</t>
        </is>
      </c>
      <c r="M1" s="1" t="inlineStr">
        <is>
          <t>测试人员</t>
        </is>
      </c>
      <c r="N1" s="1" t="inlineStr">
        <is>
          <t>复核人员</t>
        </is>
      </c>
      <c r="O1" s="1" t="inlineStr">
        <is>
          <t>测试版本</t>
        </is>
      </c>
      <c r="P1" s="1" t="inlineStr">
        <is>
          <t>最终处理</t>
        </is>
      </c>
      <c r="Q1" s="1" t="inlineStr">
        <is>
          <t>机会编号</t>
        </is>
      </c>
      <c r="R1" s="1" t="inlineStr">
        <is>
          <t>测试权重</t>
        </is>
      </c>
      <c r="S1" s="1" t="inlineStr">
        <is>
          <t>加权得分</t>
        </is>
      </c>
      <c r="T1" s="1" t="inlineStr">
        <is>
          <t>是否触发一票否决</t>
        </is>
      </c>
      <c r="U1" s="1" t="inlineStr">
        <is>
          <t>综合得分</t>
        </is>
      </c>
      <c r="V1" s="1" t="inlineStr">
        <is>
          <t>是否进入小范围验证</t>
        </is>
      </c>
    </row>
    <row r="2" ht="25.5" customHeight="1">
      <c r="A2" t="inlineStr">
        <is>
          <t>TPL-001</t>
        </is>
      </c>
      <c r="B2"/>
      <c r="C2" t="inlineStr">
        <is>
          <t>证据充分性测试</t>
        </is>
      </c>
      <c r="D2" t="inlineStr">
        <is>
          <t>该叙事方向是否有足够多的语料证据支持？证据是否来自多个独立来源？是否存在明显的样本偏差？</t>
        </is>
      </c>
      <c r="E2"/>
      <c r="F2"/>
      <c r="G2"/>
      <c r="H2"/>
      <c r="I2" t="inlineStr">
        <is>
          <t>待测试</t>
        </is>
      </c>
      <c r="J2"/>
      <c r="K2"/>
      <c r="L2"/>
      <c r="M2"/>
      <c r="N2"/>
      <c r="O2" t="inlineStr">
        <is>
          <t>V1.0</t>
        </is>
      </c>
      <c r="P2"/>
      <c r="Q2"/>
      <c r="R2"/>
      <c r="S2" t="inlineStr">
        <is>
          <t>0</t>
        </is>
      </c>
      <c r="T2"/>
      <c r="U2"/>
      <c r="V2"/>
    </row>
    <row r="3" ht="25.5" customHeight="1">
      <c r="A3" t="inlineStr">
        <is>
          <t>TPL-002</t>
        </is>
      </c>
      <c r="B3"/>
      <c r="C3" t="inlineStr">
        <is>
          <t>用户冲突真实性测试</t>
        </is>
      </c>
      <c r="D3" t="inlineStr">
        <is>
          <t>该方向所基于的用户冲突是否真实存在？是否有足够的真实语料佐证？冲突的强度和普遍性如何？</t>
        </is>
      </c>
      <c r="E3"/>
      <c r="F3"/>
      <c r="G3"/>
      <c r="H3"/>
      <c r="I3" t="inlineStr">
        <is>
          <t>待测试</t>
        </is>
      </c>
      <c r="J3"/>
      <c r="K3"/>
      <c r="L3"/>
      <c r="M3"/>
      <c r="N3"/>
      <c r="O3" t="inlineStr">
        <is>
          <t>V1.0</t>
        </is>
      </c>
      <c r="P3"/>
      <c r="Q3"/>
      <c r="R3"/>
      <c r="S3" t="inlineStr">
        <is>
          <t>0</t>
        </is>
      </c>
      <c r="T3"/>
      <c r="U3"/>
      <c r="V3"/>
    </row>
    <row r="4" ht="25.5" customHeight="1">
      <c r="A4" t="inlineStr">
        <is>
          <t>TPL-003</t>
        </is>
      </c>
      <c r="B4"/>
      <c r="C4" t="inlineStr">
        <is>
          <t>品牌资产适配性测试</t>
        </is>
      </c>
      <c r="D4" t="inlineStr">
        <is>
          <t>该叙事方向是否与目标品牌的现有资产、调性、产品特点相匹配？品牌是否有能力支撑这个方向？</t>
        </is>
      </c>
      <c r="E4"/>
      <c r="F4"/>
      <c r="G4"/>
      <c r="H4"/>
      <c r="I4" t="inlineStr">
        <is>
          <t>待测试</t>
        </is>
      </c>
      <c r="J4"/>
      <c r="K4"/>
      <c r="L4"/>
      <c r="M4"/>
      <c r="N4"/>
      <c r="O4" t="inlineStr">
        <is>
          <t>V1.0</t>
        </is>
      </c>
      <c r="P4"/>
      <c r="Q4"/>
      <c r="R4"/>
      <c r="S4" t="inlineStr">
        <is>
          <t>0</t>
        </is>
      </c>
      <c r="T4"/>
      <c r="U4"/>
      <c r="V4"/>
    </row>
    <row r="5" ht="25.5" customHeight="1">
      <c r="A5" t="inlineStr">
        <is>
          <t>TPL-004</t>
        </is>
      </c>
      <c r="B5"/>
      <c r="C5" t="inlineStr">
        <is>
          <t>竞品替换性测试</t>
        </is>
      </c>
      <c r="D5" t="inlineStr">
        <is>
          <t>将品牌替换为竞品后，该叙事方向是否仍然成立？是否具有品牌独特性和不可替代性？</t>
        </is>
      </c>
      <c r="E5"/>
      <c r="F5"/>
      <c r="G5"/>
      <c r="H5"/>
      <c r="I5" t="inlineStr">
        <is>
          <t>待测试</t>
        </is>
      </c>
      <c r="J5"/>
      <c r="K5"/>
      <c r="L5"/>
      <c r="M5"/>
      <c r="N5"/>
      <c r="O5" t="inlineStr">
        <is>
          <t>V1.0</t>
        </is>
      </c>
      <c r="P5"/>
      <c r="Q5"/>
      <c r="R5"/>
      <c r="S5" t="inlineStr">
        <is>
          <t>0</t>
        </is>
      </c>
      <c r="T5"/>
      <c r="U5"/>
      <c r="V5"/>
    </row>
    <row r="6" ht="25.5" customHeight="1">
      <c r="A6" t="inlineStr">
        <is>
          <t>TPL-005</t>
        </is>
      </c>
      <c r="B6"/>
      <c r="C6" t="inlineStr">
        <is>
          <t>小范围可验证性测试</t>
        </is>
      </c>
      <c r="D6" t="inlineStr">
        <is>
          <t>该叙事方向是否可以通过小范围测试快速验证？验证成本是否可控？验证周期有多长？</t>
        </is>
      </c>
      <c r="E6"/>
      <c r="F6"/>
      <c r="G6"/>
      <c r="H6"/>
      <c r="I6" t="inlineStr">
        <is>
          <t>待测试</t>
        </is>
      </c>
      <c r="J6"/>
      <c r="K6"/>
      <c r="L6"/>
      <c r="M6"/>
      <c r="N6"/>
      <c r="O6" t="inlineStr">
        <is>
          <t>V1.0</t>
        </is>
      </c>
      <c r="P6"/>
      <c r="Q6"/>
      <c r="R6"/>
      <c r="S6" t="inlineStr">
        <is>
          <t>0</t>
        </is>
      </c>
      <c r="T6"/>
      <c r="U6"/>
      <c r="V6"/>
    </row>
  </sheetData>
  <dataValidations count="3">
    <dataValidation allowBlank="false" sqref="C2:C5" type="list">
      <formula1>"证据充分性测试,用户冲突真实性测试,品牌资产适配性测试,竞品替换性测试,小范围可验证性测试"</formula1>
    </dataValidation>
    <dataValidation allowBlank="false" sqref="I2:I5" type="list">
      <formula1>"通过,有条件通过,不通过,待测试"</formula1>
    </dataValidation>
    <dataValidation allowBlank="false" sqref="P2:P5" type="list">
      <formula1>"保留,修改,淘汰,进入小范围验证"</formula1>
    </dataValidation>
  </dataValidations>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s>
  <sheetData>
    <row r="1" ht="13" customHeight="1">
      <c r="A1" s="1" t="inlineStr">
        <is>
          <t>检查编号</t>
        </is>
      </c>
      <c r="B1" s="1" t="inlineStr">
        <is>
          <t>检查文本</t>
        </is>
      </c>
      <c r="C1" s="1" t="inlineStr">
        <is>
          <t>文本所属部分</t>
        </is>
      </c>
      <c r="D1" s="1" t="inlineStr">
        <is>
          <t>触发词</t>
        </is>
      </c>
      <c r="E1" s="1" t="inlineStr">
        <is>
          <t>问题类型</t>
        </is>
      </c>
      <c r="F1" s="1" t="inlineStr">
        <is>
          <t>解决了什么用户冲突</t>
        </is>
      </c>
      <c r="G1" s="1" t="inlineStr">
        <is>
          <t>对应什么真实场景</t>
        </is>
      </c>
      <c r="H1" s="1" t="inlineStr">
        <is>
          <t>与竞品有什么不同</t>
        </is>
      </c>
      <c r="I1" s="1" t="inlineStr">
        <is>
          <t>为什么必须选择目标品牌</t>
        </is>
      </c>
      <c r="J1" s="1" t="inlineStr">
        <is>
          <t>支撑语料编号</t>
        </is>
      </c>
      <c r="K1" s="1" t="inlineStr">
        <is>
          <t>是否存在人群排斥</t>
        </is>
      </c>
      <c r="L1" s="1" t="inlineStr">
        <is>
          <t>是否存在过度承诺</t>
        </is>
      </c>
      <c r="M1" s="1" t="inlineStr">
        <is>
          <t>风险等级</t>
        </is>
      </c>
      <c r="N1" s="1" t="inlineStr">
        <is>
          <t>AI检查结果</t>
        </is>
      </c>
      <c r="O1" s="1" t="inlineStr">
        <is>
          <t>修改建议</t>
        </is>
      </c>
      <c r="P1" s="1" t="inlineStr">
        <is>
          <t>修改后文本</t>
        </is>
      </c>
      <c r="Q1" s="1" t="inlineStr">
        <is>
          <t>人工处理结果</t>
        </is>
      </c>
      <c r="R1" s="1" t="inlineStr">
        <is>
          <t>处理人员</t>
        </is>
      </c>
      <c r="S1" s="1" t="inlineStr">
        <is>
          <t>检查版本</t>
        </is>
      </c>
      <c r="T1" s="1" t="inlineStr">
        <is>
          <t>机会编号</t>
        </is>
      </c>
      <c r="U1" s="1" t="inlineStr">
        <is>
          <t>命中规则编号</t>
        </is>
      </c>
      <c r="V1" s="1" t="inlineStr">
        <is>
          <t>竞品替换测试结果</t>
        </is>
      </c>
      <c r="W1" s="1" t="inlineStr">
        <is>
          <t>证据回溯是否完整</t>
        </is>
      </c>
      <c r="X1" s="1" t="inlineStr">
        <is>
          <t>是否退回重新生成</t>
        </is>
      </c>
    </row>
    <row r="2" ht="25.5" customHeight="1">
      <c r="A2" t="inlineStr">
        <is>
          <t>RULE-001</t>
        </is>
      </c>
      <c r="B2"/>
      <c r="C2"/>
      <c r="D2" t="inlineStr">
        <is>
          <t>国风</t>
        </is>
      </c>
      <c r="E2" t="inlineStr">
        <is>
          <t>空泛表达</t>
        </is>
      </c>
      <c r="F2"/>
      <c r="G2"/>
      <c r="H2"/>
      <c r="I2"/>
      <c r="J2"/>
      <c r="K2"/>
      <c r="L2"/>
      <c r="M2" t="inlineStr">
        <is>
          <t>中</t>
        </is>
      </c>
      <c r="N2" t="inlineStr">
        <is>
          <t>建议改写</t>
        </is>
      </c>
      <c r="O2"/>
      <c r="P2"/>
      <c r="Q2"/>
      <c r="R2"/>
      <c r="S2" t="inlineStr">
        <is>
          <t>V1.0</t>
        </is>
      </c>
      <c r="T2"/>
      <c r="U2" t="inlineStr">
        <is>
          <t>RULE-001</t>
        </is>
      </c>
      <c r="V2"/>
      <c r="W2"/>
      <c r="X2"/>
    </row>
    <row r="3" ht="25.5" customHeight="1">
      <c r="A3" t="inlineStr">
        <is>
          <t>RULE-002</t>
        </is>
      </c>
      <c r="B3"/>
      <c r="C3"/>
      <c r="D3" t="inlineStr">
        <is>
          <t>年轻化</t>
        </is>
      </c>
      <c r="E3" t="inlineStr">
        <is>
          <t>空泛表达</t>
        </is>
      </c>
      <c r="F3"/>
      <c r="G3"/>
      <c r="H3"/>
      <c r="I3"/>
      <c r="J3"/>
      <c r="K3"/>
      <c r="L3"/>
      <c r="M3" t="inlineStr">
        <is>
          <t>中</t>
        </is>
      </c>
      <c r="N3" t="inlineStr">
        <is>
          <t>建议改写</t>
        </is>
      </c>
      <c r="O3"/>
      <c r="P3"/>
      <c r="Q3"/>
      <c r="R3"/>
      <c r="S3" t="inlineStr">
        <is>
          <t>V1.0</t>
        </is>
      </c>
      <c r="T3"/>
      <c r="U3" t="inlineStr">
        <is>
          <t>RULE-002</t>
        </is>
      </c>
      <c r="V3"/>
      <c r="W3"/>
      <c r="X3"/>
    </row>
    <row r="4" ht="25.5" customHeight="1">
      <c r="A4" t="inlineStr">
        <is>
          <t>RULE-003</t>
        </is>
      </c>
      <c r="B4"/>
      <c r="C4"/>
      <c r="D4" t="inlineStr">
        <is>
          <t>情绪价值</t>
        </is>
      </c>
      <c r="E4" t="inlineStr">
        <is>
          <t>空泛表达</t>
        </is>
      </c>
      <c r="F4"/>
      <c r="G4"/>
      <c r="H4"/>
      <c r="I4"/>
      <c r="J4"/>
      <c r="K4"/>
      <c r="L4"/>
      <c r="M4" t="inlineStr">
        <is>
          <t>高</t>
        </is>
      </c>
      <c r="N4" t="inlineStr">
        <is>
          <t>必须改写</t>
        </is>
      </c>
      <c r="O4"/>
      <c r="P4"/>
      <c r="Q4"/>
      <c r="R4"/>
      <c r="S4" t="inlineStr">
        <is>
          <t>V1.0</t>
        </is>
      </c>
      <c r="T4"/>
      <c r="U4" t="inlineStr">
        <is>
          <t>RULE-003</t>
        </is>
      </c>
      <c r="V4"/>
      <c r="W4"/>
      <c r="X4"/>
    </row>
    <row r="5" ht="25.5" customHeight="1">
      <c r="A5" t="inlineStr">
        <is>
          <t>RULE-004</t>
        </is>
      </c>
      <c r="B5"/>
      <c r="C5"/>
      <c r="D5" t="inlineStr">
        <is>
          <t>东方美学</t>
        </is>
      </c>
      <c r="E5" t="inlineStr">
        <is>
          <t>空泛表达</t>
        </is>
      </c>
      <c r="F5"/>
      <c r="G5"/>
      <c r="H5"/>
      <c r="I5"/>
      <c r="J5"/>
      <c r="K5"/>
      <c r="L5"/>
      <c r="M5" t="inlineStr">
        <is>
          <t>中</t>
        </is>
      </c>
      <c r="N5" t="inlineStr">
        <is>
          <t>建议改写</t>
        </is>
      </c>
      <c r="O5"/>
      <c r="P5"/>
      <c r="Q5"/>
      <c r="R5"/>
      <c r="S5" t="inlineStr">
        <is>
          <t>V1.0</t>
        </is>
      </c>
      <c r="T5"/>
      <c r="U5" t="inlineStr">
        <is>
          <t>RULE-004</t>
        </is>
      </c>
      <c r="V5"/>
      <c r="W5"/>
      <c r="X5"/>
    </row>
    <row r="6" ht="25.5" customHeight="1">
      <c r="A6" t="inlineStr">
        <is>
          <t>RULE-005</t>
        </is>
      </c>
      <c r="B6"/>
      <c r="C6"/>
      <c r="D6" t="inlineStr">
        <is>
          <t>微醺自由</t>
        </is>
      </c>
      <c r="E6" t="inlineStr">
        <is>
          <t>空泛表达</t>
        </is>
      </c>
      <c r="F6"/>
      <c r="G6"/>
      <c r="H6"/>
      <c r="I6"/>
      <c r="J6"/>
      <c r="K6"/>
      <c r="L6"/>
      <c r="M6" t="inlineStr">
        <is>
          <t>高</t>
        </is>
      </c>
      <c r="N6" t="inlineStr">
        <is>
          <t>必须改写</t>
        </is>
      </c>
      <c r="O6"/>
      <c r="P6"/>
      <c r="Q6"/>
      <c r="R6"/>
      <c r="S6" t="inlineStr">
        <is>
          <t>V1.0</t>
        </is>
      </c>
      <c r="T6"/>
      <c r="U6" t="inlineStr">
        <is>
          <t>RULE-005</t>
        </is>
      </c>
      <c r="V6"/>
      <c r="W6"/>
      <c r="X6"/>
    </row>
    <row r="7" ht="25.5" customHeight="1">
      <c r="A7" t="inlineStr">
        <is>
          <t>RULE-006</t>
        </is>
      </c>
      <c r="B7"/>
      <c r="C7"/>
      <c r="D7" t="inlineStr">
        <is>
          <t>悦己</t>
        </is>
      </c>
      <c r="E7" t="inlineStr">
        <is>
          <t>空泛表达</t>
        </is>
      </c>
      <c r="F7"/>
      <c r="G7"/>
      <c r="H7"/>
      <c r="I7"/>
      <c r="J7"/>
      <c r="K7"/>
      <c r="L7"/>
      <c r="M7" t="inlineStr">
        <is>
          <t>高</t>
        </is>
      </c>
      <c r="N7" t="inlineStr">
        <is>
          <t>必须改写</t>
        </is>
      </c>
      <c r="O7"/>
      <c r="P7"/>
      <c r="Q7"/>
      <c r="R7"/>
      <c r="S7" t="inlineStr">
        <is>
          <t>V1.0</t>
        </is>
      </c>
      <c r="T7"/>
      <c r="U7" t="inlineStr">
        <is>
          <t>RULE-006</t>
        </is>
      </c>
      <c r="V7"/>
      <c r="W7"/>
      <c r="X7"/>
    </row>
    <row r="8" ht="25.5" customHeight="1">
      <c r="A8" t="inlineStr">
        <is>
          <t>RULE-007</t>
        </is>
      </c>
      <c r="B8"/>
      <c r="C8"/>
      <c r="D8" t="inlineStr">
        <is>
          <t>松弛感</t>
        </is>
      </c>
      <c r="E8" t="inlineStr">
        <is>
          <t>空泛表达</t>
        </is>
      </c>
      <c r="F8"/>
      <c r="G8"/>
      <c r="H8"/>
      <c r="I8"/>
      <c r="J8"/>
      <c r="K8"/>
      <c r="L8"/>
      <c r="M8" t="inlineStr">
        <is>
          <t>高</t>
        </is>
      </c>
      <c r="N8" t="inlineStr">
        <is>
          <t>必须改写</t>
        </is>
      </c>
      <c r="O8"/>
      <c r="P8"/>
      <c r="Q8"/>
      <c r="R8"/>
      <c r="S8" t="inlineStr">
        <is>
          <t>V1.0</t>
        </is>
      </c>
      <c r="T8"/>
      <c r="U8" t="inlineStr">
        <is>
          <t>RULE-007</t>
        </is>
      </c>
      <c r="V8"/>
      <c r="W8"/>
      <c r="X8"/>
    </row>
    <row r="9" ht="25.5" customHeight="1">
      <c r="A9" t="inlineStr">
        <is>
          <t>RULE-008</t>
        </is>
      </c>
      <c r="B9"/>
      <c r="C9"/>
      <c r="D9" t="inlineStr">
        <is>
          <t>高级感</t>
        </is>
      </c>
      <c r="E9" t="inlineStr">
        <is>
          <t>空泛表达</t>
        </is>
      </c>
      <c r="F9"/>
      <c r="G9"/>
      <c r="H9"/>
      <c r="I9"/>
      <c r="J9"/>
      <c r="K9"/>
      <c r="L9"/>
      <c r="M9" t="inlineStr">
        <is>
          <t>中</t>
        </is>
      </c>
      <c r="N9" t="inlineStr">
        <is>
          <t>建议改写</t>
        </is>
      </c>
      <c r="O9"/>
      <c r="P9"/>
      <c r="Q9"/>
      <c r="R9"/>
      <c r="S9" t="inlineStr">
        <is>
          <t>V1.0</t>
        </is>
      </c>
      <c r="T9"/>
      <c r="U9" t="inlineStr">
        <is>
          <t>RULE-008</t>
        </is>
      </c>
      <c r="V9"/>
      <c r="W9"/>
      <c r="X9"/>
    </row>
    <row r="10" ht="25.5" customHeight="1">
      <c r="A10" t="inlineStr">
        <is>
          <t>RULE-009</t>
        </is>
      </c>
      <c r="B10"/>
      <c r="C10"/>
      <c r="D10" t="inlineStr">
        <is>
          <t>种草</t>
        </is>
      </c>
      <c r="E10" t="inlineStr">
        <is>
          <t>行动转化弱</t>
        </is>
      </c>
      <c r="F10"/>
      <c r="G10"/>
      <c r="H10"/>
      <c r="I10"/>
      <c r="J10"/>
      <c r="K10"/>
      <c r="L10"/>
      <c r="M10" t="inlineStr">
        <is>
          <t>低</t>
        </is>
      </c>
      <c r="N10" t="inlineStr">
        <is>
          <t>建议改写</t>
        </is>
      </c>
      <c r="O10"/>
      <c r="P10"/>
      <c r="Q10"/>
      <c r="R10"/>
      <c r="S10" t="inlineStr">
        <is>
          <t>V1.0</t>
        </is>
      </c>
      <c r="T10"/>
      <c r="U10" t="inlineStr">
        <is>
          <t>RULE-009</t>
        </is>
      </c>
      <c r="V10"/>
      <c r="W10"/>
      <c r="X10"/>
    </row>
    <row r="11" ht="25.5" customHeight="1">
      <c r="A11" t="inlineStr">
        <is>
          <t>RULE-010</t>
        </is>
      </c>
      <c r="B11"/>
      <c r="C11"/>
      <c r="D11" t="inlineStr">
        <is>
          <t>破圈</t>
        </is>
      </c>
      <c r="E11" t="inlineStr">
        <is>
          <t>空泛表达</t>
        </is>
      </c>
      <c r="F11"/>
      <c r="G11"/>
      <c r="H11"/>
      <c r="I11"/>
      <c r="J11"/>
      <c r="K11"/>
      <c r="L11"/>
      <c r="M11" t="inlineStr">
        <is>
          <t>中</t>
        </is>
      </c>
      <c r="N11" t="inlineStr">
        <is>
          <t>建议改写</t>
        </is>
      </c>
      <c r="O11"/>
      <c r="P11"/>
      <c r="Q11"/>
      <c r="R11"/>
      <c r="S11" t="inlineStr">
        <is>
          <t>V1.0</t>
        </is>
      </c>
      <c r="T11"/>
      <c r="U11" t="inlineStr">
        <is>
          <t>RULE-010</t>
        </is>
      </c>
      <c r="V11"/>
      <c r="W11"/>
      <c r="X11"/>
    </row>
  </sheetData>
  <dataValidations count="6">
    <dataValidation allowBlank="false" sqref="C2:C10" type="list">
      <formula1>"品牌世界观,品牌主张,Campaign Idea,内容母题,场景意义,产品或体验前提,其他"</formula1>
    </dataValidation>
    <dataValidation allowBlank="false" sqref="E2:E10" type="list">
      <formula1>"空泛表达,竞品通用表达,证据不足,与真实反馈冲突,过度承诺,人群排斥,安全风险,行动转化弱"</formula1>
    </dataValidation>
    <dataValidation allowBlank="false" sqref="M2:M10" type="list">
      <formula1>"高,中,低"</formula1>
    </dataValidation>
    <dataValidation allowBlank="false" sqref="N2:N10" type="list">
      <formula1>"通过,建议改写,必须改写,拒绝使用"</formula1>
    </dataValidation>
    <dataValidation allowBlank="false" sqref="Q2:Q10" type="list">
      <formula1>"保留,已修改,删除,待讨论"</formula1>
    </dataValidation>
    <dataValidation allowBlank="false" sqref="V2:V10" type="list">
      <formula1>"通过,不通过,待测试"</formula1>
    </dataValidation>
  </dataValidation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s>
  <sheetData>
    <row r="1" ht="13" customHeight="1">
      <c r="A1" s="1" t="inlineStr">
        <is>
          <t>项目编号</t>
        </is>
      </c>
      <c r="B1" s="1" t="inlineStr">
        <is>
          <t>项目名称</t>
        </is>
      </c>
      <c r="C1" s="1" t="inlineStr">
        <is>
          <t>目标品牌</t>
        </is>
      </c>
      <c r="D1" s="1" t="inlineStr">
        <is>
          <t>所属行业</t>
        </is>
      </c>
      <c r="E1" s="1" t="inlineStr">
        <is>
          <t>研究问题</t>
        </is>
      </c>
      <c r="F1" s="1" t="inlineStr">
        <is>
          <t>目标人群</t>
        </is>
      </c>
      <c r="G1" s="1" t="inlineStr">
        <is>
          <t>主要竞品</t>
        </is>
      </c>
      <c r="H1" s="1" t="inlineStr">
        <is>
          <t>分析时间范围</t>
        </is>
      </c>
      <c r="I1" s="1" t="inlineStr">
        <is>
          <t>数据目标数量</t>
        </is>
      </c>
      <c r="J1" s="1" t="inlineStr">
        <is>
          <t>当前规则版本</t>
        </is>
      </c>
      <c r="K1" s="1" t="inlineStr">
        <is>
          <t>当前Prompt版本</t>
        </is>
      </c>
      <c r="L1" s="1" t="inlineStr">
        <is>
          <t>项目负责人</t>
        </is>
      </c>
      <c r="M1" s="1" t="inlineStr">
        <is>
          <t>项目状态</t>
        </is>
      </c>
      <c r="N1" s="1" t="inlineStr">
        <is>
          <t>备注</t>
        </is>
      </c>
      <c r="O1" s="1" t="inlineStr">
        <is>
          <t>关联语料</t>
        </is>
      </c>
    </row>
    <row r="2" ht="25.5" customHeight="1">
      <c r="A2" t="inlineStr">
        <is>
          <t>PRJ001</t>
        </is>
      </c>
      <c r="B2" t="inlineStr">
        <is>
          <t>梅见Z世代品牌叙事研究</t>
        </is>
      </c>
      <c r="C2" t="inlineStr">
        <is>
          <t>梅见</t>
        </is>
      </c>
      <c r="D2" t="inlineStr">
        <is>
          <t>低度酒/青梅酒</t>
        </is>
      </c>
      <c r="E2" t="inlineStr">
        <is>
          <t>从真实语料中发现情绪冲突和品牌叙事机会</t>
        </is>
      </c>
      <c r="F2" t="inlineStr">
        <is>
          <t>Z世代低度酒用户</t>
        </is>
      </c>
      <c r="G2" t="inlineStr">
        <is>
          <t>RIO、CHOYA、十七光年、MissBerry</t>
        </is>
      </c>
      <c r="H2" t="inlineStr">
        <is>
          <t>2025-01-01 至 2026-08-05</t>
        </is>
      </c>
      <c r="I2">
        <v>300</v>
      </c>
      <c r="J2" t="inlineStr">
        <is>
          <t>V1.0</t>
        </is>
      </c>
      <c r="K2" t="inlineStr">
        <is>
          <t>V1.0</t>
        </is>
      </c>
      <c r="L2"/>
      <c r="M2" t="inlineStr">
        <is>
          <t>分析进行中</t>
        </is>
      </c>
      <c r="N2"/>
      <c r="O2" t="inlineStr">
        <is>
          <t>MJ-RAW-0001,MJ-RAW-0002,MJ-RAW-0003,MJ-RAW-0004,MJ-RAW-0005,MJ-RAW-0006,MJ-RAW-0007,MJ-RAW-0008,MJ-RAW-0009,MJ-RAW-0010,MJ-RAW-0011,MJ-RAW-0012,MJ-RAW-0013,MJ-RAW-0014,MJ-RAW-0015,MJ-RAW-0016,MJ-RAW-0017,MJ-RAW-0018,MJ-RAW-0019,MJ-RAW-0020,MJ-RAW-0021,MJ-RAW-0022,MJ-RAW-0023,MJ-RAW-0024,MJ-RAW-0025,MJ-RAW-0026,MJ-RAW-0027,MJ-RAW-0028,TB-20260809-036,MJ-RAW-0032,MJ-RAW-0033,MJ-RAW-0034,MJ-RAW-0035,MJ-RAW-0036,MJ-RAW-0037,MJ-RAW-0038,MJ-RAW-0039,MJ-RAW-0040,MJ-RAW-0041,MJ-RAW-0042,MJ-RAW-0043,MJ-RAW-0044,MJ-RAW-0045,MJ-RAW-0046,MJ-RAW-0047,XHS-SOC-0020,XHS-SOC-0021,XHS-SOC-0025,XHS-SOC-0026,XHS-SOC-0027,XHS-SOC-0030,XHS-SOC-0036,XHS-SOC-0037,XHS-SOC-0038,XHS-SOC-0039,XHS-SOC-0040,XHS-SOC-0041,XHS-SOC-0042,DY-SOC-0048,DY-SOC-0049,DY-SOC-0050,DY-SOC-0051,DY-SOC-0052,DY-SOC-0053,DY-SOC-0054,DY-SOC-0055,DY-SOC-0056,DY-SOC-0057,DY-SOC-0058,DY-SOC-0059,DY-SOC-0060,DY-SOC-0061,DY-SOC-0062,DY-SOC-0063,DY-SOC-0064,DY-SOC-0065,DY-SOC-0066,DY-SOC-0067,DY-SOC-0139,DY-SOC-0141,DY-SOC-0142,DY-SOC-0146,DY-SOC-0147,DY-SOC-0148,DY-SOC-0149,DY-SOC-0150,DY-SOC-0151,DY-SOC-0152,DY-SOC-0153,DY-SOC-0154,DY-SOC-0155,DY-SOC-0156,DY-SOC-0157,DY-SOC-0158,DY-SOC-0159,DY-SOC-0160,DY-SOC-0161,DY-SOC-0162,DY-SOC-0163,DY-SOC-0164,DY-SOC-0165,DY-SOC-0166,DY-SOC-0167,DY-SOC-0170,DY-SOC-0171,DY-SOC-0172,DY-SOC-0173,DY-SOC-0174,DY-SOC-0175,XHS-SOC-0195,XHS-SOC-0200,XHS-SOC-0249,XHS-SOC-0250,XHS-SOC-0257,XHS-SOC-0258,XHS-SOC-0259,DY-SOC-0261,DY-SOC-0262,DY-SOC-0263,DY-SOC-0264,DY-SOC-0265,DY-SOC-0274,DY-SOC-0276,JD-20260809-051,JD-20260809-052,JD-20260809-056,JD-20260809-060,JD-20260809-061,JD-20260809-062,JD-20260809-063,JD-20260809-068,TB-20260809-032,JD-RAW-0105,TB-20260809-039,TB-20260809-041,TB-20260809-043,TB-20260809-044,TB-20260809-048,TB-20260809-049,TB-20260809-050,MJ-RAW-0061,MJ-RAW-0062,MJ-RAW-0063,MJ-RAW-0064,XHS-SOC-0024,XHS-SOC-0029,XHS-SOC-0043,DY-SOC-0068,DY-SOC-0069,DY-SOC-0070,DY-SOC-0071,DY-SOC-0072,DY-SOC-0073,DY-SOC-0074,DY-SOC-0075,DY-SOC-0076,DY-SOC-0077,DY-SOC-0078,DY-SOC-0079,DY-SOC-0140,DY-SOC-0143,DY-SOC-0144,DY-SOC-0145,DY-SOC-0168,DY-SOC-0169,XHS-SOC-0176,XHS-SOC-0191,XHS-SOC-0196,XHS-SOC-0201,XHS-SOC-0207,XHS-SOC-0220,XHS-SOC-0221,XHS-SOC-0222,JD-20260809-053,JD-20260809-059,JD-20260809-064,TB-20260809-037,TB-20260809-038,TB-20260809-046,MJ-RAW-0094,MJ-RAW-0095,MJ-RAW-0096,MJ-RAW-0097,MJ-RAW-0098,MJ-RAW-0099,MJ-RAW-0100,MJ-RAW-0101,MJ-RAW-0102,MJ-RAW-0103,JD-20260809-027,XHS-SOC-0044,XHS-SOC-0045,DY-SOC-0080,DY-SOC-0081,DY-SOC-0082,DY-SOC-0083,DY-SOC-0084,DY-SOC-0085,DY-SOC-0086,DY-SOC-0087,DY-SOC-0088,DY-SOC-0089,XHS-SOC-0178,XHS-SOC-0185,XHS-SOC-0192,XHS-SOC-0197,XHS-SOC-0202,XHS-SOC-0208,XHS-SOC-0209,XHS-SOC-0219,XHS-SOC-0223,XHS-SOC-0224,XHS-SOC-0225,XHS-SOC-0226,XHS-SOC-0227,XHS-SOC-0228,XHS-SOC-0255,XHS-SOC-0256,JD-20260809-001,JD-20260809-002,JD-20260809-006,JD-20260809-009,JD-20260809-010,JD-20260809-012,JD-20260809-013,JD-20260809-014,JD-20260809-017,JD-20260809-018,JD-20260809-019,JD-20260809-020,JD-20260809-022,JD-20260809-023,JD-20260809-025,JD-20260809-026,JD-RAW-0027,JD-20260809-028,JD-20260809-030,JD-20260809-031,JD-20260809-034,JD-20260809-036,JD-20260809-039,JD-20260809-044,JD-20260809-048,TB-20260809-001,TB-20260809-006,TB-20260809-009,TB-20260809-011,TB-20260809-012,TB-20260809-013,TB-20260809-014,TB-20260809-015,TB-20260809-017,TB-20260809-019,TB-20260809-020,TB-20260809-021,TB-20260809-022,TB-20260809-025,TB-20260809-027,TB-20260809-028,TB-20260809-029,TB-20260809-030,JD-20260809-032,JD-20260809-042,JD-20260809-045,JD-20260809-050,TB-20260809-005,XHS-SOC-0017,XHS-SOC-0046,XHS-SOC-0229,XHS-SOC-0230,JD-20260809-041,TB-20260809-007,XHS-SOC-0001,XHS-SOC-0002,XHS-SOC-0003,XHS-SOC-0004,XHS-SOC-0005,XHS-SOC-0006,XHS-SOC-0007,XHS-SOC-0008,XHS-SOC-0015,XHS-SOC-0022,XHS-SOC-0023,XHS-SOC-0028,XHS-SOC-0031,XHS-SOC-0032,XHS-SOC-0033,XHS-SOC-0035,DY-SOC-0090,DY-SOC-0091,DY-SOC-0092,DY-SOC-0093,DY-SOC-0094,DY-SOC-0095,DY-SOC-0096,DY-SOC-0097,DY-SOC-0098,DY-SOC-0099,DY-SOC-0100,DY-SOC-0101,XHS-SOC-0177,XHS-SOC-0180,XHS-SOC-0181,XHS-SOC-0182,XHS-SOC-0183,XHS-SOC-0187,XHS-SOC-0188,XHS-SOC-0189,XHS-SOC-0190,XHS-SOC-0203,XHS-SOC-0204,XHS-SOC-0218,XHS-SOC-0248,XHS-SOC-0251,XHS-SOC-0252,XHS-SOC-0253,XHS-SOC-0254,DY-SOC-0266,DY-SOC-0267,DY-SOC-0268,DY-SOC-0269,DY-SOC-0270,DY-SOC-0271,DY-SOC-0272,DY-SOC-0273,DY-SOC-0275,DY-SOC-0277,DY-SOC-0278,DY-SOC-0279,DY-SOC-0280,MJ-RAW-0220,MJ-RAW-0221,MJ-RAW-0222,MJ-RAW-0223,MJ-RAW-0224,MJ-RAW-0225,MJ-RAW-0226,MJ-RAW-0227,MJ-RAW-0228,MJ-RAW-0229,XHS-SOC-0009,DY-SOC-0102,DY-SOC-0103,DY-SOC-0104,DY-SOC-0105,DY-SOC-0106,DY-SOC-0107,DY-SOC-0108,DY-SOC-0109,DY-SOC-0110,DY-SOC-0111,DY-SOC-0112,DY-SOC-0113,DY-SOC-0114,DY-SOC-0115,DY-SOC-0116,XHS-SOC-0193,XHS-SOC-0198,XHS-SOC-0199,XHS-SOC-0210,XHS-SOC-0211,XHS-SOC-0212,XHS-SOC-0231,XHS-SOC-0232,XHS-SOC-0233,XHS-SOC-0234,XHS-SOC-0235,XHS-SOC-0236,XHS-SOC-0237,XHS-SOC-0260,XHS-SOC-0010,XHS-SOC-0011,XHS-SOC-0012,XHS-SOC-0013,XHS-SOC-0014,XHS-SOC-0016,XHS-SOC-0018,DY-SOC-0117,DY-SOC-0118,DY-SOC-0119,DY-SOC-0120,DY-SOC-0121,MJ-RAW-0314,MJ-RAW-0315,MJ-RAW-0316,MJ-RAW-0317,MJ-RAW-0318,MJ-RAW-0319,MJ-RAW-0320,MJ-RAW-0321,MJ-RAW-0322,MJ-RAW-0323,DY-SOC-0122,DY-SOC-0123,DY-SOC-0124,DY-SOC-0125,DY-SOC-0126,DY-SOC-0127,DY-SOC-0128,DY-SOC-0129,XHS-SOC-0194,XHS-SOC-0213,XHS-SOC-0214,XHS-SOC-0215,XHS-SOC-0238,XHS-SOC-0239,XHS-SOC-0240,XHS-SOC-0241,XHS-SOC-0242,TB-20260809-040,MJ-RAW-0361,MJ-RAW-0362,XHS-SOC-0047,DY-SOC-0130,DY-SOC-0131,DY-SOC-0132,DY-SOC-0133,DY-SOC-0134,XHS-SOC-0179,DY-SOC-0205,XHS-SOC-0216,XHS-SOC-0217,XHS-SOC-0243,JD-20260809-003,JD-20260809-004,JD-20260809-007,JD-20260809-015,JD-20260809-021,JD-20260809-024,JD-20260809-029,JD-20260809-033,JD-20260809-035,JD-20260809-038,JD-20260809-040,JD-20260809-043,JD-20260809-046,JD-20260809-047,JD-20260809-049,JD-20260809-054,JD-20260809-055,JD-20260809-057,JD-20260809-058,JD-20260809-065,JD-20260809-066,JD-20260809-067,JD-20260809-069,TB-20260809-003,TB-20260809-016,TB-20260809-018,TB-20260809-023,TB-20260809-026,TB-20260809-031,TB-20260809-034,TB-20260809-035,JD-RAW-0109,TB-20260809-042,TB-20260809-045,TB-20260809-047,TB-20260809-033,XHS-SOC-0019,XHS-SOC-0034,DY-SOC-0135,DY-SOC-0136,DY-SOC-0137,DY-SOC-0138,XHS-SOC-0184,XHS-SOC-0186,DY-SOC-0206,XHS-SOC-0244,XHS-SOC-0245,XHS-SOC-0246,XHS-SOC-0247,JD-20260809-005,JD-20260809-008,JD-20260809-011,JD-20260809-016,JD-20260809-037,TB-20260809-002,TB-20260809-004,TB-20260809-008,TB-20260809-010,TB-20260809-024,JD-RAW-0102,TB-20260809-051</t>
        </is>
      </c>
    </row>
  </sheetData>
  <dataValidations count="1">
    <dataValidation allowBlank="false" sqref="M2:M1" type="list">
      <formula1>"筹备中,数据采集中,分析进行中,验证阶段,已完成,已暂停"</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